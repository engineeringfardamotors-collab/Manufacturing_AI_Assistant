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FAMCO-SEM-ENG\DFLZ\T5 Plus\BALACE &amp;TOOLS\"/>
    </mc:Choice>
  </mc:AlternateContent>
  <xr:revisionPtr revIDLastSave="0" documentId="13_ncr:1_{EED06F2B-7B49-4060-95D3-8331224E8AB7}" xr6:coauthVersionLast="47" xr6:coauthVersionMax="47" xr10:uidLastSave="{00000000-0000-0000-0000-000000000000}"/>
  <bookViews>
    <workbookView xWindow="345" yWindow="735" windowWidth="28800" windowHeight="15600" firstSheet="1" activeTab="1" xr2:uid="{00000000-000D-0000-FFFF-FFFF00000000}"/>
  </bookViews>
  <sheets>
    <sheet name="Header" sheetId="10" state="hidden" r:id="rId1"/>
    <sheet name="اصلی" sheetId="8" r:id="rId2"/>
    <sheet name="工程作业表-B (2)" sheetId="6" state="hidden" r:id="rId3"/>
  </sheets>
  <externalReferences>
    <externalReference r:id="rId4"/>
    <externalReference r:id="rId5"/>
  </externalReferences>
  <definedNames>
    <definedName name="_Fill" localSheetId="2" hidden="1">'[1]「1-7」新車基準時間リスト(全件）'!#REF!</definedName>
    <definedName name="_Fill" hidden="1">'[1]「1-7」新車基準時間リスト(全件）'!#REF!</definedName>
    <definedName name="_xlnm._FilterDatabase" localSheetId="1" hidden="1">اصلی!$A$2:$L$1189</definedName>
    <definedName name="_xlnm._FilterDatabase" localSheetId="2" hidden="1">'工程作业表-B (2)'!$A$1:$K$898</definedName>
    <definedName name="_xlnm._FilterDatabase" hidden="1">'[1]「1-7」新車基準時間リスト(全件）'!$G$7:$J$32</definedName>
    <definedName name="_Key2" hidden="1">'[1]「1-7」新車基準時間リスト(全件）'!#REF!</definedName>
    <definedName name="_Order1" hidden="1">255</definedName>
    <definedName name="_Order2" hidden="1">255</definedName>
    <definedName name="_Regression_Int" hidden="1">1</definedName>
    <definedName name="_xlnm.Print_Area" localSheetId="1">اصلی!$A$1:$L$1108</definedName>
    <definedName name="_xlnm.Print_Area" localSheetId="2">'工程作业表-B (2)'!$A$1:$I$963</definedName>
    <definedName name="_xlnm.Print_Titles" localSheetId="1">اصلی!$1:$2</definedName>
    <definedName name="_xlnm.Print_Titles" localSheetId="2">'工程作业表-B (2)'!$1:$1</definedName>
    <definedName name="Z_267CA7DA_B191_4286_8378_1FF86F7D3F6C_.wvu.FilterData" localSheetId="2" hidden="1">'工程作业表-B (2)'!$A$1:$H$103</definedName>
    <definedName name="Z_267CA7DA_B191_4286_8378_1FF86F7D3F6C_.wvu.PrintTitles" localSheetId="2" hidden="1">'工程作业表-B (2)'!$1:$1</definedName>
    <definedName name="Z_33BB95B8_78C5_417E_8BFF_BD090C01A878_.wvu.FilterData" localSheetId="2" hidden="1">'工程作业表-B (2)'!$A$1:$H$103</definedName>
    <definedName name="Z_33BB95B8_78C5_417E_8BFF_BD090C01A878_.wvu.PrintTitles" localSheetId="2" hidden="1">'工程作业表-B (2)'!$1:$1</definedName>
    <definedName name="Z_58DDA8DE_5170_4A3C_9B71_95C04D9C4350_.wvu.FilterData" localSheetId="2" hidden="1">'工程作业表-B (2)'!$A$1:$H$103</definedName>
    <definedName name="Z_58DDA8DE_5170_4A3C_9B71_95C04D9C4350_.wvu.PrintTitles" localSheetId="2" hidden="1">'工程作业表-B (2)'!$1:$1</definedName>
    <definedName name="Z_D3C7CE32_2E4C_40DA_A0EB_3578CA8F948B_.wvu.FilterData" localSheetId="2" hidden="1">'工程作业表-B (2)'!$A$1:$H$103</definedName>
    <definedName name="Z_D3C7CE32_2E4C_40DA_A0EB_3578CA8F948B_.wvu.PrintTitles" localSheetId="2" hidden="1">'工程作业表-B (2)'!$1:$1</definedName>
    <definedName name="他車分解調査リスト" hidden="1">[2]一覧表!$A$3:$CQ$3</definedName>
  </definedNames>
  <calcPr calcId="191029"/>
</workbook>
</file>

<file path=xl/calcChain.xml><?xml version="1.0" encoding="utf-8"?>
<calcChain xmlns="http://schemas.openxmlformats.org/spreadsheetml/2006/main">
  <c r="R63" i="8" l="1"/>
  <c r="Q63" i="8"/>
  <c r="R62" i="8"/>
  <c r="Q62" i="8"/>
  <c r="O289" i="8" l="1"/>
  <c r="N600" i="8" l="1"/>
  <c r="S1021" i="8" l="1"/>
  <c r="R1021" i="8"/>
  <c r="Q1021" i="8"/>
  <c r="S1020" i="8"/>
  <c r="R1020" i="8"/>
  <c r="Q1020" i="8"/>
  <c r="S1019" i="8"/>
  <c r="R1019" i="8"/>
  <c r="Q1019" i="8"/>
  <c r="P1019" i="8"/>
  <c r="O1019" i="8"/>
  <c r="S900" i="8"/>
  <c r="S901" i="8"/>
  <c r="S902" i="8"/>
  <c r="S903" i="8"/>
  <c r="S904" i="8"/>
  <c r="S905" i="8"/>
  <c r="S906" i="8"/>
  <c r="S907" i="8"/>
  <c r="S908" i="8"/>
  <c r="S909" i="8"/>
  <c r="S910" i="8"/>
  <c r="S911" i="8"/>
  <c r="S912" i="8"/>
  <c r="S913" i="8"/>
  <c r="S914" i="8"/>
  <c r="S915" i="8"/>
  <c r="S916" i="8"/>
  <c r="S917" i="8"/>
  <c r="S918" i="8"/>
  <c r="S919" i="8"/>
  <c r="S920" i="8"/>
  <c r="S921" i="8"/>
  <c r="S922" i="8"/>
  <c r="S923" i="8"/>
  <c r="S924" i="8"/>
  <c r="S925" i="8"/>
  <c r="S926" i="8"/>
  <c r="S927" i="8"/>
  <c r="S928" i="8"/>
  <c r="S929" i="8"/>
  <c r="S930" i="8"/>
  <c r="S931" i="8"/>
  <c r="S932" i="8"/>
  <c r="S933" i="8"/>
  <c r="S934" i="8"/>
  <c r="S935" i="8"/>
  <c r="S936" i="8"/>
  <c r="S937" i="8"/>
  <c r="S938" i="8"/>
  <c r="S939" i="8"/>
  <c r="S940" i="8"/>
  <c r="S941" i="8"/>
  <c r="S942" i="8"/>
  <c r="S943" i="8"/>
  <c r="S944" i="8"/>
  <c r="S945" i="8"/>
  <c r="S946" i="8"/>
  <c r="S947" i="8"/>
  <c r="S948" i="8"/>
  <c r="S949" i="8"/>
  <c r="S950" i="8"/>
  <c r="S951" i="8"/>
  <c r="S952" i="8"/>
  <c r="S953" i="8"/>
  <c r="S954" i="8"/>
  <c r="S955" i="8"/>
  <c r="S956" i="8"/>
  <c r="S957" i="8"/>
  <c r="S958" i="8"/>
  <c r="S959" i="8"/>
  <c r="S960" i="8"/>
  <c r="S961" i="8"/>
  <c r="S962" i="8"/>
  <c r="S963" i="8"/>
  <c r="S964" i="8"/>
  <c r="S965" i="8"/>
  <c r="S966" i="8"/>
  <c r="S967" i="8"/>
  <c r="S968" i="8"/>
  <c r="S969" i="8"/>
  <c r="S970" i="8"/>
  <c r="S971" i="8"/>
  <c r="S972" i="8"/>
  <c r="S973" i="8"/>
  <c r="S974" i="8"/>
  <c r="S975" i="8"/>
  <c r="S976" i="8"/>
  <c r="S977" i="8"/>
  <c r="S978" i="8"/>
  <c r="S979" i="8"/>
  <c r="S980" i="8"/>
  <c r="S981" i="8"/>
  <c r="S982" i="8"/>
  <c r="S983" i="8"/>
  <c r="S984" i="8"/>
  <c r="S985" i="8"/>
  <c r="S986" i="8"/>
  <c r="S987" i="8"/>
  <c r="S988" i="8"/>
  <c r="S989" i="8"/>
  <c r="S990" i="8"/>
  <c r="S991" i="8"/>
  <c r="S992" i="8"/>
  <c r="S993" i="8"/>
  <c r="S994" i="8"/>
  <c r="S995" i="8"/>
  <c r="S996" i="8"/>
  <c r="S997" i="8"/>
  <c r="S998" i="8"/>
  <c r="S999" i="8"/>
  <c r="S1000" i="8"/>
  <c r="S1001" i="8"/>
  <c r="S1002" i="8"/>
  <c r="S1003" i="8"/>
  <c r="S1004" i="8"/>
  <c r="S1005" i="8"/>
  <c r="S1006" i="8"/>
  <c r="S1007" i="8"/>
  <c r="S1008" i="8"/>
  <c r="S1009" i="8"/>
  <c r="S1010" i="8"/>
  <c r="S1011" i="8"/>
  <c r="S1012" i="8"/>
  <c r="S1013" i="8"/>
  <c r="S1014" i="8"/>
  <c r="S1022" i="8"/>
  <c r="S1023" i="8"/>
  <c r="S1024" i="8"/>
  <c r="S1025" i="8"/>
  <c r="S1026" i="8"/>
  <c r="S1027" i="8"/>
  <c r="S1028" i="8"/>
  <c r="S1029" i="8"/>
  <c r="S1030" i="8"/>
  <c r="S1031" i="8"/>
  <c r="S1032" i="8"/>
  <c r="S1033" i="8"/>
  <c r="S1034" i="8"/>
  <c r="S1035" i="8"/>
  <c r="S1036" i="8"/>
  <c r="S1037" i="8"/>
  <c r="S1038" i="8"/>
  <c r="S1039" i="8"/>
  <c r="S1040" i="8"/>
  <c r="S1041" i="8"/>
  <c r="S1042" i="8"/>
  <c r="S1043" i="8"/>
  <c r="S1044" i="8"/>
  <c r="S1045" i="8"/>
  <c r="S1046" i="8"/>
  <c r="S1047" i="8"/>
  <c r="S1048" i="8"/>
  <c r="S1049" i="8"/>
  <c r="S1050" i="8"/>
  <c r="S1051" i="8"/>
  <c r="S1052" i="8"/>
  <c r="S1053" i="8"/>
  <c r="S1054" i="8"/>
  <c r="S1055" i="8"/>
  <c r="S1056" i="8"/>
  <c r="S1057" i="8"/>
  <c r="S1058" i="8"/>
  <c r="S1059" i="8"/>
  <c r="S1060" i="8"/>
  <c r="S1061" i="8"/>
  <c r="S1062" i="8"/>
  <c r="S1063" i="8"/>
  <c r="S1064" i="8"/>
  <c r="S1065" i="8"/>
  <c r="S1066" i="8"/>
  <c r="S1067" i="8"/>
  <c r="S1068" i="8"/>
  <c r="S1069" i="8"/>
  <c r="S1070" i="8"/>
  <c r="S1071" i="8"/>
  <c r="S1072" i="8"/>
  <c r="S1073" i="8"/>
  <c r="S1074" i="8"/>
  <c r="S1075" i="8"/>
  <c r="S1076" i="8"/>
  <c r="S1077" i="8"/>
  <c r="S1078" i="8"/>
  <c r="S1079" i="8"/>
  <c r="S1080" i="8"/>
  <c r="S1081" i="8"/>
  <c r="S1082" i="8"/>
  <c r="S1083" i="8"/>
  <c r="S1084" i="8"/>
  <c r="S1085" i="8"/>
  <c r="S1086" i="8"/>
  <c r="S1087" i="8"/>
  <c r="S1088" i="8"/>
  <c r="S1089" i="8"/>
  <c r="S1090" i="8"/>
  <c r="S1091" i="8"/>
  <c r="S1092" i="8"/>
  <c r="S1093" i="8"/>
  <c r="S1094" i="8"/>
  <c r="S1095" i="8"/>
  <c r="S1096" i="8"/>
  <c r="S1097" i="8"/>
  <c r="S1098" i="8"/>
  <c r="S1099" i="8"/>
  <c r="S1100" i="8"/>
  <c r="S1101" i="8"/>
  <c r="S1102" i="8"/>
  <c r="S1103" i="8"/>
  <c r="S1104" i="8"/>
  <c r="S1105" i="8"/>
  <c r="S1106" i="8"/>
  <c r="S1107" i="8"/>
  <c r="S1108" i="8"/>
  <c r="S899" i="8"/>
  <c r="S895" i="8"/>
  <c r="S896" i="8"/>
  <c r="S897" i="8"/>
  <c r="S894" i="8"/>
  <c r="R896" i="8"/>
  <c r="R897" i="8"/>
  <c r="Q896" i="8"/>
  <c r="Q897" i="8"/>
  <c r="Q895" i="8"/>
  <c r="P6" i="8" l="1"/>
  <c r="R993" i="8"/>
  <c r="Q993" i="8"/>
  <c r="S173" i="8"/>
  <c r="R173" i="8"/>
  <c r="Q173" i="8"/>
  <c r="S172" i="8"/>
  <c r="R172" i="8"/>
  <c r="Q172" i="8"/>
  <c r="S171" i="8"/>
  <c r="R171" i="8"/>
  <c r="Q171" i="8"/>
  <c r="R562" i="8" l="1"/>
  <c r="Q562" i="8"/>
  <c r="S562" i="8"/>
  <c r="R351" i="8" l="1"/>
  <c r="S351" i="8"/>
  <c r="Q351" i="8"/>
  <c r="Q112" i="8" l="1"/>
  <c r="Q111" i="8"/>
  <c r="Q571" i="8"/>
  <c r="O583" i="8"/>
  <c r="P583" i="8"/>
  <c r="Q583" i="8"/>
  <c r="R583" i="8"/>
  <c r="S583" i="8"/>
  <c r="Q269" i="8" l="1"/>
  <c r="Q266" i="8"/>
  <c r="R266" i="8"/>
  <c r="P864" i="8" l="1"/>
  <c r="O864" i="8"/>
  <c r="S864" i="8"/>
  <c r="Q864" i="8"/>
  <c r="R864" i="8"/>
  <c r="S632" i="8"/>
  <c r="S273" i="8"/>
  <c r="R274" i="8"/>
  <c r="R275" i="8"/>
  <c r="R276" i="8"/>
  <c r="R273" i="8"/>
  <c r="Q274" i="8"/>
  <c r="Q275" i="8"/>
  <c r="Q276" i="8"/>
  <c r="Q273" i="8"/>
  <c r="S276" i="8"/>
  <c r="S275" i="8"/>
  <c r="P1004" i="8"/>
  <c r="O1004" i="8"/>
  <c r="P1006" i="8"/>
  <c r="O1006" i="8"/>
  <c r="R1108" i="8"/>
  <c r="R638" i="8" l="1"/>
  <c r="Q638" i="8"/>
  <c r="P639" i="8"/>
  <c r="P636" i="8"/>
  <c r="O1108" i="8"/>
  <c r="Q1108" i="8"/>
  <c r="O348" i="8"/>
  <c r="P348" i="8"/>
  <c r="P655" i="8"/>
  <c r="O655" i="8"/>
  <c r="R626" i="8"/>
  <c r="S625" i="8"/>
  <c r="R625" i="8"/>
  <c r="P625" i="8"/>
  <c r="O625" i="8"/>
  <c r="N1100" i="8" l="1"/>
  <c r="N1088" i="8" l="1"/>
  <c r="P470" i="8" l="1"/>
  <c r="S852" i="8"/>
  <c r="R852" i="8"/>
  <c r="Q852" i="8"/>
  <c r="P852" i="8"/>
  <c r="O852" i="8"/>
  <c r="N1032" i="8" l="1"/>
  <c r="N707" i="8"/>
  <c r="N676" i="8"/>
  <c r="R680" i="8"/>
  <c r="Q680" i="8"/>
  <c r="S871" i="8" l="1"/>
  <c r="R871" i="8"/>
  <c r="Q871" i="8"/>
  <c r="N910" i="8" l="1"/>
  <c r="N765" i="8"/>
  <c r="N755" i="8"/>
  <c r="O548" i="8"/>
  <c r="O470" i="8" l="1"/>
  <c r="Q470" i="8"/>
  <c r="R470" i="8"/>
  <c r="S470" i="8"/>
  <c r="S645" i="8" l="1"/>
  <c r="S644" i="8"/>
  <c r="R645" i="8"/>
  <c r="R644" i="8"/>
  <c r="Q645" i="8"/>
  <c r="Q644" i="8"/>
  <c r="O644" i="8"/>
  <c r="N336" i="8" l="1"/>
  <c r="S352" i="8"/>
  <c r="R352" i="8"/>
  <c r="Q352" i="8"/>
  <c r="S350" i="8"/>
  <c r="R350" i="8"/>
  <c r="Q350" i="8"/>
  <c r="S349" i="8"/>
  <c r="R349" i="8"/>
  <c r="Q349" i="8"/>
  <c r="P349" i="8"/>
  <c r="O349" i="8"/>
  <c r="S457" i="8"/>
  <c r="R457" i="8"/>
  <c r="Q457" i="8"/>
  <c r="R934" i="8" l="1"/>
  <c r="Q934" i="8"/>
  <c r="O934" i="8"/>
  <c r="P727" i="8"/>
  <c r="N849" i="8" l="1"/>
  <c r="S875" i="8"/>
  <c r="R875" i="8"/>
  <c r="Q875" i="8"/>
  <c r="S874" i="8"/>
  <c r="R874" i="8"/>
  <c r="Q874" i="8"/>
  <c r="P874" i="8"/>
  <c r="O874" i="8"/>
  <c r="S855" i="8" l="1"/>
  <c r="R855" i="8"/>
  <c r="Q855" i="8"/>
  <c r="S553" i="8"/>
  <c r="R553" i="8"/>
  <c r="Q553" i="8"/>
  <c r="N553" i="8"/>
  <c r="S552" i="8"/>
  <c r="R552" i="8"/>
  <c r="Q552" i="8"/>
  <c r="N552" i="8"/>
  <c r="S551" i="8"/>
  <c r="R551" i="8"/>
  <c r="Q551" i="8"/>
  <c r="P551" i="8"/>
  <c r="O551" i="8"/>
  <c r="N551" i="8"/>
  <c r="N152" i="8"/>
  <c r="S274" i="8"/>
  <c r="S272" i="8"/>
  <c r="S271" i="8"/>
  <c r="S270" i="8"/>
  <c r="R1030" i="8" l="1"/>
  <c r="O1030" i="8"/>
  <c r="N238" i="8"/>
  <c r="P923" i="8"/>
  <c r="P214" i="8"/>
  <c r="P971" i="8" l="1"/>
  <c r="P972" i="8"/>
  <c r="P970" i="8"/>
  <c r="P973" i="8"/>
  <c r="P909" i="8" l="1"/>
  <c r="O749" i="8"/>
  <c r="P209" i="8" l="1"/>
  <c r="P206" i="8"/>
  <c r="N622" i="8" l="1"/>
  <c r="N326" i="8"/>
  <c r="Q326" i="8"/>
  <c r="R326" i="8"/>
  <c r="S326" i="8"/>
  <c r="R87" i="8"/>
  <c r="R953" i="8"/>
  <c r="R954" i="8"/>
  <c r="R952" i="8"/>
  <c r="Q953" i="8"/>
  <c r="Q954" i="8"/>
  <c r="Q952" i="8"/>
  <c r="P952" i="8"/>
  <c r="O952" i="8"/>
  <c r="P894" i="8"/>
  <c r="N894" i="8"/>
  <c r="O894" i="8"/>
  <c r="Q894" i="8"/>
  <c r="R894" i="8"/>
  <c r="Q5" i="8" l="1"/>
  <c r="Q4" i="8"/>
  <c r="Q556" i="8"/>
  <c r="P557" i="8"/>
  <c r="P567" i="8"/>
  <c r="P569" i="8"/>
  <c r="P572" i="8"/>
  <c r="P94" i="8"/>
  <c r="P31" i="8"/>
  <c r="P28" i="8"/>
  <c r="P24" i="8"/>
  <c r="P26" i="8"/>
  <c r="P22" i="8"/>
  <c r="P17" i="8"/>
  <c r="P14" i="8"/>
  <c r="P13" i="8"/>
  <c r="P4" i="8"/>
  <c r="P3" i="8"/>
  <c r="Q1066" i="8"/>
  <c r="Q1065" i="8"/>
  <c r="O2" i="8"/>
  <c r="S818" i="8" l="1"/>
  <c r="R818" i="8"/>
  <c r="Q818" i="8"/>
  <c r="S817" i="8"/>
  <c r="R817" i="8"/>
  <c r="Q817" i="8"/>
  <c r="S816" i="8"/>
  <c r="R816" i="8"/>
  <c r="Q816" i="8"/>
  <c r="R39" i="8"/>
  <c r="R918" i="8" l="1"/>
  <c r="Q885" i="8"/>
  <c r="Q886" i="8"/>
  <c r="Q883" i="8"/>
  <c r="O880" i="8"/>
  <c r="R887" i="8" l="1"/>
  <c r="N1070" i="8" l="1"/>
  <c r="N1052" i="8"/>
  <c r="N1027" i="8"/>
  <c r="N1009" i="8"/>
  <c r="N1001" i="8"/>
  <c r="N991" i="8"/>
  <c r="N974" i="8"/>
  <c r="N970" i="8"/>
  <c r="N948" i="8"/>
  <c r="N941" i="8"/>
  <c r="N933" i="8"/>
  <c r="N923" i="8"/>
  <c r="N880" i="8"/>
  <c r="R869" i="8"/>
  <c r="R870" i="8"/>
  <c r="R872" i="8"/>
  <c r="R873" i="8"/>
  <c r="R876" i="8"/>
  <c r="R877" i="8"/>
  <c r="R878" i="8"/>
  <c r="R879" i="8"/>
  <c r="R880" i="8"/>
  <c r="R881" i="8"/>
  <c r="R882" i="8"/>
  <c r="R883" i="8"/>
  <c r="R885" i="8"/>
  <c r="R886" i="8"/>
  <c r="R888" i="8"/>
  <c r="R889" i="8"/>
  <c r="R890" i="8"/>
  <c r="R891" i="8"/>
  <c r="R892" i="8"/>
  <c r="R893" i="8"/>
  <c r="R895" i="8"/>
  <c r="R898" i="8"/>
  <c r="R899" i="8"/>
  <c r="R900" i="8"/>
  <c r="R901" i="8"/>
  <c r="R902" i="8"/>
  <c r="R903" i="8"/>
  <c r="R904" i="8"/>
  <c r="R905" i="8"/>
  <c r="R906" i="8"/>
  <c r="R907" i="8"/>
  <c r="R908" i="8"/>
  <c r="R909" i="8"/>
  <c r="R910" i="8"/>
  <c r="R911" i="8"/>
  <c r="R912" i="8"/>
  <c r="R913" i="8"/>
  <c r="R914" i="8"/>
  <c r="R915" i="8"/>
  <c r="R916" i="8"/>
  <c r="R917" i="8"/>
  <c r="R919" i="8"/>
  <c r="R920" i="8"/>
  <c r="R921" i="8"/>
  <c r="R922" i="8"/>
  <c r="R923" i="8"/>
  <c r="R924" i="8"/>
  <c r="R925" i="8"/>
  <c r="R926" i="8"/>
  <c r="R927" i="8"/>
  <c r="R928" i="8"/>
  <c r="R929" i="8"/>
  <c r="R930" i="8"/>
  <c r="R931" i="8"/>
  <c r="R932" i="8"/>
  <c r="R933" i="8"/>
  <c r="R935" i="8"/>
  <c r="R936" i="8"/>
  <c r="R937" i="8"/>
  <c r="R938" i="8"/>
  <c r="R939" i="8"/>
  <c r="R940" i="8"/>
  <c r="R941" i="8"/>
  <c r="R942" i="8"/>
  <c r="R943" i="8"/>
  <c r="R944" i="8"/>
  <c r="R945" i="8"/>
  <c r="R946" i="8"/>
  <c r="R947" i="8"/>
  <c r="R948" i="8"/>
  <c r="R949" i="8"/>
  <c r="R950" i="8"/>
  <c r="R951" i="8"/>
  <c r="R955" i="8"/>
  <c r="R956" i="8"/>
  <c r="R957" i="8"/>
  <c r="R958" i="8"/>
  <c r="R959" i="8"/>
  <c r="R960" i="8"/>
  <c r="R961" i="8"/>
  <c r="R962" i="8"/>
  <c r="R963" i="8"/>
  <c r="R964" i="8"/>
  <c r="R965" i="8"/>
  <c r="R966" i="8"/>
  <c r="R967" i="8"/>
  <c r="R968" i="8"/>
  <c r="R969" i="8"/>
  <c r="R970" i="8"/>
  <c r="R971" i="8"/>
  <c r="R972" i="8"/>
  <c r="R973" i="8"/>
  <c r="R974" i="8"/>
  <c r="R975" i="8"/>
  <c r="R976" i="8"/>
  <c r="R977" i="8"/>
  <c r="R978" i="8"/>
  <c r="R979" i="8"/>
  <c r="R980" i="8"/>
  <c r="R981" i="8"/>
  <c r="R982" i="8"/>
  <c r="R983" i="8"/>
  <c r="R984" i="8"/>
  <c r="R985" i="8"/>
  <c r="R986" i="8"/>
  <c r="R987" i="8"/>
  <c r="R988" i="8"/>
  <c r="R989" i="8"/>
  <c r="R990" i="8"/>
  <c r="R991" i="8"/>
  <c r="R992" i="8"/>
  <c r="R994" i="8"/>
  <c r="R995" i="8"/>
  <c r="R998" i="8"/>
  <c r="R999" i="8"/>
  <c r="R1000" i="8"/>
  <c r="R1001" i="8"/>
  <c r="R1002" i="8"/>
  <c r="R1003" i="8"/>
  <c r="R1004" i="8"/>
  <c r="R1005" i="8"/>
  <c r="R1008" i="8"/>
  <c r="R1009" i="8"/>
  <c r="R1010" i="8"/>
  <c r="R1011" i="8"/>
  <c r="R1012" i="8"/>
  <c r="R1013" i="8"/>
  <c r="R1014" i="8"/>
  <c r="R1022" i="8"/>
  <c r="R1023" i="8"/>
  <c r="R1024" i="8"/>
  <c r="R1025" i="8"/>
  <c r="R1026" i="8"/>
  <c r="R1027" i="8"/>
  <c r="R1028" i="8"/>
  <c r="R1029" i="8"/>
  <c r="R1031" i="8"/>
  <c r="R1032" i="8"/>
  <c r="R1033" i="8"/>
  <c r="R1034" i="8"/>
  <c r="R1035" i="8"/>
  <c r="R1036" i="8"/>
  <c r="R1037" i="8"/>
  <c r="R1038" i="8"/>
  <c r="R1039" i="8"/>
  <c r="R1040" i="8"/>
  <c r="R1041" i="8"/>
  <c r="R1042" i="8"/>
  <c r="R1043" i="8"/>
  <c r="R1044" i="8"/>
  <c r="R1045" i="8"/>
  <c r="R1046" i="8"/>
  <c r="R1047" i="8"/>
  <c r="R1048" i="8"/>
  <c r="R1049" i="8"/>
  <c r="R1050" i="8"/>
  <c r="R1051" i="8"/>
  <c r="R1052" i="8"/>
  <c r="R1053" i="8"/>
  <c r="R1054" i="8"/>
  <c r="R1055" i="8"/>
  <c r="R1056" i="8"/>
  <c r="R1057" i="8"/>
  <c r="R1058" i="8"/>
  <c r="R1059" i="8"/>
  <c r="R1060" i="8"/>
  <c r="R1061" i="8"/>
  <c r="R1062" i="8"/>
  <c r="R1063" i="8"/>
  <c r="R1064" i="8"/>
  <c r="R1065" i="8"/>
  <c r="R1066" i="8"/>
  <c r="R1067" i="8"/>
  <c r="R1068" i="8"/>
  <c r="R1069" i="8"/>
  <c r="R1070" i="8"/>
  <c r="R1071" i="8"/>
  <c r="R1072" i="8"/>
  <c r="R1073" i="8"/>
  <c r="R1074" i="8"/>
  <c r="R1075" i="8"/>
  <c r="R1076" i="8"/>
  <c r="R1077" i="8"/>
  <c r="R1078" i="8"/>
  <c r="R1079" i="8"/>
  <c r="R1080" i="8"/>
  <c r="R1081" i="8"/>
  <c r="R1082" i="8"/>
  <c r="R1083" i="8"/>
  <c r="R1084" i="8"/>
  <c r="R1085" i="8"/>
  <c r="R1086" i="8"/>
  <c r="R1087" i="8"/>
  <c r="R1088" i="8"/>
  <c r="R1089" i="8"/>
  <c r="R1090" i="8"/>
  <c r="R1091" i="8"/>
  <c r="R1092" i="8"/>
  <c r="R1093" i="8"/>
  <c r="R1094" i="8"/>
  <c r="R1098" i="8"/>
  <c r="R1099" i="8"/>
  <c r="R1100" i="8"/>
  <c r="R1101" i="8"/>
  <c r="R1102" i="8"/>
  <c r="R1103" i="8"/>
  <c r="R1104" i="8"/>
  <c r="R1105" i="8"/>
  <c r="R1106" i="8"/>
  <c r="R1107" i="8"/>
  <c r="R868" i="8"/>
  <c r="Q881" i="8"/>
  <c r="Q882" i="8"/>
  <c r="Q888" i="8"/>
  <c r="Q889" i="8"/>
  <c r="Q890" i="8"/>
  <c r="Q891" i="8"/>
  <c r="Q892" i="8"/>
  <c r="Q893" i="8"/>
  <c r="Q898" i="8"/>
  <c r="Q899" i="8"/>
  <c r="Q900" i="8"/>
  <c r="Q901" i="8"/>
  <c r="Q902" i="8"/>
  <c r="Q903" i="8"/>
  <c r="Q904" i="8"/>
  <c r="Q905" i="8"/>
  <c r="Q906" i="8"/>
  <c r="Q907" i="8"/>
  <c r="Q908" i="8"/>
  <c r="Q909" i="8"/>
  <c r="Q910" i="8"/>
  <c r="Q911" i="8"/>
  <c r="Q912" i="8"/>
  <c r="Q913" i="8"/>
  <c r="Q914" i="8"/>
  <c r="Q915" i="8"/>
  <c r="Q916" i="8"/>
  <c r="Q917" i="8"/>
  <c r="Q918" i="8"/>
  <c r="Q919" i="8"/>
  <c r="Q920" i="8"/>
  <c r="Q921" i="8"/>
  <c r="Q922" i="8"/>
  <c r="Q923" i="8"/>
  <c r="Q924" i="8"/>
  <c r="Q925" i="8"/>
  <c r="Q926" i="8"/>
  <c r="Q927" i="8"/>
  <c r="Q928" i="8"/>
  <c r="Q929" i="8"/>
  <c r="Q930" i="8"/>
  <c r="Q931" i="8"/>
  <c r="Q932" i="8"/>
  <c r="Q933" i="8"/>
  <c r="Q935" i="8"/>
  <c r="Q936" i="8"/>
  <c r="Q937" i="8"/>
  <c r="Q938" i="8"/>
  <c r="Q939" i="8"/>
  <c r="Q940" i="8"/>
  <c r="Q941" i="8"/>
  <c r="Q942" i="8"/>
  <c r="Q943" i="8"/>
  <c r="Q944" i="8"/>
  <c r="Q945" i="8"/>
  <c r="Q946" i="8"/>
  <c r="Q947" i="8"/>
  <c r="Q948" i="8"/>
  <c r="Q949" i="8"/>
  <c r="Q950" i="8"/>
  <c r="Q951" i="8"/>
  <c r="Q955" i="8"/>
  <c r="Q956" i="8"/>
  <c r="Q957" i="8"/>
  <c r="Q958" i="8"/>
  <c r="Q959" i="8"/>
  <c r="Q960" i="8"/>
  <c r="Q961" i="8"/>
  <c r="Q962" i="8"/>
  <c r="Q963" i="8"/>
  <c r="Q964" i="8"/>
  <c r="Q965" i="8"/>
  <c r="Q966" i="8"/>
  <c r="Q967" i="8"/>
  <c r="Q968" i="8"/>
  <c r="Q969" i="8"/>
  <c r="Q970" i="8"/>
  <c r="Q971" i="8"/>
  <c r="Q972" i="8"/>
  <c r="Q973" i="8"/>
  <c r="Q974" i="8"/>
  <c r="Q975" i="8"/>
  <c r="Q976" i="8"/>
  <c r="Q977" i="8"/>
  <c r="Q978" i="8"/>
  <c r="Q979" i="8"/>
  <c r="Q980" i="8"/>
  <c r="Q981" i="8"/>
  <c r="Q982" i="8"/>
  <c r="Q983" i="8"/>
  <c r="Q984" i="8"/>
  <c r="Q985" i="8"/>
  <c r="Q986" i="8"/>
  <c r="Q987" i="8"/>
  <c r="Q988" i="8"/>
  <c r="Q989" i="8"/>
  <c r="Q990" i="8"/>
  <c r="Q991" i="8"/>
  <c r="Q992" i="8"/>
  <c r="Q994" i="8"/>
  <c r="Q995" i="8"/>
  <c r="Q998" i="8"/>
  <c r="Q999" i="8"/>
  <c r="Q1000" i="8"/>
  <c r="Q1001" i="8"/>
  <c r="Q1002" i="8"/>
  <c r="Q1003" i="8"/>
  <c r="Q1004" i="8"/>
  <c r="Q1005" i="8"/>
  <c r="Q1008" i="8"/>
  <c r="Q1009" i="8"/>
  <c r="Q1010" i="8"/>
  <c r="Q1011" i="8"/>
  <c r="Q1012" i="8"/>
  <c r="Q1013" i="8"/>
  <c r="Q1014" i="8"/>
  <c r="Q1022" i="8"/>
  <c r="Q1023" i="8"/>
  <c r="Q1024" i="8"/>
  <c r="Q1025" i="8"/>
  <c r="Q1027" i="8"/>
  <c r="Q1028" i="8"/>
  <c r="Q1029" i="8"/>
  <c r="Q1031" i="8"/>
  <c r="Q1032" i="8"/>
  <c r="Q1033" i="8"/>
  <c r="Q1034" i="8"/>
  <c r="Q1035" i="8"/>
  <c r="Q1036" i="8"/>
  <c r="Q1037" i="8"/>
  <c r="Q1038" i="8"/>
  <c r="Q1039" i="8"/>
  <c r="Q1040" i="8"/>
  <c r="Q1041" i="8"/>
  <c r="Q1042" i="8"/>
  <c r="Q1043" i="8"/>
  <c r="Q1044" i="8"/>
  <c r="Q1045" i="8"/>
  <c r="Q1046" i="8"/>
  <c r="Q1047" i="8"/>
  <c r="Q1048" i="8"/>
  <c r="Q1049" i="8"/>
  <c r="Q1050" i="8"/>
  <c r="Q1051" i="8"/>
  <c r="Q1052" i="8"/>
  <c r="Q1053" i="8"/>
  <c r="Q1054" i="8"/>
  <c r="Q1055" i="8"/>
  <c r="Q1056" i="8"/>
  <c r="Q1057" i="8"/>
  <c r="Q1058" i="8"/>
  <c r="Q1059" i="8"/>
  <c r="Q1060" i="8"/>
  <c r="Q1061" i="8"/>
  <c r="Q1062" i="8"/>
  <c r="Q1063" i="8"/>
  <c r="Q1064" i="8"/>
  <c r="Q1067" i="8"/>
  <c r="Q1068" i="8"/>
  <c r="Q1069" i="8"/>
  <c r="Q1070" i="8"/>
  <c r="Q1071" i="8"/>
  <c r="Q1072" i="8"/>
  <c r="Q1073" i="8"/>
  <c r="Q1074" i="8"/>
  <c r="Q1075" i="8"/>
  <c r="Q1076" i="8"/>
  <c r="Q1077" i="8"/>
  <c r="Q1078" i="8"/>
  <c r="Q1079" i="8"/>
  <c r="Q1080" i="8"/>
  <c r="Q1081" i="8"/>
  <c r="Q1082" i="8"/>
  <c r="Q1083" i="8"/>
  <c r="Q1084" i="8"/>
  <c r="Q1085" i="8"/>
  <c r="Q1086" i="8"/>
  <c r="Q1087" i="8"/>
  <c r="Q1088" i="8"/>
  <c r="Q1089" i="8"/>
  <c r="Q1090" i="8"/>
  <c r="Q1091" i="8"/>
  <c r="Q1092" i="8"/>
  <c r="Q1093" i="8"/>
  <c r="Q1094" i="8"/>
  <c r="Q1098" i="8"/>
  <c r="Q1099" i="8"/>
  <c r="Q1100" i="8"/>
  <c r="Q1101" i="8"/>
  <c r="Q1102" i="8"/>
  <c r="Q1103" i="8"/>
  <c r="Q1104" i="8"/>
  <c r="Q1105" i="8"/>
  <c r="Q1106" i="8"/>
  <c r="Q1107" i="8"/>
  <c r="Q880" i="8"/>
  <c r="O14" i="8"/>
  <c r="O13" i="8"/>
  <c r="R8" i="8"/>
  <c r="S766" i="8"/>
  <c r="R766" i="8"/>
  <c r="Q766" i="8"/>
  <c r="S765" i="8"/>
  <c r="R765" i="8"/>
  <c r="Q765" i="8"/>
  <c r="P765" i="8"/>
  <c r="O765" i="8"/>
  <c r="S759" i="8"/>
  <c r="R759" i="8"/>
  <c r="Q759" i="8"/>
  <c r="S758" i="8"/>
  <c r="R758" i="8"/>
  <c r="Q758" i="8"/>
  <c r="S757" i="8"/>
  <c r="R757" i="8"/>
  <c r="Q757" i="8"/>
  <c r="S756" i="8"/>
  <c r="R756" i="8"/>
  <c r="Q756" i="8"/>
  <c r="S755" i="8"/>
  <c r="R755" i="8"/>
  <c r="Q755" i="8"/>
  <c r="N1087" i="8" l="1"/>
  <c r="N1086" i="8"/>
  <c r="N1085" i="8"/>
  <c r="N1084" i="8"/>
  <c r="N1083" i="8"/>
  <c r="N1082" i="8"/>
  <c r="N1081" i="8"/>
  <c r="N1080" i="8"/>
  <c r="N1079" i="8"/>
  <c r="N1078" i="8"/>
  <c r="N1077" i="8"/>
  <c r="N1076" i="8"/>
  <c r="N1075" i="8"/>
  <c r="N1074" i="8"/>
  <c r="N1073" i="8"/>
  <c r="N1072" i="8"/>
  <c r="N1071" i="8"/>
  <c r="N1069" i="8"/>
  <c r="N1068" i="8"/>
  <c r="N1067" i="8"/>
  <c r="N1066" i="8"/>
  <c r="N1065" i="8"/>
  <c r="N1064" i="8"/>
  <c r="N1063" i="8"/>
  <c r="N1062" i="8"/>
  <c r="N1061" i="8"/>
  <c r="N1060" i="8"/>
  <c r="N1059" i="8"/>
  <c r="N1058" i="8"/>
  <c r="N1057" i="8"/>
  <c r="N1056" i="8"/>
  <c r="N1055" i="8"/>
  <c r="N1054" i="8"/>
  <c r="N1053" i="8"/>
  <c r="N1031" i="8"/>
  <c r="N1029" i="8"/>
  <c r="N1028" i="8"/>
  <c r="N1008" i="8"/>
  <c r="N1005" i="8"/>
  <c r="N1003" i="8"/>
  <c r="N1002" i="8"/>
  <c r="N1000" i="8"/>
  <c r="N999" i="8"/>
  <c r="N998" i="8"/>
  <c r="N995" i="8"/>
  <c r="N994" i="8"/>
  <c r="N992" i="8"/>
  <c r="N990" i="8"/>
  <c r="N988" i="8"/>
  <c r="N986" i="8"/>
  <c r="N985" i="8"/>
  <c r="N983" i="8"/>
  <c r="N982" i="8"/>
  <c r="N981" i="8"/>
  <c r="N980" i="8"/>
  <c r="N978" i="8"/>
  <c r="N977" i="8"/>
  <c r="N976" i="8"/>
  <c r="N975" i="8"/>
  <c r="N973" i="8"/>
  <c r="N972" i="8"/>
  <c r="N971" i="8"/>
  <c r="N969" i="8"/>
  <c r="N968" i="8"/>
  <c r="N967" i="8"/>
  <c r="N966" i="8"/>
  <c r="N965" i="8"/>
  <c r="N964" i="8"/>
  <c r="N963" i="8"/>
  <c r="N962" i="8"/>
  <c r="N961" i="8"/>
  <c r="N960" i="8"/>
  <c r="N959" i="8"/>
  <c r="N958" i="8"/>
  <c r="N957" i="8"/>
  <c r="N955" i="8"/>
  <c r="N951" i="8"/>
  <c r="N950" i="8"/>
  <c r="N949" i="8"/>
  <c r="N947" i="8"/>
  <c r="N946" i="8"/>
  <c r="N945" i="8"/>
  <c r="N944" i="8"/>
  <c r="N943" i="8"/>
  <c r="N942" i="8"/>
  <c r="N932" i="8"/>
  <c r="N931" i="8"/>
  <c r="N930" i="8"/>
  <c r="N929" i="8"/>
  <c r="N928" i="8"/>
  <c r="N927" i="8"/>
  <c r="N926" i="8"/>
  <c r="N925" i="8"/>
  <c r="N924" i="8"/>
  <c r="S893" i="8"/>
  <c r="N893" i="8"/>
  <c r="S892" i="8"/>
  <c r="N892" i="8"/>
  <c r="S891" i="8"/>
  <c r="P891" i="8"/>
  <c r="O891" i="8"/>
  <c r="N891" i="8"/>
  <c r="S890" i="8"/>
  <c r="P890" i="8"/>
  <c r="O890" i="8"/>
  <c r="N890" i="8"/>
  <c r="S889" i="8"/>
  <c r="P889" i="8"/>
  <c r="O889" i="8"/>
  <c r="N889" i="8"/>
  <c r="S888" i="8"/>
  <c r="S886" i="8"/>
  <c r="S885" i="8"/>
  <c r="S883" i="8"/>
  <c r="S882" i="8"/>
  <c r="N882" i="8"/>
  <c r="S881" i="8"/>
  <c r="N881" i="8"/>
  <c r="S880" i="8"/>
  <c r="S867" i="8"/>
  <c r="R867" i="8"/>
  <c r="Q867" i="8"/>
  <c r="P867" i="8"/>
  <c r="O867" i="8"/>
  <c r="N867" i="8"/>
  <c r="S866" i="8" l="1"/>
  <c r="R866" i="8"/>
  <c r="Q866" i="8"/>
  <c r="P866" i="8"/>
  <c r="O866" i="8"/>
  <c r="N866" i="8"/>
  <c r="S865" i="8"/>
  <c r="R865" i="8"/>
  <c r="Q865" i="8"/>
  <c r="P865" i="8"/>
  <c r="O865" i="8"/>
  <c r="N865" i="8"/>
  <c r="S863" i="8"/>
  <c r="R863" i="8"/>
  <c r="Q863" i="8"/>
  <c r="N863" i="8"/>
  <c r="S862" i="8"/>
  <c r="R862" i="8"/>
  <c r="Q862" i="8"/>
  <c r="P862" i="8"/>
  <c r="O862" i="8"/>
  <c r="N862" i="8"/>
  <c r="S861" i="8"/>
  <c r="R861" i="8"/>
  <c r="Q861" i="8"/>
  <c r="N861" i="8"/>
  <c r="S860" i="8"/>
  <c r="R860" i="8"/>
  <c r="Q860" i="8"/>
  <c r="N860" i="8"/>
  <c r="S859" i="8"/>
  <c r="R859" i="8"/>
  <c r="Q859" i="8"/>
  <c r="P859" i="8"/>
  <c r="O859" i="8"/>
  <c r="N859" i="8"/>
  <c r="R857" i="8"/>
  <c r="S856" i="8"/>
  <c r="R856" i="8"/>
  <c r="Q856" i="8"/>
  <c r="P856" i="8"/>
  <c r="O856" i="8"/>
  <c r="N856" i="8"/>
  <c r="S854" i="8"/>
  <c r="R854" i="8"/>
  <c r="Q854" i="8"/>
  <c r="N854" i="8"/>
  <c r="P853" i="8"/>
  <c r="O853" i="8"/>
  <c r="S851" i="8"/>
  <c r="R851" i="8"/>
  <c r="Q851" i="8"/>
  <c r="P851" i="8"/>
  <c r="O851" i="8"/>
  <c r="N851" i="8"/>
  <c r="S850" i="8"/>
  <c r="R850" i="8"/>
  <c r="Q850" i="8"/>
  <c r="N850" i="8"/>
  <c r="S849" i="8"/>
  <c r="P849" i="8"/>
  <c r="O849" i="8"/>
  <c r="S848" i="8"/>
  <c r="R848" i="8"/>
  <c r="Q848" i="8"/>
  <c r="O848" i="8"/>
  <c r="N848" i="8"/>
  <c r="S847" i="8"/>
  <c r="R847" i="8"/>
  <c r="Q847" i="8"/>
  <c r="N847" i="8"/>
  <c r="S846" i="8"/>
  <c r="R846" i="8"/>
  <c r="Q846" i="8"/>
  <c r="N846" i="8"/>
  <c r="S845" i="8"/>
  <c r="R845" i="8"/>
  <c r="Q845" i="8"/>
  <c r="N845" i="8"/>
  <c r="S844" i="8"/>
  <c r="R844" i="8"/>
  <c r="Q844" i="8"/>
  <c r="P844" i="8"/>
  <c r="O844" i="8"/>
  <c r="N844" i="8"/>
  <c r="S843" i="8"/>
  <c r="R843" i="8"/>
  <c r="Q843" i="8"/>
  <c r="N843" i="8"/>
  <c r="S842" i="8"/>
  <c r="R842" i="8"/>
  <c r="Q842" i="8"/>
  <c r="N842" i="8"/>
  <c r="S841" i="8"/>
  <c r="R841" i="8"/>
  <c r="Q841" i="8"/>
  <c r="N841" i="8"/>
  <c r="S840" i="8"/>
  <c r="R840" i="8"/>
  <c r="Q840" i="8"/>
  <c r="P840" i="8"/>
  <c r="O840" i="8"/>
  <c r="N840" i="8"/>
  <c r="S839" i="8"/>
  <c r="R839" i="8"/>
  <c r="Q839" i="8"/>
  <c r="N839" i="8"/>
  <c r="S838" i="8"/>
  <c r="R838" i="8"/>
  <c r="Q838" i="8"/>
  <c r="P838" i="8"/>
  <c r="O838" i="8"/>
  <c r="N838" i="8"/>
  <c r="S837" i="8"/>
  <c r="R837" i="8"/>
  <c r="Q837" i="8"/>
  <c r="N837" i="8"/>
  <c r="S836" i="8"/>
  <c r="R836" i="8"/>
  <c r="Q836" i="8"/>
  <c r="N836" i="8"/>
  <c r="S835" i="8"/>
  <c r="R835" i="8"/>
  <c r="Q835" i="8"/>
  <c r="N835" i="8"/>
  <c r="S834" i="8"/>
  <c r="R834" i="8"/>
  <c r="Q834" i="8"/>
  <c r="P834" i="8"/>
  <c r="O834" i="8"/>
  <c r="N834" i="8"/>
  <c r="S833" i="8"/>
  <c r="R833" i="8"/>
  <c r="Q833" i="8"/>
  <c r="S832" i="8"/>
  <c r="R832" i="8"/>
  <c r="Q832" i="8"/>
  <c r="S831" i="8"/>
  <c r="R831" i="8"/>
  <c r="Q831" i="8"/>
  <c r="S830" i="8"/>
  <c r="R830" i="8"/>
  <c r="Q830" i="8"/>
  <c r="S829" i="8"/>
  <c r="R829" i="8"/>
  <c r="Q829" i="8"/>
  <c r="S828" i="8"/>
  <c r="R828" i="8"/>
  <c r="Q828" i="8"/>
  <c r="S827" i="8"/>
  <c r="R827" i="8"/>
  <c r="Q827" i="8"/>
  <c r="P827" i="8"/>
  <c r="O827" i="8"/>
  <c r="S826" i="8"/>
  <c r="R826" i="8"/>
  <c r="Q826" i="8"/>
  <c r="S825" i="8"/>
  <c r="R825" i="8"/>
  <c r="Q825" i="8"/>
  <c r="S824" i="8"/>
  <c r="R824" i="8"/>
  <c r="Q824" i="8"/>
  <c r="S823" i="8"/>
  <c r="R823" i="8"/>
  <c r="Q823" i="8"/>
  <c r="S822" i="8"/>
  <c r="R822" i="8"/>
  <c r="Q822" i="8"/>
  <c r="S821" i="8"/>
  <c r="R821" i="8"/>
  <c r="Q821" i="8"/>
  <c r="P821" i="8"/>
  <c r="O821" i="8"/>
  <c r="S820" i="8"/>
  <c r="R820" i="8"/>
  <c r="Q820" i="8"/>
  <c r="S819" i="8"/>
  <c r="R819" i="8"/>
  <c r="Q819" i="8"/>
  <c r="P819" i="8"/>
  <c r="O819" i="8"/>
  <c r="N816" i="8"/>
  <c r="S815" i="8"/>
  <c r="R815" i="8"/>
  <c r="Q815" i="8"/>
  <c r="P815" i="8"/>
  <c r="O815" i="8"/>
  <c r="N815" i="8"/>
  <c r="S814" i="8"/>
  <c r="R814" i="8"/>
  <c r="Q814" i="8"/>
  <c r="N814" i="8"/>
  <c r="S813" i="8"/>
  <c r="R813" i="8"/>
  <c r="Q813" i="8"/>
  <c r="P813" i="8"/>
  <c r="O813" i="8"/>
  <c r="N813" i="8"/>
  <c r="S812" i="8"/>
  <c r="R812" i="8"/>
  <c r="Q812" i="8"/>
  <c r="P812" i="8"/>
  <c r="O812" i="8"/>
  <c r="N812" i="8"/>
  <c r="S811" i="8"/>
  <c r="R811" i="8"/>
  <c r="Q811" i="8"/>
  <c r="P811" i="8"/>
  <c r="O811" i="8"/>
  <c r="N811" i="8"/>
  <c r="S810" i="8"/>
  <c r="R810" i="8"/>
  <c r="Q810" i="8"/>
  <c r="N810" i="8"/>
  <c r="S809" i="8"/>
  <c r="R809" i="8"/>
  <c r="Q809" i="8"/>
  <c r="N809" i="8"/>
  <c r="S808" i="8"/>
  <c r="R808" i="8"/>
  <c r="Q808" i="8"/>
  <c r="N808" i="8"/>
  <c r="S807" i="8"/>
  <c r="R807" i="8"/>
  <c r="Q807" i="8"/>
  <c r="P807" i="8"/>
  <c r="O807" i="8"/>
  <c r="N807" i="8"/>
  <c r="S806" i="8"/>
  <c r="R806" i="8"/>
  <c r="Q806" i="8"/>
  <c r="N806" i="8"/>
  <c r="S805" i="8"/>
  <c r="R805" i="8"/>
  <c r="Q805" i="8"/>
  <c r="N805" i="8"/>
  <c r="S804" i="8"/>
  <c r="R804" i="8"/>
  <c r="Q804" i="8"/>
  <c r="N804" i="8"/>
  <c r="S803" i="8"/>
  <c r="R803" i="8"/>
  <c r="Q803" i="8"/>
  <c r="N803" i="8"/>
  <c r="S802" i="8"/>
  <c r="R802" i="8"/>
  <c r="Q802" i="8"/>
  <c r="N802" i="8"/>
  <c r="S801" i="8"/>
  <c r="R801" i="8"/>
  <c r="Q801" i="8"/>
  <c r="N801" i="8"/>
  <c r="S800" i="8"/>
  <c r="R800" i="8"/>
  <c r="P800" i="8"/>
  <c r="O800" i="8"/>
  <c r="N800" i="8"/>
  <c r="S799" i="8"/>
  <c r="R799" i="8"/>
  <c r="Q799" i="8"/>
  <c r="N799" i="8"/>
  <c r="S798" i="8"/>
  <c r="R798" i="8"/>
  <c r="Q798" i="8"/>
  <c r="N798" i="8"/>
  <c r="S797" i="8"/>
  <c r="R797" i="8"/>
  <c r="Q797" i="8"/>
  <c r="N797" i="8"/>
  <c r="S796" i="8"/>
  <c r="R796" i="8"/>
  <c r="Q796" i="8"/>
  <c r="P796" i="8"/>
  <c r="O796" i="8"/>
  <c r="N796" i="8"/>
  <c r="S795" i="8"/>
  <c r="R795" i="8"/>
  <c r="Q795" i="8"/>
  <c r="P795" i="8"/>
  <c r="O795" i="8"/>
  <c r="S794" i="8"/>
  <c r="R794" i="8"/>
  <c r="Q794" i="8"/>
  <c r="P794" i="8"/>
  <c r="O794" i="8"/>
  <c r="S793" i="8"/>
  <c r="R793" i="8"/>
  <c r="Q793" i="8"/>
  <c r="P793" i="8"/>
  <c r="O793" i="8"/>
  <c r="S792" i="8"/>
  <c r="R792" i="8"/>
  <c r="Q792" i="8"/>
  <c r="S791" i="8"/>
  <c r="R791" i="8"/>
  <c r="Q791" i="8"/>
  <c r="S790" i="8"/>
  <c r="R790" i="8"/>
  <c r="Q790" i="8"/>
  <c r="P790" i="8"/>
  <c r="O790" i="8"/>
  <c r="S789" i="8"/>
  <c r="R789" i="8"/>
  <c r="Q789" i="8"/>
  <c r="S788" i="8"/>
  <c r="R788" i="8"/>
  <c r="Q788" i="8"/>
  <c r="S787" i="8"/>
  <c r="R787" i="8"/>
  <c r="Q787" i="8"/>
  <c r="P787" i="8"/>
  <c r="O787" i="8"/>
  <c r="N783" i="8"/>
  <c r="S782" i="8"/>
  <c r="R782" i="8"/>
  <c r="Q782" i="8"/>
  <c r="N782" i="8"/>
  <c r="S781" i="8"/>
  <c r="R781" i="8"/>
  <c r="Q781" i="8"/>
  <c r="N781" i="8"/>
  <c r="S780" i="8"/>
  <c r="R780" i="8"/>
  <c r="Q780" i="8"/>
  <c r="P780" i="8"/>
  <c r="O780" i="8"/>
  <c r="N780" i="8"/>
  <c r="S779" i="8"/>
  <c r="R779" i="8"/>
  <c r="Q779" i="8"/>
  <c r="N779" i="8"/>
  <c r="S778" i="8"/>
  <c r="R778" i="8"/>
  <c r="Q778" i="8"/>
  <c r="P778" i="8"/>
  <c r="O778" i="8"/>
  <c r="N778" i="8"/>
  <c r="S777" i="8"/>
  <c r="R777" i="8"/>
  <c r="Q777" i="8"/>
  <c r="N777" i="8"/>
  <c r="S776" i="8"/>
  <c r="R776" i="8"/>
  <c r="Q776" i="8"/>
  <c r="N776" i="8"/>
  <c r="S775" i="8"/>
  <c r="R775" i="8"/>
  <c r="Q775" i="8"/>
  <c r="P775" i="8"/>
  <c r="O775" i="8"/>
  <c r="N775" i="8"/>
  <c r="S774" i="8"/>
  <c r="R774" i="8"/>
  <c r="Q774" i="8"/>
  <c r="N774" i="8"/>
  <c r="S773" i="8"/>
  <c r="R773" i="8"/>
  <c r="Q773" i="8"/>
  <c r="N773" i="8"/>
  <c r="S772" i="8"/>
  <c r="R772" i="8"/>
  <c r="Q772" i="8"/>
  <c r="N772" i="8"/>
  <c r="S771" i="8"/>
  <c r="R771" i="8"/>
  <c r="Q771" i="8"/>
  <c r="N771" i="8"/>
  <c r="S770" i="8"/>
  <c r="R770" i="8"/>
  <c r="Q770" i="8"/>
  <c r="N770" i="8"/>
  <c r="S769" i="8"/>
  <c r="R769" i="8"/>
  <c r="Q769" i="8"/>
  <c r="P769" i="8"/>
  <c r="O769" i="8"/>
  <c r="N769" i="8"/>
  <c r="S768" i="8"/>
  <c r="R768" i="8"/>
  <c r="Q768" i="8"/>
  <c r="O768" i="8"/>
  <c r="N768" i="8"/>
  <c r="S754" i="8"/>
  <c r="R754" i="8"/>
  <c r="Q754" i="8"/>
  <c r="P754" i="8"/>
  <c r="O754" i="8"/>
  <c r="S753" i="8"/>
  <c r="R753" i="8"/>
  <c r="Q753" i="8"/>
  <c r="P753" i="8"/>
  <c r="O753" i="8"/>
  <c r="S752" i="8"/>
  <c r="R752" i="8"/>
  <c r="Q752" i="8"/>
  <c r="P752" i="8"/>
  <c r="O752" i="8"/>
  <c r="S751" i="8"/>
  <c r="R751" i="8"/>
  <c r="Q751" i="8"/>
  <c r="O751" i="8"/>
  <c r="S750" i="8"/>
  <c r="R750" i="8"/>
  <c r="Q750" i="8"/>
  <c r="S749" i="8"/>
  <c r="R749" i="8"/>
  <c r="Q749" i="8"/>
  <c r="P749" i="8"/>
  <c r="S748" i="8"/>
  <c r="R748" i="8"/>
  <c r="Q748" i="8"/>
  <c r="P748" i="8"/>
  <c r="O748" i="8"/>
  <c r="S747" i="8"/>
  <c r="R747" i="8"/>
  <c r="Q747" i="8"/>
  <c r="S746" i="8"/>
  <c r="R746" i="8"/>
  <c r="Q746" i="8"/>
  <c r="O746" i="8"/>
  <c r="S745" i="8"/>
  <c r="R745" i="8"/>
  <c r="Q745" i="8"/>
  <c r="S744" i="8"/>
  <c r="R744" i="8"/>
  <c r="Q744" i="8"/>
  <c r="S743" i="8"/>
  <c r="R743" i="8"/>
  <c r="Q743" i="8"/>
  <c r="S742" i="8"/>
  <c r="R742" i="8"/>
  <c r="Q742" i="8"/>
  <c r="P742" i="8"/>
  <c r="O742" i="8"/>
  <c r="S741" i="8"/>
  <c r="R741" i="8"/>
  <c r="Q741" i="8"/>
  <c r="P741" i="8"/>
  <c r="O741" i="8"/>
  <c r="S740" i="8"/>
  <c r="R740" i="8"/>
  <c r="Q740" i="8"/>
  <c r="P740" i="8"/>
  <c r="O740" i="8"/>
  <c r="S739" i="8"/>
  <c r="R739" i="8"/>
  <c r="Q739" i="8"/>
  <c r="P739" i="8"/>
  <c r="O739" i="8"/>
  <c r="S738" i="8"/>
  <c r="R738" i="8"/>
  <c r="Q738" i="8"/>
  <c r="P738" i="8"/>
  <c r="O738" i="8"/>
  <c r="S737" i="8"/>
  <c r="R737" i="8"/>
  <c r="Q737" i="8"/>
  <c r="S736" i="8"/>
  <c r="R736" i="8"/>
  <c r="Q736" i="8"/>
  <c r="S735" i="8"/>
  <c r="R735" i="8"/>
  <c r="Q735" i="8"/>
  <c r="P735" i="8"/>
  <c r="O735" i="8"/>
  <c r="S734" i="8"/>
  <c r="R734" i="8"/>
  <c r="Q734" i="8"/>
  <c r="P734" i="8"/>
  <c r="O734" i="8"/>
  <c r="S733" i="8"/>
  <c r="R733" i="8"/>
  <c r="Q733" i="8"/>
  <c r="P733" i="8"/>
  <c r="O733" i="8"/>
  <c r="S732" i="8"/>
  <c r="R732" i="8"/>
  <c r="Q732" i="8"/>
  <c r="O732" i="8"/>
  <c r="S731" i="8"/>
  <c r="R731" i="8"/>
  <c r="Q731" i="8"/>
  <c r="P731" i="8"/>
  <c r="O731" i="8"/>
  <c r="S730" i="8"/>
  <c r="R730" i="8"/>
  <c r="Q730" i="8"/>
  <c r="S729" i="8"/>
  <c r="R729" i="8"/>
  <c r="Q729" i="8"/>
  <c r="P729" i="8"/>
  <c r="O729" i="8"/>
  <c r="N729" i="8"/>
  <c r="S728" i="8"/>
  <c r="R728" i="8"/>
  <c r="Q728" i="8"/>
  <c r="S727" i="8"/>
  <c r="R727" i="8"/>
  <c r="Q727" i="8"/>
  <c r="O727" i="8"/>
  <c r="S726" i="8"/>
  <c r="R726" i="8"/>
  <c r="Q726" i="8"/>
  <c r="S725" i="8"/>
  <c r="R725" i="8"/>
  <c r="Q725" i="8"/>
  <c r="S724" i="8"/>
  <c r="R724" i="8"/>
  <c r="Q724" i="8"/>
  <c r="S723" i="8"/>
  <c r="R723" i="8"/>
  <c r="Q723" i="8"/>
  <c r="S722" i="8"/>
  <c r="R722" i="8"/>
  <c r="Q722" i="8"/>
  <c r="P722" i="8"/>
  <c r="O722" i="8"/>
  <c r="S721" i="8"/>
  <c r="R721" i="8"/>
  <c r="Q721" i="8"/>
  <c r="S720" i="8"/>
  <c r="R720" i="8"/>
  <c r="Q720" i="8"/>
  <c r="S719" i="8"/>
  <c r="R719" i="8"/>
  <c r="Q719" i="8"/>
  <c r="S718" i="8"/>
  <c r="R718" i="8"/>
  <c r="Q718" i="8"/>
  <c r="S717" i="8"/>
  <c r="R717" i="8"/>
  <c r="Q717" i="8"/>
  <c r="P717" i="8"/>
  <c r="O717" i="8"/>
  <c r="S716" i="8"/>
  <c r="R716" i="8"/>
  <c r="Q716" i="8"/>
  <c r="S715" i="8"/>
  <c r="R715" i="8"/>
  <c r="Q715" i="8"/>
  <c r="S714" i="8"/>
  <c r="R714" i="8"/>
  <c r="Q714" i="8"/>
  <c r="P714" i="8"/>
  <c r="O714" i="8"/>
  <c r="N714" i="8"/>
  <c r="S713" i="8" l="1"/>
  <c r="R713" i="8"/>
  <c r="Q713" i="8"/>
  <c r="S712" i="8"/>
  <c r="R712" i="8"/>
  <c r="Q712" i="8"/>
  <c r="S711" i="8"/>
  <c r="R711" i="8"/>
  <c r="Q711" i="8"/>
  <c r="S710" i="8"/>
  <c r="R710" i="8"/>
  <c r="Q710" i="8"/>
  <c r="S709" i="8"/>
  <c r="R709" i="8"/>
  <c r="Q709" i="8"/>
  <c r="P709" i="8"/>
  <c r="O709" i="8"/>
  <c r="S708" i="8"/>
  <c r="R708" i="8"/>
  <c r="Q708" i="8"/>
  <c r="P708" i="8"/>
  <c r="O708" i="8"/>
  <c r="S707" i="8"/>
  <c r="R707" i="8"/>
  <c r="Q707" i="8"/>
  <c r="S706" i="8"/>
  <c r="R706" i="8"/>
  <c r="Q706" i="8"/>
  <c r="S703" i="8"/>
  <c r="S702" i="8"/>
  <c r="S701" i="8"/>
  <c r="R701" i="8"/>
  <c r="Q701" i="8"/>
  <c r="S700" i="8"/>
  <c r="R700" i="8"/>
  <c r="Q700" i="8"/>
  <c r="S699" i="8"/>
  <c r="R699" i="8"/>
  <c r="Q699" i="8"/>
  <c r="P699" i="8"/>
  <c r="O699" i="8"/>
  <c r="S698" i="8"/>
  <c r="R698" i="8"/>
  <c r="Q698" i="8"/>
  <c r="S697" i="8"/>
  <c r="R697" i="8"/>
  <c r="Q697" i="8"/>
  <c r="S696" i="8"/>
  <c r="R696" i="8"/>
  <c r="Q696" i="8"/>
  <c r="S695" i="8"/>
  <c r="R695" i="8"/>
  <c r="Q695" i="8"/>
  <c r="S694" i="8"/>
  <c r="R694" i="8"/>
  <c r="Q694" i="8"/>
  <c r="S693" i="8"/>
  <c r="R693" i="8"/>
  <c r="Q693" i="8"/>
  <c r="S692" i="8"/>
  <c r="R692" i="8"/>
  <c r="Q692" i="8"/>
  <c r="S691" i="8"/>
  <c r="R691" i="8"/>
  <c r="Q691" i="8"/>
  <c r="P691" i="8"/>
  <c r="O691" i="8"/>
  <c r="S690" i="8"/>
  <c r="R690" i="8"/>
  <c r="Q690" i="8"/>
  <c r="P690" i="8"/>
  <c r="O690" i="8"/>
  <c r="S689" i="8"/>
  <c r="Q689" i="8"/>
  <c r="S688" i="8"/>
  <c r="R688" i="8"/>
  <c r="Q688" i="8"/>
  <c r="S687" i="8"/>
  <c r="R687" i="8"/>
  <c r="Q687" i="8"/>
  <c r="P687" i="8"/>
  <c r="O687" i="8"/>
  <c r="S686" i="8"/>
  <c r="R686" i="8"/>
  <c r="Q686" i="8"/>
  <c r="P686" i="8"/>
  <c r="O686" i="8"/>
  <c r="S685" i="8"/>
  <c r="R685" i="8"/>
  <c r="Q685" i="8"/>
  <c r="S684" i="8"/>
  <c r="R684" i="8"/>
  <c r="Q684" i="8"/>
  <c r="S683" i="8"/>
  <c r="R683" i="8"/>
  <c r="Q683" i="8"/>
  <c r="S682" i="8"/>
  <c r="R682" i="8"/>
  <c r="Q682" i="8"/>
  <c r="S681" i="8"/>
  <c r="R681" i="8"/>
  <c r="Q681" i="8"/>
  <c r="P681" i="8"/>
  <c r="O681" i="8"/>
  <c r="S679" i="8"/>
  <c r="R679" i="8"/>
  <c r="Q679" i="8"/>
  <c r="P679" i="8"/>
  <c r="O679" i="8"/>
  <c r="S678" i="8"/>
  <c r="R678" i="8"/>
  <c r="Q678" i="8"/>
  <c r="P678" i="8"/>
  <c r="O678" i="8"/>
  <c r="S675" i="8"/>
  <c r="R675" i="8"/>
  <c r="Q675" i="8"/>
  <c r="P675" i="8"/>
  <c r="O675" i="8"/>
  <c r="Q673" i="8"/>
  <c r="S672" i="8"/>
  <c r="R672" i="8"/>
  <c r="Q672" i="8"/>
  <c r="S671" i="8"/>
  <c r="R671" i="8"/>
  <c r="Q671" i="8"/>
  <c r="P671" i="8"/>
  <c r="O671" i="8"/>
  <c r="S670" i="8"/>
  <c r="R670" i="8"/>
  <c r="Q670" i="8"/>
  <c r="P670" i="8"/>
  <c r="O670" i="8"/>
  <c r="S667" i="8"/>
  <c r="R667" i="8"/>
  <c r="Q667" i="8"/>
  <c r="P667" i="8"/>
  <c r="O667" i="8"/>
  <c r="S666" i="8"/>
  <c r="R666" i="8"/>
  <c r="Q666" i="8"/>
  <c r="S665" i="8"/>
  <c r="R665" i="8"/>
  <c r="Q665" i="8"/>
  <c r="P665" i="8"/>
  <c r="O665" i="8"/>
  <c r="S664" i="8"/>
  <c r="R664" i="8"/>
  <c r="Q664" i="8"/>
  <c r="S663" i="8"/>
  <c r="R663" i="8"/>
  <c r="Q663" i="8"/>
  <c r="S662" i="8"/>
  <c r="R662" i="8"/>
  <c r="Q662" i="8"/>
  <c r="P662" i="8"/>
  <c r="O662" i="8"/>
  <c r="S661" i="8"/>
  <c r="R661" i="8"/>
  <c r="Q661" i="8"/>
  <c r="S660" i="8"/>
  <c r="R660" i="8"/>
  <c r="Q660" i="8"/>
  <c r="S659" i="8"/>
  <c r="R659" i="8"/>
  <c r="Q659" i="8"/>
  <c r="S658" i="8"/>
  <c r="R658" i="8"/>
  <c r="Q658" i="8"/>
  <c r="P658" i="8"/>
  <c r="O658" i="8"/>
  <c r="S657" i="8"/>
  <c r="R657" i="8"/>
  <c r="Q657" i="8"/>
  <c r="P657" i="8"/>
  <c r="O657" i="8"/>
  <c r="S654" i="8"/>
  <c r="R654" i="8"/>
  <c r="Q654" i="8"/>
  <c r="S653" i="8"/>
  <c r="R653" i="8"/>
  <c r="Q653" i="8"/>
  <c r="P653" i="8"/>
  <c r="O653" i="8"/>
  <c r="S650" i="8"/>
  <c r="R650" i="8"/>
  <c r="Q650" i="8"/>
  <c r="O650" i="8"/>
  <c r="S649" i="8"/>
  <c r="R649" i="8"/>
  <c r="Q649" i="8"/>
  <c r="O649" i="8"/>
  <c r="S648" i="8"/>
  <c r="R648" i="8"/>
  <c r="Q648" i="8"/>
  <c r="P648" i="8"/>
  <c r="O648" i="8"/>
  <c r="S647" i="8"/>
  <c r="R647" i="8"/>
  <c r="Q647" i="8"/>
  <c r="P647" i="8"/>
  <c r="O647" i="8"/>
  <c r="N647" i="8"/>
  <c r="S646" i="8"/>
  <c r="R646" i="8"/>
  <c r="Q646" i="8"/>
  <c r="P646" i="8"/>
  <c r="O646" i="8"/>
  <c r="N646" i="8"/>
  <c r="S643" i="8"/>
  <c r="R643" i="8"/>
  <c r="Q643" i="8"/>
  <c r="N643" i="8"/>
  <c r="S642" i="8"/>
  <c r="R642" i="8"/>
  <c r="Q642" i="8"/>
  <c r="P642" i="8"/>
  <c r="O642" i="8"/>
  <c r="N642" i="8"/>
  <c r="S641" i="8"/>
  <c r="R641" i="8"/>
  <c r="Q641" i="8"/>
  <c r="N641" i="8"/>
  <c r="S640" i="8"/>
  <c r="R640" i="8"/>
  <c r="Q640" i="8"/>
  <c r="N640" i="8"/>
  <c r="S639" i="8"/>
  <c r="R639" i="8"/>
  <c r="Q639" i="8"/>
  <c r="O639" i="8"/>
  <c r="N639" i="8"/>
  <c r="S637" i="8"/>
  <c r="R637" i="8"/>
  <c r="Q637" i="8"/>
  <c r="N637" i="8"/>
  <c r="S636" i="8"/>
  <c r="R636" i="8"/>
  <c r="Q636" i="8"/>
  <c r="O636" i="8"/>
  <c r="N636" i="8"/>
  <c r="S635" i="8"/>
  <c r="R635" i="8"/>
  <c r="Q635" i="8"/>
  <c r="N635" i="8"/>
  <c r="S634" i="8"/>
  <c r="R634" i="8"/>
  <c r="Q634" i="8"/>
  <c r="N634" i="8"/>
  <c r="S633" i="8"/>
  <c r="R633" i="8"/>
  <c r="Q633" i="8"/>
  <c r="P633" i="8"/>
  <c r="O633" i="8"/>
  <c r="S631" i="8"/>
  <c r="R631" i="8"/>
  <c r="Q631" i="8"/>
  <c r="S630" i="8"/>
  <c r="R630" i="8"/>
  <c r="Q630" i="8"/>
  <c r="S629" i="8"/>
  <c r="R629" i="8"/>
  <c r="Q629" i="8"/>
  <c r="S628" i="8"/>
  <c r="R628" i="8"/>
  <c r="Q628" i="8"/>
  <c r="P628" i="8"/>
  <c r="O628" i="8"/>
  <c r="S627" i="8"/>
  <c r="R627" i="8"/>
  <c r="Q627" i="8"/>
  <c r="P627" i="8"/>
  <c r="O627" i="8"/>
  <c r="S624" i="8"/>
  <c r="R624" i="8"/>
  <c r="Q624" i="8"/>
  <c r="P624" i="8"/>
  <c r="O624" i="8"/>
  <c r="S621" i="8"/>
  <c r="R621" i="8"/>
  <c r="Q621" i="8"/>
  <c r="N621" i="8"/>
  <c r="S620" i="8"/>
  <c r="R620" i="8"/>
  <c r="Q620" i="8"/>
  <c r="N620" i="8"/>
  <c r="S619" i="8"/>
  <c r="R619" i="8"/>
  <c r="Q619" i="8"/>
  <c r="P619" i="8"/>
  <c r="O619" i="8"/>
  <c r="N619" i="8"/>
  <c r="S618" i="8"/>
  <c r="R618" i="8"/>
  <c r="Q618" i="8"/>
  <c r="N618" i="8"/>
  <c r="S617" i="8"/>
  <c r="R617" i="8"/>
  <c r="Q617" i="8"/>
  <c r="N617" i="8"/>
  <c r="S616" i="8"/>
  <c r="R616" i="8"/>
  <c r="Q616" i="8"/>
  <c r="N616" i="8"/>
  <c r="S615" i="8"/>
  <c r="R615" i="8"/>
  <c r="Q615" i="8"/>
  <c r="N615" i="8"/>
  <c r="S614" i="8"/>
  <c r="R614" i="8"/>
  <c r="Q614" i="8"/>
  <c r="P614" i="8"/>
  <c r="O614" i="8"/>
  <c r="N614" i="8"/>
  <c r="S613" i="8"/>
  <c r="R613" i="8"/>
  <c r="Q613" i="8"/>
  <c r="N613" i="8"/>
  <c r="S612" i="8"/>
  <c r="R612" i="8"/>
  <c r="Q612" i="8"/>
  <c r="N612" i="8"/>
  <c r="S611" i="8"/>
  <c r="R611" i="8"/>
  <c r="Q611" i="8"/>
  <c r="P611" i="8"/>
  <c r="O611" i="8"/>
  <c r="N611" i="8"/>
  <c r="S610" i="8"/>
  <c r="R610" i="8"/>
  <c r="Q610" i="8"/>
  <c r="S609" i="8"/>
  <c r="R609" i="8"/>
  <c r="Q609" i="8"/>
  <c r="S608" i="8"/>
  <c r="R608" i="8"/>
  <c r="Q608" i="8"/>
  <c r="S607" i="8"/>
  <c r="R607" i="8"/>
  <c r="Q607" i="8"/>
  <c r="S606" i="8"/>
  <c r="R606" i="8"/>
  <c r="Q606" i="8"/>
  <c r="S605" i="8"/>
  <c r="R605" i="8"/>
  <c r="Q605" i="8"/>
  <c r="S604" i="8"/>
  <c r="R604" i="8"/>
  <c r="Q604" i="8"/>
  <c r="P604" i="8"/>
  <c r="O604" i="8"/>
  <c r="S603" i="8"/>
  <c r="R603" i="8"/>
  <c r="Q603" i="8"/>
  <c r="S602" i="8"/>
  <c r="R602" i="8"/>
  <c r="Q602" i="8"/>
  <c r="S601" i="8"/>
  <c r="R601" i="8"/>
  <c r="Q601" i="8"/>
  <c r="S600" i="8"/>
  <c r="R600" i="8"/>
  <c r="P600" i="8"/>
  <c r="O600" i="8"/>
  <c r="S597" i="8"/>
  <c r="R597" i="8"/>
  <c r="Q597" i="8"/>
  <c r="S596" i="8"/>
  <c r="R596" i="8"/>
  <c r="Q596" i="8"/>
  <c r="S595" i="8"/>
  <c r="R595" i="8"/>
  <c r="Q595" i="8"/>
  <c r="S594" i="8"/>
  <c r="R594" i="8"/>
  <c r="Q594" i="8"/>
  <c r="P594" i="8"/>
  <c r="O594" i="8"/>
  <c r="S593" i="8"/>
  <c r="R593" i="8"/>
  <c r="Q593" i="8"/>
  <c r="S592" i="8"/>
  <c r="R592" i="8"/>
  <c r="Q592" i="8"/>
  <c r="S591" i="8"/>
  <c r="R591" i="8"/>
  <c r="Q591" i="8"/>
  <c r="S590" i="8"/>
  <c r="R590" i="8"/>
  <c r="Q590" i="8"/>
  <c r="P590" i="8"/>
  <c r="O590" i="8"/>
  <c r="S589" i="8"/>
  <c r="R589" i="8"/>
  <c r="Q589" i="8"/>
  <c r="S588" i="8"/>
  <c r="R588" i="8"/>
  <c r="Q588" i="8"/>
  <c r="P588" i="8"/>
  <c r="O588" i="8"/>
  <c r="S587" i="8"/>
  <c r="R587" i="8"/>
  <c r="Q587" i="8"/>
  <c r="P587" i="8"/>
  <c r="O587" i="8"/>
  <c r="N587" i="8"/>
  <c r="S586" i="8"/>
  <c r="R586" i="8"/>
  <c r="Q586" i="8"/>
  <c r="S585" i="8"/>
  <c r="R585" i="8"/>
  <c r="Q585" i="8"/>
  <c r="P585" i="8"/>
  <c r="O585" i="8"/>
  <c r="S584" i="8"/>
  <c r="R584" i="8"/>
  <c r="Q584" i="8"/>
  <c r="S582" i="8"/>
  <c r="R582" i="8"/>
  <c r="Q582" i="8"/>
  <c r="P582" i="8"/>
  <c r="O582" i="8"/>
  <c r="S581" i="8"/>
  <c r="R581" i="8"/>
  <c r="Q581" i="8"/>
  <c r="S580" i="8"/>
  <c r="R580" i="8"/>
  <c r="Q580" i="8"/>
  <c r="S579" i="8"/>
  <c r="R579" i="8"/>
  <c r="Q579" i="8"/>
  <c r="S578" i="8"/>
  <c r="R578" i="8"/>
  <c r="Q578" i="8"/>
  <c r="S577" i="8"/>
  <c r="R577" i="8"/>
  <c r="Q577" i="8"/>
  <c r="S576" i="8"/>
  <c r="R576" i="8"/>
  <c r="Q576" i="8"/>
  <c r="P576" i="8"/>
  <c r="O576" i="8"/>
  <c r="S575" i="8"/>
  <c r="R575" i="8"/>
  <c r="Q575" i="8"/>
  <c r="S574" i="8"/>
  <c r="R574" i="8"/>
  <c r="Q574" i="8"/>
  <c r="S573" i="8"/>
  <c r="R573" i="8"/>
  <c r="Q573" i="8"/>
  <c r="S572" i="8"/>
  <c r="R572" i="8"/>
  <c r="Q572" i="8"/>
  <c r="O572" i="8"/>
  <c r="S571" i="8"/>
  <c r="R571" i="8"/>
  <c r="S570" i="8"/>
  <c r="R570" i="8"/>
  <c r="Q570" i="8"/>
  <c r="S569" i="8"/>
  <c r="R569" i="8"/>
  <c r="Q569" i="8"/>
  <c r="O569" i="8"/>
  <c r="S568" i="8"/>
  <c r="R568" i="8"/>
  <c r="Q568" i="8"/>
  <c r="S567" i="8"/>
  <c r="R567" i="8"/>
  <c r="Q567" i="8"/>
  <c r="O567" i="8"/>
  <c r="S566" i="8"/>
  <c r="R566" i="8"/>
  <c r="Q566" i="8"/>
  <c r="P566" i="8"/>
  <c r="O566" i="8"/>
  <c r="S565" i="8"/>
  <c r="R565" i="8"/>
  <c r="Q565" i="8"/>
  <c r="P565" i="8"/>
  <c r="O565" i="8"/>
  <c r="S564" i="8"/>
  <c r="R564" i="8"/>
  <c r="Q564" i="8"/>
  <c r="S563" i="8"/>
  <c r="R563" i="8"/>
  <c r="Q563" i="8"/>
  <c r="P563" i="8"/>
  <c r="O563" i="8"/>
  <c r="S561" i="8"/>
  <c r="R561" i="8"/>
  <c r="Q561" i="8"/>
  <c r="S560" i="8"/>
  <c r="R560" i="8"/>
  <c r="Q560" i="8"/>
  <c r="P560" i="8"/>
  <c r="O560" i="8"/>
  <c r="S559" i="8"/>
  <c r="R559" i="8"/>
  <c r="Q559" i="8"/>
  <c r="P559" i="8"/>
  <c r="O559" i="8"/>
  <c r="S558" i="8"/>
  <c r="R558" i="8"/>
  <c r="Q558" i="8"/>
  <c r="S557" i="8"/>
  <c r="R557" i="8"/>
  <c r="Q557" i="8"/>
  <c r="O557" i="8"/>
  <c r="S556" i="8"/>
  <c r="R556" i="8"/>
  <c r="P556" i="8"/>
  <c r="O556" i="8"/>
  <c r="N555" i="8"/>
  <c r="S550" i="8"/>
  <c r="R550" i="8"/>
  <c r="Q550" i="8"/>
  <c r="P550" i="8"/>
  <c r="O550" i="8"/>
  <c r="N550" i="8"/>
  <c r="S549" i="8"/>
  <c r="R549" i="8"/>
  <c r="Q549" i="8"/>
  <c r="P549" i="8"/>
  <c r="O549" i="8"/>
  <c r="N549" i="8"/>
  <c r="S547" i="8"/>
  <c r="R547" i="8"/>
  <c r="Q547" i="8"/>
  <c r="P547" i="8"/>
  <c r="O547" i="8"/>
  <c r="N547" i="8"/>
  <c r="S546" i="8"/>
  <c r="R546" i="8"/>
  <c r="Q546" i="8"/>
  <c r="P546" i="8"/>
  <c r="O546" i="8"/>
  <c r="N546" i="8"/>
  <c r="S545" i="8"/>
  <c r="R545" i="8"/>
  <c r="Q545" i="8"/>
  <c r="P545" i="8"/>
  <c r="O545" i="8"/>
  <c r="N545" i="8"/>
  <c r="S544" i="8"/>
  <c r="R544" i="8"/>
  <c r="Q544" i="8"/>
  <c r="N544" i="8"/>
  <c r="S543" i="8"/>
  <c r="R543" i="8"/>
  <c r="Q543" i="8"/>
  <c r="P543" i="8"/>
  <c r="O543" i="8"/>
  <c r="N543" i="8"/>
  <c r="S542" i="8"/>
  <c r="R542" i="8"/>
  <c r="Q542" i="8"/>
  <c r="P542" i="8"/>
  <c r="O542" i="8"/>
  <c r="N542" i="8"/>
  <c r="S541" i="8"/>
  <c r="R541" i="8"/>
  <c r="Q541" i="8"/>
  <c r="P541" i="8"/>
  <c r="O541" i="8"/>
  <c r="N541" i="8"/>
  <c r="S540" i="8"/>
  <c r="R540" i="8"/>
  <c r="Q540" i="8"/>
  <c r="N540" i="8"/>
  <c r="S539" i="8"/>
  <c r="R539" i="8"/>
  <c r="Q539" i="8"/>
  <c r="N539" i="8"/>
  <c r="S538" i="8"/>
  <c r="R538" i="8"/>
  <c r="Q538" i="8"/>
  <c r="P538" i="8"/>
  <c r="O538" i="8"/>
  <c r="N538" i="8"/>
  <c r="S537" i="8"/>
  <c r="R537" i="8"/>
  <c r="Q537" i="8"/>
  <c r="N537" i="8"/>
  <c r="S536" i="8"/>
  <c r="R536" i="8"/>
  <c r="Q536" i="8"/>
  <c r="N536" i="8"/>
  <c r="S535" i="8"/>
  <c r="R535" i="8"/>
  <c r="Q535" i="8"/>
  <c r="N535" i="8"/>
  <c r="S534" i="8"/>
  <c r="R534" i="8"/>
  <c r="Q534" i="8"/>
  <c r="N534" i="8"/>
  <c r="S533" i="8"/>
  <c r="R533" i="8"/>
  <c r="Q533" i="8"/>
  <c r="N533" i="8"/>
  <c r="S532" i="8"/>
  <c r="R532" i="8"/>
  <c r="Q532" i="8"/>
  <c r="P532" i="8"/>
  <c r="O532" i="8"/>
  <c r="N532" i="8"/>
  <c r="S531" i="8"/>
  <c r="R531" i="8"/>
  <c r="Q531" i="8"/>
  <c r="N531" i="8"/>
  <c r="S530" i="8"/>
  <c r="R530" i="8"/>
  <c r="Q530" i="8"/>
  <c r="P530" i="8"/>
  <c r="O530" i="8"/>
  <c r="N530" i="8"/>
  <c r="S529" i="8"/>
  <c r="R529" i="8"/>
  <c r="Q529" i="8"/>
  <c r="P529" i="8"/>
  <c r="O529" i="8"/>
  <c r="N529" i="8"/>
  <c r="S528" i="8"/>
  <c r="R528" i="8"/>
  <c r="Q528" i="8"/>
  <c r="N528" i="8"/>
  <c r="S527" i="8"/>
  <c r="R527" i="8"/>
  <c r="Q527" i="8"/>
  <c r="N527" i="8"/>
  <c r="S526" i="8"/>
  <c r="R526" i="8"/>
  <c r="Q526" i="8"/>
  <c r="N526" i="8"/>
  <c r="S525" i="8"/>
  <c r="R525" i="8"/>
  <c r="Q525" i="8"/>
  <c r="P525" i="8"/>
  <c r="O525" i="8"/>
  <c r="N525" i="8"/>
  <c r="S524" i="8"/>
  <c r="R524" i="8"/>
  <c r="Q524" i="8"/>
  <c r="S523" i="8"/>
  <c r="R523" i="8"/>
  <c r="Q523" i="8"/>
  <c r="S522" i="8"/>
  <c r="R522" i="8"/>
  <c r="Q522" i="8"/>
  <c r="S521" i="8"/>
  <c r="R521" i="8"/>
  <c r="Q521" i="8"/>
  <c r="P521" i="8"/>
  <c r="O521" i="8"/>
  <c r="S520" i="8"/>
  <c r="R520" i="8"/>
  <c r="Q520" i="8"/>
  <c r="S519" i="8"/>
  <c r="R519" i="8"/>
  <c r="Q519" i="8"/>
  <c r="P519" i="8"/>
  <c r="O519" i="8"/>
  <c r="S518" i="8"/>
  <c r="R518" i="8"/>
  <c r="Q518" i="8"/>
  <c r="S517" i="8"/>
  <c r="R517" i="8"/>
  <c r="Q517" i="8"/>
  <c r="P517" i="8"/>
  <c r="O517" i="8"/>
  <c r="S516" i="8"/>
  <c r="R516" i="8"/>
  <c r="Q516" i="8"/>
  <c r="P516" i="8"/>
  <c r="O516" i="8"/>
  <c r="S515" i="8"/>
  <c r="R515" i="8"/>
  <c r="Q515" i="8"/>
  <c r="S514" i="8"/>
  <c r="R514" i="8"/>
  <c r="Q514" i="8"/>
  <c r="P514" i="8"/>
  <c r="O514" i="8"/>
  <c r="S513" i="8"/>
  <c r="Q513" i="8"/>
  <c r="S512" i="8"/>
  <c r="Q512" i="8"/>
  <c r="S511" i="8"/>
  <c r="R511" i="8"/>
  <c r="Q511" i="8"/>
  <c r="P511" i="8"/>
  <c r="O511" i="8"/>
  <c r="S510" i="8"/>
  <c r="R510" i="8"/>
  <c r="Q510" i="8"/>
  <c r="P510" i="8"/>
  <c r="O510" i="8"/>
  <c r="S509" i="8"/>
  <c r="R509" i="8"/>
  <c r="Q509" i="8"/>
  <c r="P509" i="8"/>
  <c r="O509" i="8"/>
  <c r="S508" i="8"/>
  <c r="R508" i="8"/>
  <c r="Q508" i="8"/>
  <c r="P508" i="8"/>
  <c r="O508" i="8"/>
  <c r="S507" i="8"/>
  <c r="R507" i="8"/>
  <c r="Q507" i="8"/>
  <c r="P507" i="8"/>
  <c r="O507" i="8"/>
  <c r="S506" i="8"/>
  <c r="R506" i="8"/>
  <c r="Q506" i="8"/>
  <c r="P506" i="8"/>
  <c r="O506" i="8"/>
  <c r="S505" i="8"/>
  <c r="R505" i="8"/>
  <c r="Q505" i="8"/>
  <c r="S504" i="8"/>
  <c r="R504" i="8"/>
  <c r="Q504" i="8"/>
  <c r="S503" i="8"/>
  <c r="R503" i="8"/>
  <c r="Q503" i="8"/>
  <c r="S502" i="8"/>
  <c r="R502" i="8"/>
  <c r="Q502" i="8"/>
  <c r="P502" i="8"/>
  <c r="O502" i="8"/>
  <c r="S501" i="8"/>
  <c r="R501" i="8"/>
  <c r="Q501" i="8"/>
  <c r="P501" i="8"/>
  <c r="O501" i="8"/>
  <c r="S500" i="8"/>
  <c r="R500" i="8"/>
  <c r="Q500" i="8"/>
  <c r="S499" i="8"/>
  <c r="R499" i="8"/>
  <c r="Q499" i="8"/>
  <c r="S498" i="8"/>
  <c r="R498" i="8"/>
  <c r="Q498" i="8"/>
  <c r="P498" i="8"/>
  <c r="O498" i="8"/>
  <c r="S497" i="8"/>
  <c r="R497" i="8"/>
  <c r="Q497" i="8"/>
  <c r="P497" i="8"/>
  <c r="O497" i="8"/>
  <c r="S496" i="8"/>
  <c r="R496" i="8"/>
  <c r="Q496" i="8"/>
  <c r="P496" i="8"/>
  <c r="O496" i="8"/>
  <c r="S495" i="8"/>
  <c r="R495" i="8"/>
  <c r="Q495" i="8"/>
  <c r="P495" i="8"/>
  <c r="O495" i="8"/>
  <c r="S494" i="8"/>
  <c r="R494" i="8"/>
  <c r="Q494" i="8"/>
  <c r="S493" i="8"/>
  <c r="R493" i="8"/>
  <c r="Q493" i="8"/>
  <c r="P493" i="8"/>
  <c r="O493" i="8"/>
  <c r="S492" i="8"/>
  <c r="R492" i="8"/>
  <c r="Q492" i="8"/>
  <c r="P492" i="8"/>
  <c r="O492" i="8"/>
  <c r="S491" i="8"/>
  <c r="R491" i="8"/>
  <c r="Q491" i="8"/>
  <c r="P491" i="8"/>
  <c r="O491" i="8"/>
  <c r="S490" i="8"/>
  <c r="R490" i="8"/>
  <c r="Q490" i="8"/>
  <c r="S489" i="8"/>
  <c r="R489" i="8"/>
  <c r="Q489" i="8"/>
  <c r="S488" i="8"/>
  <c r="R488" i="8"/>
  <c r="Q488" i="8"/>
  <c r="S487" i="8"/>
  <c r="R487" i="8"/>
  <c r="Q487" i="8"/>
  <c r="P487" i="8"/>
  <c r="O487" i="8"/>
  <c r="S486" i="8"/>
  <c r="R486" i="8"/>
  <c r="Q486" i="8"/>
  <c r="P486" i="8"/>
  <c r="O486" i="8"/>
  <c r="S485" i="8"/>
  <c r="Q485" i="8"/>
  <c r="S484" i="8"/>
  <c r="Q484" i="8"/>
  <c r="S483" i="8"/>
  <c r="Q483" i="8"/>
  <c r="S482" i="8"/>
  <c r="R482" i="8"/>
  <c r="Q482" i="8"/>
  <c r="S481" i="8"/>
  <c r="R481" i="8"/>
  <c r="Q481" i="8"/>
  <c r="S480" i="8"/>
  <c r="R480" i="8"/>
  <c r="Q480" i="8"/>
  <c r="P480" i="8"/>
  <c r="O480" i="8"/>
  <c r="N480" i="8"/>
  <c r="S479" i="8"/>
  <c r="R479" i="8"/>
  <c r="Q479" i="8"/>
  <c r="N479" i="8"/>
  <c r="S478" i="8"/>
  <c r="R478" i="8"/>
  <c r="Q478" i="8"/>
  <c r="N478" i="8"/>
  <c r="S477" i="8"/>
  <c r="R477" i="8"/>
  <c r="Q477" i="8"/>
  <c r="P477" i="8"/>
  <c r="O477" i="8"/>
  <c r="N477" i="8"/>
  <c r="S476" i="8"/>
  <c r="R476" i="8"/>
  <c r="Q476" i="8"/>
  <c r="N476" i="8"/>
  <c r="S475" i="8"/>
  <c r="R475" i="8"/>
  <c r="Q475" i="8"/>
  <c r="P475" i="8"/>
  <c r="O475" i="8"/>
  <c r="N475" i="8"/>
  <c r="S474" i="8"/>
  <c r="R474" i="8"/>
  <c r="Q474" i="8"/>
  <c r="N474" i="8"/>
  <c r="S473" i="8"/>
  <c r="R473" i="8"/>
  <c r="Q473" i="8"/>
  <c r="P473" i="8"/>
  <c r="O473" i="8"/>
  <c r="N473" i="8"/>
  <c r="S472" i="8"/>
  <c r="R472" i="8"/>
  <c r="Q472" i="8"/>
  <c r="N472" i="8"/>
  <c r="S471" i="8"/>
  <c r="R471" i="8"/>
  <c r="Q471" i="8"/>
  <c r="P471" i="8"/>
  <c r="O471" i="8"/>
  <c r="N471" i="8"/>
  <c r="S469" i="8"/>
  <c r="R469" i="8"/>
  <c r="Q469" i="8"/>
  <c r="S468" i="8"/>
  <c r="R468" i="8"/>
  <c r="Q468" i="8"/>
  <c r="N468" i="8"/>
  <c r="S467" i="8"/>
  <c r="R467" i="8"/>
  <c r="Q467" i="8"/>
  <c r="N467" i="8"/>
  <c r="S466" i="8"/>
  <c r="R466" i="8"/>
  <c r="Q466" i="8"/>
  <c r="N466" i="8"/>
  <c r="S465" i="8"/>
  <c r="R465" i="8"/>
  <c r="Q465" i="8"/>
  <c r="N465" i="8"/>
  <c r="S464" i="8"/>
  <c r="R464" i="8"/>
  <c r="Q464" i="8"/>
  <c r="N464" i="8"/>
  <c r="S463" i="8"/>
  <c r="R463" i="8"/>
  <c r="P463" i="8"/>
  <c r="O463" i="8"/>
  <c r="N463" i="8"/>
  <c r="S462" i="8"/>
  <c r="R462" i="8"/>
  <c r="Q462" i="8"/>
  <c r="P462" i="8"/>
  <c r="O462" i="8"/>
  <c r="N462" i="8"/>
  <c r="S461" i="8"/>
  <c r="R461" i="8"/>
  <c r="Q461" i="8"/>
  <c r="P461" i="8"/>
  <c r="O461" i="8"/>
  <c r="N461" i="8"/>
  <c r="S460" i="8"/>
  <c r="R460" i="8"/>
  <c r="Q460" i="8"/>
  <c r="N460" i="8"/>
  <c r="S459" i="8"/>
  <c r="R459" i="8"/>
  <c r="Q459" i="8"/>
  <c r="N459" i="8"/>
  <c r="S458" i="8"/>
  <c r="R458" i="8"/>
  <c r="Q458" i="8"/>
  <c r="P458" i="8"/>
  <c r="O458" i="8"/>
  <c r="N458" i="8"/>
  <c r="S433" i="8"/>
  <c r="R433" i="8"/>
  <c r="Q433" i="8"/>
  <c r="N433" i="8"/>
  <c r="S432" i="8"/>
  <c r="R432" i="8"/>
  <c r="Q432" i="8"/>
  <c r="N432" i="8"/>
  <c r="S431" i="8"/>
  <c r="R431" i="8"/>
  <c r="P431" i="8"/>
  <c r="O431" i="8"/>
  <c r="N431" i="8"/>
  <c r="S430" i="8"/>
  <c r="R430" i="8"/>
  <c r="Q430" i="8"/>
  <c r="P430" i="8"/>
  <c r="O430" i="8"/>
  <c r="N430" i="8"/>
  <c r="S429" i="8"/>
  <c r="R429" i="8"/>
  <c r="Q429" i="8"/>
  <c r="P429" i="8"/>
  <c r="O429" i="8"/>
  <c r="N429" i="8"/>
  <c r="S428" i="8"/>
  <c r="R428" i="8"/>
  <c r="Q428" i="8"/>
  <c r="P428" i="8"/>
  <c r="O428" i="8"/>
  <c r="N428" i="8"/>
  <c r="S427" i="8"/>
  <c r="R427" i="8"/>
  <c r="Q427" i="8"/>
  <c r="P427" i="8"/>
  <c r="O427" i="8"/>
  <c r="N427" i="8"/>
  <c r="S426" i="8"/>
  <c r="R426" i="8"/>
  <c r="Q426" i="8"/>
  <c r="P426" i="8"/>
  <c r="O426" i="8"/>
  <c r="N426" i="8"/>
  <c r="S425" i="8"/>
  <c r="R425" i="8"/>
  <c r="Q425" i="8"/>
  <c r="P425" i="8"/>
  <c r="O425" i="8"/>
  <c r="N425" i="8"/>
  <c r="S424" i="8"/>
  <c r="R424" i="8"/>
  <c r="Q424" i="8"/>
  <c r="P424" i="8"/>
  <c r="O424" i="8"/>
  <c r="N424" i="8"/>
  <c r="S423" i="8"/>
  <c r="R423" i="8"/>
  <c r="S422" i="8"/>
  <c r="R422" i="8"/>
  <c r="S421" i="8"/>
  <c r="R421" i="8"/>
  <c r="Q421" i="8"/>
  <c r="N421" i="8"/>
  <c r="S420" i="8"/>
  <c r="R420" i="8"/>
  <c r="P420" i="8"/>
  <c r="O420" i="8"/>
  <c r="N420" i="8"/>
  <c r="S419" i="8"/>
  <c r="R419" i="8"/>
  <c r="Q419" i="8"/>
  <c r="N419" i="8"/>
  <c r="S418" i="8"/>
  <c r="R418" i="8"/>
  <c r="Q418" i="8"/>
  <c r="P418" i="8"/>
  <c r="O418" i="8"/>
  <c r="N418" i="8"/>
  <c r="S417" i="8"/>
  <c r="R417" i="8"/>
  <c r="Q417" i="8"/>
  <c r="P417" i="8"/>
  <c r="O417" i="8"/>
  <c r="N417" i="8"/>
  <c r="S416" i="8"/>
  <c r="R416" i="8"/>
  <c r="Q416" i="8"/>
  <c r="P416" i="8"/>
  <c r="O416" i="8"/>
  <c r="N416" i="8"/>
  <c r="S415" i="8"/>
  <c r="R415" i="8"/>
  <c r="Q415" i="8"/>
  <c r="N415" i="8"/>
  <c r="S414" i="8"/>
  <c r="R414" i="8"/>
  <c r="Q414" i="8"/>
  <c r="P414" i="8"/>
  <c r="O414" i="8"/>
  <c r="N414" i="8"/>
  <c r="S413" i="8"/>
  <c r="R413" i="8"/>
  <c r="Q413" i="8"/>
  <c r="N413" i="8"/>
  <c r="S412" i="8"/>
  <c r="R412" i="8"/>
  <c r="Q412" i="8"/>
  <c r="P412" i="8"/>
  <c r="O412" i="8"/>
  <c r="N412" i="8"/>
  <c r="S411" i="8"/>
  <c r="R411" i="8"/>
  <c r="Q411" i="8"/>
  <c r="P411" i="8"/>
  <c r="O411" i="8"/>
  <c r="N411" i="8"/>
  <c r="S410" i="8"/>
  <c r="R410" i="8"/>
  <c r="Q410" i="8"/>
  <c r="N410" i="8"/>
  <c r="S409" i="8"/>
  <c r="R409" i="8"/>
  <c r="Q409" i="8"/>
  <c r="P409" i="8"/>
  <c r="O409" i="8"/>
  <c r="N409" i="8"/>
  <c r="S408" i="8"/>
  <c r="R408" i="8"/>
  <c r="Q408" i="8"/>
  <c r="N408" i="8"/>
  <c r="S407" i="8"/>
  <c r="R407" i="8"/>
  <c r="Q407" i="8"/>
  <c r="P407" i="8"/>
  <c r="O407" i="8"/>
  <c r="N407" i="8"/>
  <c r="S406" i="8"/>
  <c r="R406" i="8"/>
  <c r="Q406" i="8"/>
  <c r="N406" i="8"/>
  <c r="S405" i="8"/>
  <c r="R405" i="8"/>
  <c r="Q405" i="8"/>
  <c r="P405" i="8"/>
  <c r="O405" i="8"/>
  <c r="N405" i="8"/>
  <c r="S404" i="8"/>
  <c r="R404" i="8"/>
  <c r="Q404" i="8"/>
  <c r="N404" i="8"/>
  <c r="S403" i="8"/>
  <c r="R403" i="8"/>
  <c r="Q403" i="8"/>
  <c r="P403" i="8"/>
  <c r="O403" i="8"/>
  <c r="N403" i="8"/>
  <c r="S402" i="8"/>
  <c r="R402" i="8"/>
  <c r="Q402" i="8"/>
  <c r="N402" i="8"/>
  <c r="S401" i="8"/>
  <c r="R401" i="8"/>
  <c r="Q401" i="8"/>
  <c r="N401" i="8"/>
  <c r="S400" i="8"/>
  <c r="R400" i="8"/>
  <c r="Q400" i="8"/>
  <c r="P400" i="8"/>
  <c r="O400" i="8"/>
  <c r="N400" i="8"/>
  <c r="S399" i="8"/>
  <c r="R399" i="8"/>
  <c r="Q399" i="8"/>
  <c r="P399" i="8"/>
  <c r="O399" i="8"/>
  <c r="N399" i="8"/>
  <c r="S398" i="8"/>
  <c r="R398" i="8"/>
  <c r="Q398" i="8"/>
  <c r="P398" i="8"/>
  <c r="O398" i="8"/>
  <c r="N398" i="8"/>
  <c r="S397" i="8"/>
  <c r="R397" i="8"/>
  <c r="Q397" i="8"/>
  <c r="N397" i="8"/>
  <c r="S396" i="8"/>
  <c r="R396" i="8"/>
  <c r="Q396" i="8"/>
  <c r="P396" i="8"/>
  <c r="O396" i="8"/>
  <c r="N396" i="8"/>
  <c r="S395" i="8"/>
  <c r="R395" i="8"/>
  <c r="Q395" i="8"/>
  <c r="P395" i="8"/>
  <c r="O395" i="8"/>
  <c r="N395" i="8"/>
  <c r="S394" i="8"/>
  <c r="R394" i="8"/>
  <c r="Q394" i="8"/>
  <c r="N394" i="8"/>
  <c r="S393" i="8"/>
  <c r="R393" i="8"/>
  <c r="Q393" i="8"/>
  <c r="P393" i="8"/>
  <c r="O393" i="8"/>
  <c r="N393" i="8"/>
  <c r="S392" i="8"/>
  <c r="R392" i="8"/>
  <c r="Q392" i="8"/>
  <c r="N392" i="8"/>
  <c r="S391" i="8"/>
  <c r="R391" i="8"/>
  <c r="Q391" i="8"/>
  <c r="P391" i="8"/>
  <c r="O391" i="8"/>
  <c r="N391" i="8"/>
  <c r="S390" i="8"/>
  <c r="R390" i="8"/>
  <c r="Q390" i="8"/>
  <c r="N390" i="8"/>
  <c r="S389" i="8"/>
  <c r="R389" i="8"/>
  <c r="Q389" i="8"/>
  <c r="P389" i="8"/>
  <c r="O389" i="8"/>
  <c r="N389" i="8"/>
  <c r="S388" i="8"/>
  <c r="R388" i="8"/>
  <c r="Q388" i="8"/>
  <c r="N388" i="8"/>
  <c r="S387" i="8"/>
  <c r="R387" i="8"/>
  <c r="Q387" i="8"/>
  <c r="P387" i="8"/>
  <c r="O387" i="8"/>
  <c r="N387" i="8"/>
  <c r="S386" i="8"/>
  <c r="R386" i="8"/>
  <c r="Q386" i="8"/>
  <c r="N386" i="8"/>
  <c r="S385" i="8"/>
  <c r="R385" i="8"/>
  <c r="Q385" i="8"/>
  <c r="N385" i="8"/>
  <c r="S384" i="8"/>
  <c r="R384" i="8"/>
  <c r="Q384" i="8"/>
  <c r="P384" i="8"/>
  <c r="O384" i="8"/>
  <c r="N384" i="8"/>
  <c r="S383" i="8"/>
  <c r="R383" i="8"/>
  <c r="Q383" i="8"/>
  <c r="N383" i="8"/>
  <c r="S382" i="8"/>
  <c r="R382" i="8"/>
  <c r="Q382" i="8"/>
  <c r="P382" i="8"/>
  <c r="O382" i="8"/>
  <c r="N382" i="8"/>
  <c r="S381" i="8"/>
  <c r="R381" i="8"/>
  <c r="Q381" i="8"/>
  <c r="P381" i="8"/>
  <c r="O381" i="8"/>
  <c r="N381" i="8"/>
  <c r="S380" i="8"/>
  <c r="R380" i="8"/>
  <c r="Q380" i="8"/>
  <c r="P380" i="8"/>
  <c r="O380" i="8"/>
  <c r="N380" i="8"/>
  <c r="S379" i="8"/>
  <c r="R379" i="8"/>
  <c r="Q379" i="8"/>
  <c r="N379" i="8"/>
  <c r="S378" i="8"/>
  <c r="R378" i="8"/>
  <c r="Q378" i="8"/>
  <c r="P378" i="8"/>
  <c r="O378" i="8"/>
  <c r="N378" i="8"/>
  <c r="S377" i="8"/>
  <c r="R377" i="8"/>
  <c r="Q377" i="8"/>
  <c r="N377" i="8"/>
  <c r="S376" i="8"/>
  <c r="R376" i="8"/>
  <c r="Q376" i="8"/>
  <c r="P376" i="8"/>
  <c r="O376" i="8"/>
  <c r="N376" i="8"/>
  <c r="S375" i="8"/>
  <c r="R375" i="8"/>
  <c r="Q375" i="8"/>
  <c r="N375" i="8"/>
  <c r="S374" i="8"/>
  <c r="R374" i="8"/>
  <c r="Q374" i="8"/>
  <c r="P374" i="8"/>
  <c r="O374" i="8"/>
  <c r="N374" i="8"/>
  <c r="S373" i="8"/>
  <c r="R373" i="8"/>
  <c r="Q373" i="8"/>
  <c r="N373" i="8"/>
  <c r="S372" i="8"/>
  <c r="R372" i="8"/>
  <c r="Q372" i="8"/>
  <c r="N372" i="8"/>
  <c r="S371" i="8"/>
  <c r="R371" i="8"/>
  <c r="Q371" i="8"/>
  <c r="N371" i="8"/>
  <c r="S370" i="8"/>
  <c r="R370" i="8"/>
  <c r="Q370" i="8"/>
  <c r="N370" i="8"/>
  <c r="S369" i="8"/>
  <c r="R369" i="8"/>
  <c r="N369" i="8"/>
  <c r="S368" i="8"/>
  <c r="R368" i="8"/>
  <c r="P368" i="8"/>
  <c r="O368" i="8"/>
  <c r="N368" i="8"/>
  <c r="S367" i="8"/>
  <c r="R367" i="8"/>
  <c r="Q367" i="8"/>
  <c r="P367" i="8"/>
  <c r="O367" i="8"/>
  <c r="N367" i="8"/>
  <c r="S366" i="8"/>
  <c r="R366" i="8"/>
  <c r="Q366" i="8"/>
  <c r="P366" i="8"/>
  <c r="O366" i="8"/>
  <c r="N366" i="8"/>
  <c r="S365" i="8"/>
  <c r="R365" i="8"/>
  <c r="Q365" i="8"/>
  <c r="N365" i="8"/>
  <c r="S364" i="8"/>
  <c r="R364" i="8"/>
  <c r="Q364" i="8"/>
  <c r="P364" i="8"/>
  <c r="O364" i="8"/>
  <c r="N364" i="8"/>
  <c r="S363" i="8"/>
  <c r="R363" i="8"/>
  <c r="Q363" i="8"/>
  <c r="P363" i="8"/>
  <c r="O363" i="8"/>
  <c r="N363" i="8"/>
  <c r="S362" i="8"/>
  <c r="R362" i="8"/>
  <c r="Q362" i="8"/>
  <c r="N362" i="8"/>
  <c r="S361" i="8"/>
  <c r="R361" i="8"/>
  <c r="Q361" i="8"/>
  <c r="P361" i="8"/>
  <c r="O361" i="8"/>
  <c r="N361" i="8"/>
  <c r="S360" i="8"/>
  <c r="R360" i="8"/>
  <c r="Q360" i="8"/>
  <c r="N360" i="8"/>
  <c r="S359" i="8"/>
  <c r="R359" i="8"/>
  <c r="Q359" i="8"/>
  <c r="P359" i="8"/>
  <c r="O359" i="8"/>
  <c r="N359" i="8"/>
  <c r="S358" i="8"/>
  <c r="R358" i="8"/>
  <c r="Q358" i="8"/>
  <c r="N358" i="8"/>
  <c r="S357" i="8"/>
  <c r="R357" i="8"/>
  <c r="Q357" i="8"/>
  <c r="N357" i="8"/>
  <c r="S356" i="8"/>
  <c r="R356" i="8"/>
  <c r="Q356" i="8"/>
  <c r="N356" i="8"/>
  <c r="S355" i="8"/>
  <c r="R355" i="8"/>
  <c r="Q355" i="8"/>
  <c r="N355" i="8"/>
  <c r="S354" i="8"/>
  <c r="R354" i="8"/>
  <c r="Q354" i="8"/>
  <c r="N354" i="8"/>
  <c r="S353" i="8"/>
  <c r="R353" i="8"/>
  <c r="Q353" i="8"/>
  <c r="P353" i="8"/>
  <c r="O353" i="8"/>
  <c r="N353" i="8"/>
  <c r="S347" i="8"/>
  <c r="R347" i="8"/>
  <c r="Q347" i="8"/>
  <c r="P347" i="8"/>
  <c r="O347" i="8"/>
  <c r="S346" i="8"/>
  <c r="R346" i="8"/>
  <c r="Q346" i="8"/>
  <c r="S345" i="8"/>
  <c r="R345" i="8"/>
  <c r="Q345" i="8"/>
  <c r="P345" i="8"/>
  <c r="O345" i="8"/>
  <c r="S344" i="8"/>
  <c r="R344" i="8"/>
  <c r="Q344" i="8"/>
  <c r="P344" i="8"/>
  <c r="O344" i="8"/>
  <c r="S343" i="8"/>
  <c r="R343" i="8"/>
  <c r="Q343" i="8"/>
  <c r="S342" i="8"/>
  <c r="R342" i="8"/>
  <c r="Q342" i="8"/>
  <c r="P342" i="8"/>
  <c r="O342" i="8"/>
  <c r="S341" i="8"/>
  <c r="R341" i="8"/>
  <c r="Q341" i="8"/>
  <c r="P341" i="8"/>
  <c r="O341" i="8"/>
  <c r="S340" i="8"/>
  <c r="R340" i="8"/>
  <c r="Q340" i="8"/>
  <c r="S339" i="8"/>
  <c r="R339" i="8"/>
  <c r="Q339" i="8"/>
  <c r="P339" i="8"/>
  <c r="O339" i="8"/>
  <c r="S338" i="8"/>
  <c r="R338" i="8"/>
  <c r="Q338" i="8"/>
  <c r="P338" i="8"/>
  <c r="O338" i="8"/>
  <c r="S337" i="8"/>
  <c r="R337" i="8"/>
  <c r="Q337" i="8"/>
  <c r="S336" i="8"/>
  <c r="R336" i="8"/>
  <c r="Q336" i="8"/>
  <c r="P336" i="8"/>
  <c r="O336" i="8"/>
  <c r="S335" i="8"/>
  <c r="R335" i="8"/>
  <c r="O335" i="8"/>
  <c r="N335" i="8"/>
  <c r="S334" i="8"/>
  <c r="R334" i="8"/>
  <c r="Q334" i="8"/>
  <c r="P334" i="8"/>
  <c r="O334" i="8"/>
  <c r="N334" i="8"/>
  <c r="S333" i="8"/>
  <c r="R333" i="8"/>
  <c r="Q333" i="8"/>
  <c r="N333" i="8"/>
  <c r="S332" i="8"/>
  <c r="R332" i="8"/>
  <c r="Q332" i="8"/>
  <c r="N332" i="8"/>
  <c r="S331" i="8"/>
  <c r="R331" i="8"/>
  <c r="Q331" i="8"/>
  <c r="P331" i="8"/>
  <c r="O331" i="8"/>
  <c r="N331" i="8"/>
  <c r="S330" i="8"/>
  <c r="R330" i="8"/>
  <c r="Q330" i="8"/>
  <c r="N330" i="8"/>
  <c r="S329" i="8"/>
  <c r="R329" i="8"/>
  <c r="Q329" i="8"/>
  <c r="P329" i="8"/>
  <c r="O329" i="8"/>
  <c r="N329" i="8"/>
  <c r="S328" i="8"/>
  <c r="R328" i="8"/>
  <c r="Q328" i="8"/>
  <c r="O328" i="8"/>
  <c r="N328" i="8"/>
  <c r="S327" i="8"/>
  <c r="R327" i="8"/>
  <c r="Q327" i="8"/>
  <c r="P327" i="8"/>
  <c r="O327" i="8"/>
  <c r="N327" i="8"/>
  <c r="N325" i="8"/>
  <c r="P323" i="8"/>
  <c r="O323" i="8"/>
  <c r="N323" i="8"/>
  <c r="S322" i="8"/>
  <c r="R322" i="8"/>
  <c r="Q322" i="8"/>
  <c r="N322" i="8"/>
  <c r="S321" i="8"/>
  <c r="R321" i="8"/>
  <c r="Q321" i="8"/>
  <c r="P321" i="8"/>
  <c r="O321" i="8"/>
  <c r="N321" i="8"/>
  <c r="S320" i="8"/>
  <c r="R320" i="8"/>
  <c r="Q320" i="8"/>
  <c r="N320" i="8"/>
  <c r="S319" i="8"/>
  <c r="R319" i="8"/>
  <c r="Q319" i="8"/>
  <c r="N319" i="8"/>
  <c r="S318" i="8"/>
  <c r="R318" i="8"/>
  <c r="Q318" i="8"/>
  <c r="P318" i="8"/>
  <c r="O318" i="8"/>
  <c r="N318" i="8"/>
  <c r="S317" i="8"/>
  <c r="R317" i="8"/>
  <c r="Q317" i="8"/>
  <c r="N317" i="8"/>
  <c r="S316" i="8"/>
  <c r="R316" i="8"/>
  <c r="Q316" i="8"/>
  <c r="P316" i="8"/>
  <c r="O316" i="8"/>
  <c r="N316" i="8"/>
  <c r="S315" i="8"/>
  <c r="R315" i="8"/>
  <c r="Q315" i="8"/>
  <c r="P315" i="8"/>
  <c r="O315" i="8"/>
  <c r="N315" i="8"/>
  <c r="S314" i="8"/>
  <c r="R314" i="8"/>
  <c r="Q314" i="8"/>
  <c r="P314" i="8"/>
  <c r="O314" i="8"/>
  <c r="N314" i="8"/>
  <c r="S313" i="8"/>
  <c r="R313" i="8"/>
  <c r="Q313" i="8"/>
  <c r="P313" i="8"/>
  <c r="O313" i="8"/>
  <c r="N313" i="8"/>
  <c r="S312" i="8"/>
  <c r="R312" i="8"/>
  <c r="Q312" i="8"/>
  <c r="P312" i="8"/>
  <c r="O312" i="8"/>
  <c r="N312" i="8"/>
  <c r="S311" i="8"/>
  <c r="R311" i="8"/>
  <c r="Q311" i="8"/>
  <c r="P311" i="8"/>
  <c r="O311" i="8"/>
  <c r="N311" i="8"/>
  <c r="S310" i="8"/>
  <c r="R310" i="8"/>
  <c r="Q310" i="8"/>
  <c r="N310" i="8"/>
  <c r="S309" i="8"/>
  <c r="R309" i="8"/>
  <c r="Q309" i="8"/>
  <c r="P309" i="8"/>
  <c r="O309" i="8"/>
  <c r="N309" i="8"/>
  <c r="S308" i="8"/>
  <c r="R308" i="8"/>
  <c r="Q308" i="8"/>
  <c r="N308" i="8"/>
  <c r="S307" i="8"/>
  <c r="R307" i="8"/>
  <c r="Q307" i="8"/>
  <c r="N307" i="8"/>
  <c r="S306" i="8"/>
  <c r="R306" i="8"/>
  <c r="Q306" i="8"/>
  <c r="N306" i="8"/>
  <c r="S305" i="8"/>
  <c r="R305" i="8"/>
  <c r="Q305" i="8"/>
  <c r="P305" i="8"/>
  <c r="O305" i="8"/>
  <c r="N305" i="8"/>
  <c r="S304" i="8"/>
  <c r="R304" i="8"/>
  <c r="Q304" i="8"/>
  <c r="P304" i="8"/>
  <c r="O304" i="8"/>
  <c r="N304" i="8"/>
  <c r="S303" i="8"/>
  <c r="R303" i="8"/>
  <c r="Q303" i="8"/>
  <c r="N303" i="8"/>
  <c r="S302" i="8"/>
  <c r="R302" i="8"/>
  <c r="Q302" i="8"/>
  <c r="P302" i="8"/>
  <c r="O302" i="8"/>
  <c r="N302" i="8"/>
  <c r="S301" i="8"/>
  <c r="R301" i="8"/>
  <c r="Q301" i="8"/>
  <c r="N301" i="8"/>
  <c r="S300" i="8"/>
  <c r="R300" i="8"/>
  <c r="Q300" i="8"/>
  <c r="P300" i="8"/>
  <c r="O300" i="8"/>
  <c r="N300" i="8"/>
  <c r="S299" i="8"/>
  <c r="R299" i="8"/>
  <c r="Q299" i="8"/>
  <c r="N299" i="8"/>
  <c r="S298" i="8"/>
  <c r="R298" i="8"/>
  <c r="Q298" i="8"/>
  <c r="P298" i="8"/>
  <c r="O298" i="8"/>
  <c r="N298" i="8"/>
  <c r="S297" i="8"/>
  <c r="R297" i="8"/>
  <c r="Q297" i="8"/>
  <c r="N297" i="8"/>
  <c r="S296" i="8"/>
  <c r="R296" i="8"/>
  <c r="Q296" i="8"/>
  <c r="P296" i="8"/>
  <c r="O296" i="8"/>
  <c r="N296" i="8"/>
  <c r="S295" i="8"/>
  <c r="R295" i="8"/>
  <c r="Q295" i="8"/>
  <c r="N295" i="8"/>
  <c r="S294" i="8"/>
  <c r="R294" i="8"/>
  <c r="Q294" i="8"/>
  <c r="N294" i="8"/>
  <c r="S293" i="8"/>
  <c r="R293" i="8"/>
  <c r="Q293" i="8"/>
  <c r="N293" i="8"/>
  <c r="S292" i="8"/>
  <c r="R292" i="8"/>
  <c r="Q292" i="8"/>
  <c r="P292" i="8"/>
  <c r="O292" i="8"/>
  <c r="N292" i="8"/>
  <c r="S291" i="8"/>
  <c r="R291" i="8"/>
  <c r="Q291" i="8"/>
  <c r="N291" i="8"/>
  <c r="S290" i="8"/>
  <c r="R290" i="8"/>
  <c r="Q290" i="8"/>
  <c r="N290" i="8"/>
  <c r="S289" i="8"/>
  <c r="R289" i="8"/>
  <c r="Q289" i="8"/>
  <c r="N289" i="8"/>
  <c r="S288" i="8"/>
  <c r="R288" i="8"/>
  <c r="Q288" i="8"/>
  <c r="P288" i="8"/>
  <c r="O288" i="8"/>
  <c r="N288" i="8"/>
  <c r="S287" i="8"/>
  <c r="R287" i="8"/>
  <c r="Q287" i="8"/>
  <c r="N287" i="8"/>
  <c r="S286" i="8"/>
  <c r="R286" i="8"/>
  <c r="Q286" i="8"/>
  <c r="N286" i="8"/>
  <c r="S285" i="8"/>
  <c r="R285" i="8"/>
  <c r="Q285" i="8"/>
  <c r="N285" i="8"/>
  <c r="S284" i="8"/>
  <c r="R284" i="8"/>
  <c r="Q284" i="8"/>
  <c r="P284" i="8"/>
  <c r="O284" i="8"/>
  <c r="N284" i="8"/>
  <c r="S283" i="8"/>
  <c r="R283" i="8"/>
  <c r="Q283" i="8"/>
  <c r="P283" i="8"/>
  <c r="O283" i="8"/>
  <c r="N283" i="8"/>
  <c r="S282" i="8"/>
  <c r="R282" i="8"/>
  <c r="Q282" i="8"/>
  <c r="P282" i="8"/>
  <c r="O282" i="8"/>
  <c r="N282" i="8"/>
  <c r="S279" i="8"/>
  <c r="R279" i="8"/>
  <c r="Q279" i="8"/>
  <c r="P279" i="8"/>
  <c r="O279" i="8"/>
  <c r="S278" i="8"/>
  <c r="R278" i="8"/>
  <c r="Q278" i="8"/>
  <c r="P278" i="8"/>
  <c r="O278" i="8"/>
  <c r="S277" i="8"/>
  <c r="R277" i="8"/>
  <c r="Q277" i="8"/>
  <c r="P277" i="8"/>
  <c r="O277" i="8"/>
  <c r="S264" i="8"/>
  <c r="R264" i="8"/>
  <c r="Q264" i="8"/>
  <c r="P264" i="8"/>
  <c r="O264" i="8"/>
  <c r="S263" i="8"/>
  <c r="R263" i="8"/>
  <c r="Q263" i="8"/>
  <c r="P263" i="8"/>
  <c r="O263" i="8"/>
  <c r="N263" i="8"/>
  <c r="S262" i="8"/>
  <c r="R262" i="8"/>
  <c r="Q262" i="8"/>
  <c r="P262" i="8"/>
  <c r="O262" i="8"/>
  <c r="N262" i="8"/>
  <c r="S261" i="8"/>
  <c r="R261" i="8"/>
  <c r="Q261" i="8"/>
  <c r="P261" i="8"/>
  <c r="O261" i="8"/>
  <c r="N261" i="8"/>
  <c r="S260" i="8"/>
  <c r="R260" i="8"/>
  <c r="Q260" i="8"/>
  <c r="P260" i="8"/>
  <c r="O260" i="8"/>
  <c r="N260" i="8"/>
  <c r="S259" i="8"/>
  <c r="R259" i="8"/>
  <c r="Q259" i="8"/>
  <c r="N259" i="8"/>
  <c r="S258" i="8"/>
  <c r="R258" i="8"/>
  <c r="Q258" i="8"/>
  <c r="P258" i="8"/>
  <c r="O258" i="8"/>
  <c r="N258" i="8"/>
  <c r="S257" i="8"/>
  <c r="R257" i="8"/>
  <c r="Q257" i="8"/>
  <c r="P257" i="8"/>
  <c r="O257" i="8"/>
  <c r="N257" i="8"/>
  <c r="S256" i="8"/>
  <c r="R256" i="8"/>
  <c r="Q256" i="8"/>
  <c r="P256" i="8"/>
  <c r="O256" i="8"/>
  <c r="N256" i="8"/>
  <c r="S255" i="8"/>
  <c r="R255" i="8"/>
  <c r="Q255" i="8"/>
  <c r="S254" i="8"/>
  <c r="R254" i="8"/>
  <c r="Q254" i="8"/>
  <c r="P254" i="8"/>
  <c r="O254" i="8"/>
  <c r="S253" i="8"/>
  <c r="R253" i="8"/>
  <c r="Q253" i="8"/>
  <c r="S252" i="8"/>
  <c r="R252" i="8"/>
  <c r="Q252" i="8"/>
  <c r="S251" i="8"/>
  <c r="R251" i="8"/>
  <c r="Q251" i="8"/>
  <c r="P251" i="8"/>
  <c r="O251" i="8"/>
  <c r="S250" i="8"/>
  <c r="R250" i="8"/>
  <c r="Q250" i="8"/>
  <c r="P250" i="8"/>
  <c r="O250" i="8"/>
  <c r="N250" i="8"/>
  <c r="S249" i="8"/>
  <c r="R249" i="8"/>
  <c r="Q249" i="8"/>
  <c r="S248" i="8"/>
  <c r="R248" i="8"/>
  <c r="Q248" i="8"/>
  <c r="P248" i="8"/>
  <c r="O248" i="8"/>
  <c r="S247" i="8"/>
  <c r="R247" i="8"/>
  <c r="Q247" i="8"/>
  <c r="S246" i="8"/>
  <c r="R246" i="8"/>
  <c r="Q246" i="8"/>
  <c r="P246" i="8"/>
  <c r="O246" i="8"/>
  <c r="S245" i="8"/>
  <c r="R245" i="8"/>
  <c r="Q245" i="8"/>
  <c r="S244" i="8"/>
  <c r="R244" i="8"/>
  <c r="Q244" i="8"/>
  <c r="P244" i="8"/>
  <c r="O244" i="8"/>
  <c r="S243" i="8"/>
  <c r="R243" i="8"/>
  <c r="Q243" i="8"/>
  <c r="S242" i="8"/>
  <c r="R242" i="8"/>
  <c r="Q242" i="8"/>
  <c r="S241" i="8"/>
  <c r="R241" i="8"/>
  <c r="Q241" i="8"/>
  <c r="S240" i="8"/>
  <c r="R240" i="8"/>
  <c r="Q240" i="8"/>
  <c r="S239" i="8"/>
  <c r="R239" i="8"/>
  <c r="Q239" i="8"/>
  <c r="S238" i="8"/>
  <c r="R238" i="8"/>
  <c r="Q238" i="8"/>
  <c r="P238" i="8"/>
  <c r="O238" i="8"/>
  <c r="S237" i="8"/>
  <c r="R237" i="8"/>
  <c r="Q237" i="8"/>
  <c r="N237" i="8"/>
  <c r="S236" i="8"/>
  <c r="R236" i="8"/>
  <c r="Q236" i="8"/>
  <c r="P236" i="8"/>
  <c r="O236" i="8"/>
  <c r="N236" i="8"/>
  <c r="S235" i="8"/>
  <c r="R235" i="8"/>
  <c r="Q235" i="8"/>
  <c r="P235" i="8"/>
  <c r="O235" i="8"/>
  <c r="N235" i="8"/>
  <c r="S234" i="8"/>
  <c r="R234" i="8"/>
  <c r="Q234" i="8"/>
  <c r="P234" i="8"/>
  <c r="O234" i="8"/>
  <c r="N234" i="8"/>
  <c r="S233" i="8"/>
  <c r="R233" i="8"/>
  <c r="Q233" i="8"/>
  <c r="N233" i="8"/>
  <c r="S232" i="8"/>
  <c r="R232" i="8"/>
  <c r="Q232" i="8"/>
  <c r="P232" i="8"/>
  <c r="O232" i="8"/>
  <c r="N232" i="8"/>
  <c r="S231" i="8"/>
  <c r="R231" i="8"/>
  <c r="Q231" i="8"/>
  <c r="N231" i="8"/>
  <c r="S230" i="8"/>
  <c r="R230" i="8"/>
  <c r="Q230" i="8"/>
  <c r="P230" i="8"/>
  <c r="O230" i="8"/>
  <c r="N230" i="8"/>
  <c r="S229" i="8"/>
  <c r="R229" i="8"/>
  <c r="Q229" i="8"/>
  <c r="P229" i="8"/>
  <c r="O229" i="8"/>
  <c r="N229" i="8"/>
  <c r="S228" i="8"/>
  <c r="R228" i="8"/>
  <c r="Q228" i="8"/>
  <c r="P228" i="8"/>
  <c r="O228" i="8"/>
  <c r="S227" i="8"/>
  <c r="R227" i="8"/>
  <c r="Q227" i="8"/>
  <c r="P227" i="8"/>
  <c r="O227" i="8"/>
  <c r="S226" i="8"/>
  <c r="R226" i="8"/>
  <c r="Q226" i="8"/>
  <c r="S225" i="8"/>
  <c r="R225" i="8"/>
  <c r="Q225" i="8"/>
  <c r="S224" i="8"/>
  <c r="R224" i="8"/>
  <c r="Q224" i="8"/>
  <c r="S223" i="8"/>
  <c r="R223" i="8"/>
  <c r="Q223" i="8"/>
  <c r="S222" i="8"/>
  <c r="R222" i="8"/>
  <c r="Q222" i="8"/>
  <c r="S221" i="8"/>
  <c r="R221" i="8"/>
  <c r="Q221" i="8"/>
  <c r="S220" i="8"/>
  <c r="R220" i="8"/>
  <c r="Q220" i="8"/>
  <c r="S219" i="8"/>
  <c r="R219" i="8"/>
  <c r="Q219" i="8"/>
  <c r="S218" i="8"/>
  <c r="R218" i="8"/>
  <c r="Q218" i="8"/>
  <c r="S217" i="8"/>
  <c r="R217" i="8"/>
  <c r="Q217" i="8"/>
  <c r="S216" i="8"/>
  <c r="R216" i="8"/>
  <c r="Q216" i="8"/>
  <c r="S215" i="8"/>
  <c r="R215" i="8"/>
  <c r="Q215" i="8"/>
  <c r="P215" i="8"/>
  <c r="O215" i="8"/>
  <c r="N215" i="8"/>
  <c r="R214" i="8"/>
  <c r="Q214" i="8"/>
  <c r="S213" i="8"/>
  <c r="R213" i="8"/>
  <c r="Q213" i="8"/>
  <c r="P213" i="8"/>
  <c r="O213" i="8"/>
  <c r="S212" i="8"/>
  <c r="R212" i="8"/>
  <c r="Q212" i="8"/>
  <c r="P212" i="8"/>
  <c r="O212" i="8"/>
  <c r="S211" i="8"/>
  <c r="R211" i="8"/>
  <c r="Q211" i="8"/>
  <c r="P211" i="8"/>
  <c r="O211" i="8"/>
  <c r="S210" i="8"/>
  <c r="R210" i="8"/>
  <c r="Q210" i="8"/>
  <c r="S209" i="8"/>
  <c r="R209" i="8"/>
  <c r="Q209" i="8"/>
  <c r="O209" i="8"/>
  <c r="S208" i="8"/>
  <c r="R208" i="8"/>
  <c r="Q208" i="8"/>
  <c r="S207" i="8"/>
  <c r="R207" i="8"/>
  <c r="Q207" i="8"/>
  <c r="P207" i="8"/>
  <c r="O207" i="8"/>
  <c r="S206" i="8"/>
  <c r="R206" i="8"/>
  <c r="Q206" i="8"/>
  <c r="O206" i="8"/>
  <c r="S205" i="8"/>
  <c r="R205" i="8"/>
  <c r="Q205" i="8"/>
  <c r="S204" i="8"/>
  <c r="R204" i="8"/>
  <c r="Q204" i="8"/>
  <c r="S203" i="8"/>
  <c r="R203" i="8"/>
  <c r="Q203" i="8"/>
  <c r="S202" i="8"/>
  <c r="R202" i="8"/>
  <c r="Q202" i="8"/>
  <c r="P202" i="8"/>
  <c r="O202" i="8"/>
  <c r="S201" i="8"/>
  <c r="R201" i="8"/>
  <c r="Q201" i="8"/>
  <c r="S200" i="8"/>
  <c r="R200" i="8"/>
  <c r="Q200" i="8"/>
  <c r="P200" i="8"/>
  <c r="O200" i="8"/>
  <c r="S199" i="8"/>
  <c r="R199" i="8"/>
  <c r="Q199" i="8"/>
  <c r="P199" i="8"/>
  <c r="O199" i="8"/>
  <c r="S198" i="8"/>
  <c r="R198" i="8"/>
  <c r="Q198" i="8"/>
  <c r="P198" i="8"/>
  <c r="O198" i="8"/>
  <c r="S197" i="8"/>
  <c r="R197" i="8"/>
  <c r="Q197" i="8"/>
  <c r="P197" i="8"/>
  <c r="O197" i="8"/>
  <c r="S196" i="8"/>
  <c r="R196" i="8"/>
  <c r="Q196" i="8"/>
  <c r="P196" i="8"/>
  <c r="O196" i="8"/>
  <c r="S195" i="8"/>
  <c r="R195" i="8"/>
  <c r="Q195" i="8"/>
  <c r="P195" i="8"/>
  <c r="O195" i="8"/>
  <c r="S194" i="8"/>
  <c r="R194" i="8"/>
  <c r="Q194" i="8"/>
  <c r="P194" i="8"/>
  <c r="O194" i="8"/>
  <c r="N194" i="8"/>
  <c r="S193" i="8"/>
  <c r="R193" i="8"/>
  <c r="Q193" i="8"/>
  <c r="N193" i="8"/>
  <c r="S192" i="8"/>
  <c r="R192" i="8"/>
  <c r="Q192" i="8"/>
  <c r="P192" i="8"/>
  <c r="O192" i="8"/>
  <c r="N192" i="8"/>
  <c r="S191" i="8"/>
  <c r="R191" i="8"/>
  <c r="Q191" i="8"/>
  <c r="P191" i="8"/>
  <c r="O191" i="8"/>
  <c r="N191" i="8"/>
  <c r="S190" i="8"/>
  <c r="R190" i="8"/>
  <c r="Q190" i="8"/>
  <c r="P190" i="8"/>
  <c r="O190" i="8"/>
  <c r="N190" i="8"/>
  <c r="S189" i="8"/>
  <c r="R189" i="8"/>
  <c r="Q189" i="8"/>
  <c r="P189" i="8"/>
  <c r="O189" i="8"/>
  <c r="N189" i="8"/>
  <c r="S188" i="8"/>
  <c r="R188" i="8"/>
  <c r="Q188" i="8"/>
  <c r="N188" i="8"/>
  <c r="S187" i="8"/>
  <c r="R187" i="8"/>
  <c r="Q187" i="8"/>
  <c r="P187" i="8"/>
  <c r="O187" i="8"/>
  <c r="N187" i="8"/>
  <c r="S186" i="8"/>
  <c r="R186" i="8"/>
  <c r="Q186" i="8"/>
  <c r="N186" i="8"/>
  <c r="S185" i="8"/>
  <c r="R185" i="8"/>
  <c r="Q185" i="8"/>
  <c r="N185" i="8"/>
  <c r="S184" i="8"/>
  <c r="R184" i="8"/>
  <c r="Q184" i="8"/>
  <c r="N184" i="8"/>
  <c r="S183" i="8"/>
  <c r="R183" i="8"/>
  <c r="Q183" i="8"/>
  <c r="P183" i="8"/>
  <c r="O183" i="8"/>
  <c r="N183" i="8"/>
  <c r="S182" i="8"/>
  <c r="R182" i="8"/>
  <c r="Q182" i="8"/>
  <c r="P182" i="8"/>
  <c r="O182" i="8"/>
  <c r="N182" i="8"/>
  <c r="S181" i="8"/>
  <c r="S180" i="8"/>
  <c r="R180" i="8"/>
  <c r="Q180" i="8"/>
  <c r="P180" i="8"/>
  <c r="O180" i="8"/>
  <c r="N180" i="8"/>
  <c r="S179" i="8"/>
  <c r="R179" i="8"/>
  <c r="Q179" i="8"/>
  <c r="N179" i="8"/>
  <c r="S178" i="8"/>
  <c r="R178" i="8"/>
  <c r="Q178" i="8"/>
  <c r="P178" i="8"/>
  <c r="O178" i="8"/>
  <c r="N178" i="8"/>
  <c r="S177" i="8"/>
  <c r="R177" i="8"/>
  <c r="Q177" i="8"/>
  <c r="S176" i="8"/>
  <c r="R176" i="8"/>
  <c r="Q176" i="8"/>
  <c r="P176" i="8"/>
  <c r="O176" i="8"/>
  <c r="S175" i="8"/>
  <c r="R175" i="8"/>
  <c r="Q175" i="8"/>
  <c r="N175" i="8"/>
  <c r="S174" i="8"/>
  <c r="R174" i="8"/>
  <c r="Q174" i="8"/>
  <c r="P174" i="8"/>
  <c r="O174" i="8"/>
  <c r="N174" i="8"/>
  <c r="S170" i="8"/>
  <c r="R170" i="8"/>
  <c r="Q170" i="8"/>
  <c r="P170" i="8"/>
  <c r="O170" i="8"/>
  <c r="N170" i="8"/>
  <c r="S169" i="8"/>
  <c r="R169" i="8"/>
  <c r="Q169" i="8"/>
  <c r="P169" i="8"/>
  <c r="O169" i="8"/>
  <c r="N169" i="8"/>
  <c r="S168" i="8"/>
  <c r="R168" i="8"/>
  <c r="Q168" i="8"/>
  <c r="P168" i="8"/>
  <c r="O168" i="8"/>
  <c r="N168" i="8"/>
  <c r="S167" i="8"/>
  <c r="R167" i="8"/>
  <c r="Q167" i="8"/>
  <c r="N167" i="8"/>
  <c r="S166" i="8"/>
  <c r="R166" i="8"/>
  <c r="Q166" i="8"/>
  <c r="N166" i="8"/>
  <c r="S165" i="8"/>
  <c r="R165" i="8"/>
  <c r="Q165" i="8"/>
  <c r="N165" i="8"/>
  <c r="S164" i="8"/>
  <c r="R164" i="8"/>
  <c r="Q164" i="8"/>
  <c r="P164" i="8"/>
  <c r="O164" i="8"/>
  <c r="N164" i="8"/>
  <c r="S163" i="8"/>
  <c r="R163" i="8"/>
  <c r="Q163" i="8"/>
  <c r="S162" i="8"/>
  <c r="R162" i="8"/>
  <c r="Q162" i="8"/>
  <c r="P162" i="8"/>
  <c r="O162" i="8"/>
  <c r="S161" i="8"/>
  <c r="R161" i="8"/>
  <c r="Q161" i="8"/>
  <c r="S160" i="8"/>
  <c r="R160" i="8"/>
  <c r="Q160" i="8"/>
  <c r="P160" i="8"/>
  <c r="O160" i="8"/>
  <c r="S159" i="8"/>
  <c r="R159" i="8"/>
  <c r="Q159" i="8"/>
  <c r="S158" i="8"/>
  <c r="R158" i="8"/>
  <c r="Q158" i="8"/>
  <c r="P158" i="8"/>
  <c r="O158" i="8"/>
  <c r="S157" i="8"/>
  <c r="R157" i="8"/>
  <c r="Q157" i="8"/>
  <c r="S156" i="8"/>
  <c r="R156" i="8"/>
  <c r="Q156" i="8"/>
  <c r="P156" i="8"/>
  <c r="O156" i="8"/>
  <c r="S155" i="8"/>
  <c r="R155" i="8"/>
  <c r="Q155" i="8"/>
  <c r="P155" i="8"/>
  <c r="O155" i="8"/>
  <c r="S154" i="8"/>
  <c r="R154" i="8"/>
  <c r="Q154" i="8"/>
  <c r="S153" i="8"/>
  <c r="R153" i="8"/>
  <c r="Q153" i="8"/>
  <c r="P153" i="8"/>
  <c r="O153" i="8"/>
  <c r="S152" i="8"/>
  <c r="R152" i="8"/>
  <c r="Q152" i="8"/>
  <c r="P152" i="8"/>
  <c r="O152" i="8"/>
  <c r="S151" i="8"/>
  <c r="R151" i="8"/>
  <c r="Q151" i="8"/>
  <c r="S150" i="8"/>
  <c r="R150" i="8"/>
  <c r="Q150" i="8"/>
  <c r="P150" i="8"/>
  <c r="O150" i="8"/>
  <c r="S149" i="8"/>
  <c r="R149" i="8"/>
  <c r="Q149" i="8"/>
  <c r="S148" i="8"/>
  <c r="R148" i="8"/>
  <c r="Q148" i="8"/>
  <c r="S147" i="8"/>
  <c r="R147" i="8"/>
  <c r="Q147" i="8"/>
  <c r="P147" i="8"/>
  <c r="O147" i="8"/>
  <c r="S146" i="8"/>
  <c r="R146" i="8"/>
  <c r="Q146" i="8"/>
  <c r="S145" i="8"/>
  <c r="R145" i="8"/>
  <c r="Q145" i="8"/>
  <c r="S144" i="8"/>
  <c r="R144" i="8"/>
  <c r="Q144" i="8"/>
  <c r="P144" i="8"/>
  <c r="O144" i="8"/>
  <c r="S143" i="8"/>
  <c r="R143" i="8"/>
  <c r="Q143" i="8"/>
  <c r="P143" i="8"/>
  <c r="O143" i="8"/>
  <c r="S142" i="8"/>
  <c r="R142" i="8"/>
  <c r="Q142" i="8"/>
  <c r="P142" i="8"/>
  <c r="O142" i="8"/>
  <c r="N142" i="8"/>
  <c r="S141" i="8"/>
  <c r="R141" i="8"/>
  <c r="Q141" i="8"/>
  <c r="N141" i="8"/>
  <c r="S140" i="8"/>
  <c r="R140" i="8"/>
  <c r="Q140" i="8"/>
  <c r="N140" i="8"/>
  <c r="S139" i="8"/>
  <c r="R139" i="8"/>
  <c r="Q139" i="8"/>
  <c r="N139" i="8"/>
  <c r="S138" i="8"/>
  <c r="R138" i="8"/>
  <c r="Q138" i="8"/>
  <c r="P138" i="8"/>
  <c r="O138" i="8"/>
  <c r="N138" i="8"/>
  <c r="S137" i="8"/>
  <c r="R137" i="8"/>
  <c r="Q137" i="8"/>
  <c r="N137" i="8"/>
  <c r="S136" i="8"/>
  <c r="R136" i="8"/>
  <c r="Q136" i="8"/>
  <c r="P136" i="8"/>
  <c r="O136" i="8"/>
  <c r="N136" i="8"/>
  <c r="S135" i="8"/>
  <c r="R135" i="8"/>
  <c r="Q135" i="8"/>
  <c r="P135" i="8"/>
  <c r="O135" i="8"/>
  <c r="N135" i="8"/>
  <c r="S134" i="8"/>
  <c r="R134" i="8"/>
  <c r="Q134" i="8"/>
  <c r="P134" i="8"/>
  <c r="O134" i="8"/>
  <c r="N134" i="8"/>
  <c r="S133" i="8"/>
  <c r="R133" i="8"/>
  <c r="Q133" i="8"/>
  <c r="P133" i="8"/>
  <c r="O133" i="8"/>
  <c r="N133" i="8"/>
  <c r="S132" i="8"/>
  <c r="R132" i="8"/>
  <c r="Q132" i="8"/>
  <c r="N132" i="8"/>
  <c r="S131" i="8"/>
  <c r="R131" i="8"/>
  <c r="Q131" i="8"/>
  <c r="P131" i="8"/>
  <c r="O131" i="8"/>
  <c r="N131" i="8"/>
  <c r="S130" i="8"/>
  <c r="R130" i="8"/>
  <c r="Q130" i="8"/>
  <c r="N130" i="8"/>
  <c r="S129" i="8"/>
  <c r="R129" i="8"/>
  <c r="Q129" i="8"/>
  <c r="N129" i="8"/>
  <c r="S128" i="8"/>
  <c r="R128" i="8"/>
  <c r="Q128" i="8"/>
  <c r="P128" i="8"/>
  <c r="O128" i="8"/>
  <c r="N128" i="8"/>
  <c r="S127" i="8"/>
  <c r="R127" i="8"/>
  <c r="Q127" i="8"/>
  <c r="N127" i="8"/>
  <c r="S126" i="8"/>
  <c r="R126" i="8"/>
  <c r="Q126" i="8"/>
  <c r="N126" i="8"/>
  <c r="S125" i="8"/>
  <c r="R125" i="8"/>
  <c r="Q125" i="8"/>
  <c r="P125" i="8"/>
  <c r="O125" i="8"/>
  <c r="N125" i="8"/>
  <c r="S123" i="8"/>
  <c r="R123" i="8"/>
  <c r="Q123" i="8"/>
  <c r="P123" i="8"/>
  <c r="O123" i="8"/>
  <c r="N123" i="8"/>
  <c r="S122" i="8"/>
  <c r="R122" i="8"/>
  <c r="Q122" i="8"/>
  <c r="P122" i="8"/>
  <c r="O122" i="8"/>
  <c r="S121" i="8"/>
  <c r="R121" i="8"/>
  <c r="Q121" i="8"/>
  <c r="P121" i="8"/>
  <c r="O121" i="8"/>
  <c r="S120" i="8"/>
  <c r="R120" i="8"/>
  <c r="Q120" i="8"/>
  <c r="P120" i="8"/>
  <c r="O120" i="8"/>
  <c r="S119" i="8"/>
  <c r="R119" i="8"/>
  <c r="Q119" i="8"/>
  <c r="S118" i="8"/>
  <c r="R118" i="8"/>
  <c r="Q118" i="8"/>
  <c r="S117" i="8"/>
  <c r="R117" i="8"/>
  <c r="Q117" i="8"/>
  <c r="P117" i="8"/>
  <c r="O117" i="8"/>
  <c r="S116" i="8"/>
  <c r="R116" i="8"/>
  <c r="Q116" i="8"/>
  <c r="S115" i="8"/>
  <c r="R115" i="8"/>
  <c r="Q115" i="8"/>
  <c r="P115" i="8"/>
  <c r="O115" i="8"/>
  <c r="S114" i="8"/>
  <c r="R114" i="8"/>
  <c r="Q114" i="8"/>
  <c r="S113" i="8"/>
  <c r="R113" i="8"/>
  <c r="Q113" i="8"/>
  <c r="P113" i="8"/>
  <c r="O113" i="8"/>
  <c r="S112" i="8"/>
  <c r="R112" i="8"/>
  <c r="S111" i="8"/>
  <c r="R111" i="8"/>
  <c r="S110" i="8"/>
  <c r="R110" i="8"/>
  <c r="P110" i="8"/>
  <c r="O110" i="8"/>
  <c r="N110" i="8"/>
  <c r="S109" i="8"/>
  <c r="R109" i="8"/>
  <c r="Q109" i="8"/>
  <c r="P109" i="8"/>
  <c r="O109" i="8"/>
  <c r="N109" i="8"/>
  <c r="S108" i="8"/>
  <c r="R108" i="8"/>
  <c r="Q108" i="8"/>
  <c r="N108" i="8"/>
  <c r="S107" i="8"/>
  <c r="R107" i="8"/>
  <c r="Q107" i="8"/>
  <c r="N107" i="8"/>
  <c r="S106" i="8"/>
  <c r="R106" i="8"/>
  <c r="Q106" i="8"/>
  <c r="P106" i="8"/>
  <c r="O106" i="8"/>
  <c r="N106" i="8"/>
  <c r="S105" i="8"/>
  <c r="R105" i="8"/>
  <c r="Q105" i="8"/>
  <c r="P105" i="8"/>
  <c r="O105" i="8"/>
  <c r="N105" i="8"/>
  <c r="S104" i="8"/>
  <c r="R104" i="8"/>
  <c r="Q104" i="8"/>
  <c r="P104" i="8"/>
  <c r="O104" i="8"/>
  <c r="N104" i="8"/>
  <c r="S103" i="8"/>
  <c r="R103" i="8"/>
  <c r="Q103" i="8"/>
  <c r="N103" i="8"/>
  <c r="S102" i="8"/>
  <c r="R102" i="8"/>
  <c r="Q102" i="8"/>
  <c r="P102" i="8"/>
  <c r="O102" i="8"/>
  <c r="N102" i="8"/>
  <c r="S101" i="8"/>
  <c r="R101" i="8"/>
  <c r="Q101" i="8"/>
  <c r="O101" i="8"/>
  <c r="N101" i="8"/>
  <c r="S100" i="8"/>
  <c r="R100" i="8"/>
  <c r="Q100" i="8"/>
  <c r="P100" i="8"/>
  <c r="O100" i="8"/>
  <c r="N100" i="8"/>
  <c r="S99" i="8"/>
  <c r="R99" i="8"/>
  <c r="Q99" i="8"/>
  <c r="N99" i="8"/>
  <c r="S98" i="8"/>
  <c r="R98" i="8"/>
  <c r="Q98" i="8"/>
  <c r="N98" i="8"/>
  <c r="S97" i="8"/>
  <c r="R97" i="8"/>
  <c r="Q97" i="8"/>
  <c r="P97" i="8"/>
  <c r="O97" i="8"/>
  <c r="N97" i="8"/>
  <c r="S96" i="8"/>
  <c r="R96" i="8"/>
  <c r="Q96" i="8"/>
  <c r="O96" i="8"/>
  <c r="N96" i="8"/>
  <c r="S95" i="8"/>
  <c r="R95" i="8"/>
  <c r="Q95" i="8"/>
  <c r="N95" i="8"/>
  <c r="S94" i="8"/>
  <c r="R94" i="8"/>
  <c r="Q94" i="8"/>
  <c r="O94" i="8"/>
  <c r="N94" i="8"/>
  <c r="S93" i="8"/>
  <c r="R93" i="8"/>
  <c r="Q93" i="8"/>
  <c r="N93" i="8"/>
  <c r="S92" i="8"/>
  <c r="R92" i="8"/>
  <c r="Q92" i="8"/>
  <c r="N92" i="8"/>
  <c r="S91" i="8"/>
  <c r="R91" i="8"/>
  <c r="Q91" i="8"/>
  <c r="P91" i="8"/>
  <c r="O91" i="8"/>
  <c r="N91" i="8"/>
  <c r="S90" i="8"/>
  <c r="R90" i="8"/>
  <c r="Q90" i="8"/>
  <c r="N90" i="8"/>
  <c r="S89" i="8"/>
  <c r="R89" i="8"/>
  <c r="Q89" i="8"/>
  <c r="P89" i="8"/>
  <c r="O89" i="8"/>
  <c r="N89" i="8"/>
  <c r="S88" i="8"/>
  <c r="R88" i="8"/>
  <c r="Q88" i="8"/>
  <c r="S87" i="8"/>
  <c r="Q87" i="8"/>
  <c r="P87" i="8"/>
  <c r="O87" i="8"/>
  <c r="S86" i="8"/>
  <c r="R86" i="8"/>
  <c r="Q86" i="8"/>
  <c r="P86" i="8"/>
  <c r="O86" i="8"/>
  <c r="S85" i="8"/>
  <c r="R85" i="8"/>
  <c r="Q85" i="8"/>
  <c r="S84" i="8"/>
  <c r="R84" i="8"/>
  <c r="Q84" i="8"/>
  <c r="S83" i="8"/>
  <c r="R83" i="8"/>
  <c r="Q83" i="8"/>
  <c r="S82" i="8"/>
  <c r="R82" i="8"/>
  <c r="Q82" i="8"/>
  <c r="S81" i="8"/>
  <c r="R81" i="8"/>
  <c r="Q81" i="8"/>
  <c r="R76" i="8"/>
  <c r="R75" i="8"/>
  <c r="N75" i="8"/>
  <c r="S74" i="8"/>
  <c r="R74" i="8"/>
  <c r="Q74" i="8"/>
  <c r="P74" i="8"/>
  <c r="O74" i="8"/>
  <c r="S73" i="8"/>
  <c r="R73" i="8"/>
  <c r="Q73" i="8"/>
  <c r="S72" i="8"/>
  <c r="R72" i="8"/>
  <c r="Q72" i="8"/>
  <c r="P72" i="8"/>
  <c r="O72" i="8"/>
  <c r="S71" i="8"/>
  <c r="R71" i="8"/>
  <c r="Q71" i="8"/>
  <c r="S70" i="8"/>
  <c r="R70" i="8"/>
  <c r="Q70" i="8"/>
  <c r="P70" i="8"/>
  <c r="O70" i="8"/>
  <c r="S69" i="8"/>
  <c r="R69" i="8"/>
  <c r="Q69" i="8"/>
  <c r="P69" i="8"/>
  <c r="O69" i="8"/>
  <c r="S68" i="8"/>
  <c r="R68" i="8"/>
  <c r="Q68" i="8"/>
  <c r="P68" i="8"/>
  <c r="O68" i="8"/>
  <c r="S67" i="8"/>
  <c r="R67" i="8"/>
  <c r="Q67" i="8"/>
  <c r="P67" i="8"/>
  <c r="O67" i="8"/>
  <c r="S66" i="8"/>
  <c r="R66" i="8"/>
  <c r="Q66" i="8"/>
  <c r="S65" i="8"/>
  <c r="R65" i="8"/>
  <c r="Q65" i="8"/>
  <c r="S64" i="8"/>
  <c r="R64" i="8"/>
  <c r="Q64" i="8"/>
  <c r="P64" i="8"/>
  <c r="O64" i="8"/>
  <c r="S61" i="8"/>
  <c r="R61" i="8"/>
  <c r="Q61" i="8"/>
  <c r="S60" i="8"/>
  <c r="R60" i="8"/>
  <c r="Q60" i="8"/>
  <c r="P60" i="8"/>
  <c r="O60" i="8"/>
  <c r="S59" i="8"/>
  <c r="R59" i="8"/>
  <c r="Q59" i="8"/>
  <c r="S58" i="8"/>
  <c r="R58" i="8"/>
  <c r="Q58" i="8"/>
  <c r="P58" i="8"/>
  <c r="O58" i="8"/>
  <c r="S57" i="8"/>
  <c r="R57" i="8"/>
  <c r="Q57" i="8"/>
  <c r="S56" i="8"/>
  <c r="R56" i="8"/>
  <c r="Q56" i="8"/>
  <c r="P56" i="8"/>
  <c r="O56" i="8"/>
  <c r="N56" i="8"/>
  <c r="S55" i="8"/>
  <c r="R55" i="8"/>
  <c r="Q55" i="8"/>
  <c r="S54" i="8"/>
  <c r="R54" i="8"/>
  <c r="Q54" i="8"/>
  <c r="S53" i="8"/>
  <c r="R53" i="8"/>
  <c r="Q53" i="8"/>
  <c r="P53" i="8"/>
  <c r="O53" i="8"/>
  <c r="S52" i="8"/>
  <c r="R52" i="8"/>
  <c r="Q52" i="8"/>
  <c r="S51" i="8"/>
  <c r="R51" i="8"/>
  <c r="Q51" i="8"/>
  <c r="P51" i="8"/>
  <c r="O51" i="8"/>
  <c r="S50" i="8"/>
  <c r="R50" i="8"/>
  <c r="Q50" i="8"/>
  <c r="S49" i="8"/>
  <c r="R49" i="8"/>
  <c r="Q49" i="8"/>
  <c r="S48" i="8"/>
  <c r="R48" i="8"/>
  <c r="Q48" i="8"/>
  <c r="S47" i="8"/>
  <c r="R47" i="8"/>
  <c r="Q47" i="8"/>
  <c r="P47" i="8"/>
  <c r="O47" i="8"/>
  <c r="S44" i="8"/>
  <c r="R44" i="8"/>
  <c r="Q44" i="8"/>
  <c r="S43" i="8"/>
  <c r="R43" i="8"/>
  <c r="Q43" i="8"/>
  <c r="S42" i="8"/>
  <c r="R42" i="8"/>
  <c r="Q42" i="8"/>
  <c r="P42" i="8"/>
  <c r="O42" i="8"/>
  <c r="N42" i="8"/>
  <c r="P40" i="8"/>
  <c r="O40" i="8"/>
  <c r="S38" i="8"/>
  <c r="R38" i="8"/>
  <c r="Q38" i="8"/>
  <c r="P38" i="8"/>
  <c r="O38" i="8"/>
  <c r="S37" i="8"/>
  <c r="R37" i="8"/>
  <c r="Q37" i="8"/>
  <c r="O37" i="8"/>
  <c r="S36" i="8"/>
  <c r="R36" i="8"/>
  <c r="Q36" i="8"/>
  <c r="S35" i="8"/>
  <c r="R35" i="8"/>
  <c r="Q35" i="8"/>
  <c r="S34" i="8"/>
  <c r="R34" i="8"/>
  <c r="Q34" i="8"/>
  <c r="P34" i="8"/>
  <c r="O34" i="8"/>
  <c r="S33" i="8"/>
  <c r="R33" i="8"/>
  <c r="Q33" i="8"/>
  <c r="S32" i="8"/>
  <c r="R32" i="8"/>
  <c r="Q32" i="8"/>
  <c r="S31" i="8"/>
  <c r="R31" i="8"/>
  <c r="Q31" i="8"/>
  <c r="O31" i="8"/>
  <c r="S30" i="8"/>
  <c r="R30" i="8"/>
  <c r="Q30" i="8"/>
  <c r="S29" i="8"/>
  <c r="R29" i="8"/>
  <c r="Q29" i="8"/>
  <c r="S28" i="8"/>
  <c r="R28" i="8"/>
  <c r="Q28" i="8"/>
  <c r="O28" i="8"/>
  <c r="S26" i="8"/>
  <c r="R26" i="8"/>
  <c r="Q26" i="8"/>
  <c r="O26" i="8"/>
  <c r="S23" i="8"/>
  <c r="R23" i="8"/>
  <c r="Q23" i="8"/>
  <c r="S22" i="8"/>
  <c r="R22" i="8"/>
  <c r="Q22" i="8"/>
  <c r="O22" i="8"/>
  <c r="S18" i="8"/>
  <c r="R18" i="8"/>
  <c r="Q18" i="8"/>
  <c r="S17" i="8"/>
  <c r="R17" i="8"/>
  <c r="Q17" i="8"/>
  <c r="O17" i="8"/>
  <c r="S16" i="8"/>
  <c r="R16" i="8"/>
  <c r="Q16" i="8"/>
  <c r="O16" i="8"/>
  <c r="S15" i="8"/>
  <c r="R15" i="8"/>
  <c r="Q15" i="8"/>
  <c r="S14" i="8"/>
  <c r="R14" i="8"/>
  <c r="Q14" i="8"/>
  <c r="S13" i="8"/>
  <c r="R13" i="8"/>
  <c r="Q13" i="8"/>
  <c r="S12" i="8"/>
  <c r="R12" i="8"/>
  <c r="Q12" i="8"/>
  <c r="S11" i="8"/>
  <c r="R11" i="8"/>
  <c r="Q11" i="8"/>
  <c r="S10" i="8"/>
  <c r="R10" i="8"/>
  <c r="Q10" i="8"/>
  <c r="S9" i="8"/>
  <c r="R9" i="8"/>
  <c r="Q9" i="8"/>
  <c r="S8" i="8"/>
  <c r="Q8" i="8"/>
  <c r="S7" i="8"/>
  <c r="R7" i="8"/>
  <c r="Q7" i="8"/>
  <c r="S6" i="8"/>
  <c r="R6" i="8"/>
  <c r="Q6" i="8"/>
  <c r="O6" i="8"/>
  <c r="S5" i="8"/>
  <c r="R5" i="8"/>
  <c r="S4" i="8"/>
  <c r="R4" i="8"/>
  <c r="O4" i="8"/>
  <c r="N4" i="8"/>
  <c r="F168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D5BBDB-138E-44AD-8F57-37E0E753480D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2" xr16:uid="{09F2F767-0827-4126-9BEB-A302DC0CC92E}" keepAlive="1" name="Query - Table3" description="Connection to the 'Table3' query in the workbook." type="5" refreshedVersion="7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<sst xmlns="http://schemas.openxmlformats.org/spreadsheetml/2006/main" count="15058" uniqueCount="6229">
  <si>
    <t>A</t>
  </si>
  <si>
    <t>B</t>
  </si>
  <si>
    <t>C</t>
  </si>
  <si>
    <t>Q1860616F38</t>
  </si>
  <si>
    <t>Q1460625F38</t>
  </si>
  <si>
    <t>Q32006F38</t>
  </si>
  <si>
    <t>BL1089A5</t>
  </si>
  <si>
    <t>D</t>
  </si>
  <si>
    <t>Q2734813F36</t>
  </si>
  <si>
    <t>E</t>
  </si>
  <si>
    <t>F</t>
  </si>
  <si>
    <t>Q33006F38</t>
  </si>
  <si>
    <t>13MA-11011</t>
  </si>
  <si>
    <t>Q1840616F38</t>
  </si>
  <si>
    <t>A13-3506711</t>
  </si>
  <si>
    <t>Q1860612F36</t>
  </si>
  <si>
    <t>A13-4016201</t>
  </si>
  <si>
    <t>Q1840816F36</t>
  </si>
  <si>
    <t>Q32008F36</t>
  </si>
  <si>
    <t>Q230B0616F38</t>
  </si>
  <si>
    <t>B-1311106</t>
  </si>
  <si>
    <t>Q1860612F38</t>
  </si>
  <si>
    <t>BM3-8215010C-Y1</t>
  </si>
  <si>
    <t>BS3-5306134B</t>
  </si>
  <si>
    <t>G</t>
  </si>
  <si>
    <t>H</t>
  </si>
  <si>
    <t>Q32006F36</t>
  </si>
  <si>
    <t>Q1460620F38</t>
  </si>
  <si>
    <t>SX5-3550-6</t>
  </si>
  <si>
    <t>BS3-3550411B</t>
  </si>
  <si>
    <t>SX5-3550-2</t>
  </si>
  <si>
    <t>SX5-3506210</t>
  </si>
  <si>
    <t>35MA-06086</t>
  </si>
  <si>
    <t>BL686</t>
  </si>
  <si>
    <t>B-3506103</t>
  </si>
  <si>
    <t>I</t>
  </si>
  <si>
    <t>J</t>
  </si>
  <si>
    <t>K</t>
  </si>
  <si>
    <t>SX5-3506240</t>
  </si>
  <si>
    <t>L</t>
  </si>
  <si>
    <t>SX5-3506230</t>
  </si>
  <si>
    <t>1</t>
  </si>
  <si>
    <t>2</t>
  </si>
  <si>
    <t>SX7HCT-3610-1</t>
  </si>
  <si>
    <t>SX7HCT-3611-0001CS</t>
  </si>
  <si>
    <t>SX5-2904-3</t>
  </si>
  <si>
    <t>B20-2904032B</t>
  </si>
  <si>
    <t>DTF6177.2M14*1.50-10F39A</t>
  </si>
  <si>
    <t>SX7-2904050B2</t>
  </si>
  <si>
    <t>SX7-5206-2</t>
  </si>
  <si>
    <t>SX7-5206020B</t>
  </si>
  <si>
    <t>SX5K-3602010</t>
  </si>
  <si>
    <t>SX7-3641020</t>
  </si>
  <si>
    <t>SX7-3776510</t>
  </si>
  <si>
    <t>SX7-5301-1</t>
  </si>
  <si>
    <t>SX5-5301350C</t>
  </si>
  <si>
    <t>BL929A1</t>
  </si>
  <si>
    <t>SX5F-5301-0001C</t>
  </si>
  <si>
    <t>SX5F-5301-1</t>
  </si>
  <si>
    <t>LQ140B0612F38</t>
  </si>
  <si>
    <t>SX5-5205-2</t>
  </si>
  <si>
    <t>SX5-5205-0003C</t>
  </si>
  <si>
    <t>SX5-5205-1</t>
  </si>
  <si>
    <t>SX5-5205-0004C</t>
  </si>
  <si>
    <t>SX5-5205-4</t>
  </si>
  <si>
    <t>C20-5205037</t>
  </si>
  <si>
    <t>SX5-5205032</t>
  </si>
  <si>
    <t>SX5-5207-1</t>
  </si>
  <si>
    <t>SX7-5207310</t>
  </si>
  <si>
    <t>SX5-5304030</t>
  </si>
  <si>
    <t>SX5-5207030</t>
  </si>
  <si>
    <t>SX5-5304-0001C</t>
  </si>
  <si>
    <t>SX5-5304-1</t>
  </si>
  <si>
    <t>BL346</t>
  </si>
  <si>
    <t>S500-3703-5</t>
  </si>
  <si>
    <t>B12-3703113</t>
  </si>
  <si>
    <t>S60-3703-0001S</t>
  </si>
  <si>
    <t>SX5-5703-6</t>
  </si>
  <si>
    <t>SX5A-5703-0004C</t>
  </si>
  <si>
    <t>SX5F-5403-1</t>
  </si>
  <si>
    <t>SX3A-5403030B</t>
  </si>
  <si>
    <t>SX5-6310071</t>
  </si>
  <si>
    <t>SX5-6303-1</t>
  </si>
  <si>
    <t>52MA-06023B</t>
  </si>
  <si>
    <t>SX5F-5402-2</t>
  </si>
  <si>
    <t>BL338</t>
  </si>
  <si>
    <t>Q2734816F38</t>
  </si>
  <si>
    <t>Q2140610F38</t>
  </si>
  <si>
    <t>BL611</t>
  </si>
  <si>
    <t>SX7H-1703410</t>
  </si>
  <si>
    <t>SX5F-1703-2</t>
  </si>
  <si>
    <t>SX5-3603-2</t>
  </si>
  <si>
    <t>SX5F-3603010</t>
  </si>
  <si>
    <t>CM5G-3611120</t>
  </si>
  <si>
    <t>T5-3611010</t>
  </si>
  <si>
    <t>A-3610610</t>
  </si>
  <si>
    <t>SX5GCT-3610-4</t>
  </si>
  <si>
    <t>CM5P-3611011</t>
  </si>
  <si>
    <t>T5HEV-3610-7</t>
  </si>
  <si>
    <t>SX3DCN-8103-1</t>
  </si>
  <si>
    <t>SX5E-3510-2</t>
  </si>
  <si>
    <t>Q1840645F36</t>
  </si>
  <si>
    <t>SX5G-3510010</t>
  </si>
  <si>
    <t xml:space="preserve">SX5E-3561-2 </t>
  </si>
  <si>
    <t>SX5G-3510010A</t>
  </si>
  <si>
    <t>SX7H-1109017</t>
  </si>
  <si>
    <t>T5HEV-1132-3</t>
  </si>
  <si>
    <t>T5HEV-1132-2</t>
  </si>
  <si>
    <t>SX5G-1109014</t>
  </si>
  <si>
    <t>CM5D-4016102</t>
  </si>
  <si>
    <t>Q1460616F36</t>
  </si>
  <si>
    <t>SX6E-8105010B</t>
  </si>
  <si>
    <t>SX5E-1300215</t>
  </si>
  <si>
    <t>SX5K-1308010</t>
  </si>
  <si>
    <t>Q673C36F62</t>
  </si>
  <si>
    <t>SX5-1302102</t>
  </si>
  <si>
    <t>BM3-1301016</t>
  </si>
  <si>
    <t>C0102-1015123</t>
  </si>
  <si>
    <t>T5HEV-1000-3</t>
  </si>
  <si>
    <t>C0102-1015124A</t>
  </si>
  <si>
    <t>SX7H-4016101S</t>
  </si>
  <si>
    <t>SX7HCT-1303-2</t>
  </si>
  <si>
    <t>SX3D-4016101A</t>
  </si>
  <si>
    <t>SX7H-4016102S</t>
  </si>
  <si>
    <t>SX7-6305-2</t>
  </si>
  <si>
    <t>SX7-6305020</t>
  </si>
  <si>
    <t>Q1460616F38</t>
  </si>
  <si>
    <t>SX7-6309-4</t>
  </si>
  <si>
    <t>SX3A-6309090</t>
  </si>
  <si>
    <t>SX5-8402-8</t>
  </si>
  <si>
    <t>DM5L-8402212</t>
  </si>
  <si>
    <t>SX7-8402-2</t>
  </si>
  <si>
    <t>A-6309012A</t>
  </si>
  <si>
    <t>SX5F-4133-2</t>
  </si>
  <si>
    <t>SX3A-4133030A2</t>
  </si>
  <si>
    <t>SX3A-4133040A2</t>
  </si>
  <si>
    <t>LQ321M608</t>
  </si>
  <si>
    <t>SX5F-4133-1</t>
  </si>
  <si>
    <t>SX3A-4133150A1</t>
  </si>
  <si>
    <t>BM3-4133012</t>
  </si>
  <si>
    <t>SX5-5306-9</t>
  </si>
  <si>
    <t>SX5-8402-1</t>
  </si>
  <si>
    <t>SX3-8402611</t>
  </si>
  <si>
    <t>BL318</t>
  </si>
  <si>
    <t>SX5-5310-1</t>
  </si>
  <si>
    <t>SX5-5310-2</t>
  </si>
  <si>
    <t>SX5B-5310611B</t>
  </si>
  <si>
    <t>SX5A-5703-2</t>
  </si>
  <si>
    <t>SX5F-5703010A-Y1</t>
  </si>
  <si>
    <t>LQ140B0616F38A1</t>
  </si>
  <si>
    <t>SX5-5703-1</t>
  </si>
  <si>
    <t>SX5A-5703311B</t>
  </si>
  <si>
    <t>SX5-5703-8</t>
  </si>
  <si>
    <t>SX5-5703613</t>
  </si>
  <si>
    <t>SX5-8402-5</t>
  </si>
  <si>
    <t>SX5-5109-4</t>
  </si>
  <si>
    <t>SX5-5109512</t>
  </si>
  <si>
    <t>SX5-4016-3</t>
  </si>
  <si>
    <t>SX5F-4016102B1</t>
  </si>
  <si>
    <t>SX5F-4002-2</t>
  </si>
  <si>
    <t>SX5-1108-1</t>
  </si>
  <si>
    <t>SX5-1108110</t>
  </si>
  <si>
    <t>SX5F-5506-1</t>
  </si>
  <si>
    <t>Q2214819F38</t>
  </si>
  <si>
    <t>SX5A-5703-4</t>
  </si>
  <si>
    <t>SX5-5703412</t>
  </si>
  <si>
    <t>SX5-6305-4</t>
  </si>
  <si>
    <t>SX5-6305620</t>
  </si>
  <si>
    <t>SX5-8402-15</t>
  </si>
  <si>
    <t>BS3-8402410</t>
  </si>
  <si>
    <t>C20-5810510BA2</t>
  </si>
  <si>
    <t>SX5-3750-1</t>
  </si>
  <si>
    <t>B12-3758010</t>
  </si>
  <si>
    <t>Q2714213F38</t>
  </si>
  <si>
    <t>BX5A-5207111</t>
  </si>
  <si>
    <t>SX5-5524-1</t>
  </si>
  <si>
    <t>SX3-5524030</t>
  </si>
  <si>
    <t>SX3-5524040</t>
  </si>
  <si>
    <t>Q32206F38L</t>
  </si>
  <si>
    <t>SX5-5820-1</t>
  </si>
  <si>
    <t>SX5-5820610</t>
  </si>
  <si>
    <t>SX5-5820620</t>
  </si>
  <si>
    <t>SX5-8403-1</t>
  </si>
  <si>
    <t>SX5-8403510B</t>
  </si>
  <si>
    <t>SX5-8403520B</t>
  </si>
  <si>
    <t>SX5-4134-2</t>
  </si>
  <si>
    <t>BS3-4134320B</t>
  </si>
  <si>
    <t>S500-3630181</t>
  </si>
  <si>
    <t>SX5K-1104-1</t>
  </si>
  <si>
    <t>Q67545F36</t>
  </si>
  <si>
    <t>SX5-3500-1</t>
  </si>
  <si>
    <t>BM3-3504020</t>
  </si>
  <si>
    <t>BX5A-3504503</t>
  </si>
  <si>
    <t>Q50110F38</t>
  </si>
  <si>
    <t>16MA-02029</t>
  </si>
  <si>
    <t>SX5-5504-2</t>
  </si>
  <si>
    <t>BL338A</t>
  </si>
  <si>
    <t>SX5F-5504110</t>
  </si>
  <si>
    <t>LQ2734816F38A1</t>
  </si>
  <si>
    <t>SX5B-5207010</t>
  </si>
  <si>
    <t>SX5B-5207-1</t>
  </si>
  <si>
    <t>SX5-5810020E</t>
  </si>
  <si>
    <t>SX5-1108-2</t>
  </si>
  <si>
    <t>SX5-2904-2</t>
  </si>
  <si>
    <t>35MA-06073</t>
  </si>
  <si>
    <t>SX5F-5306-2</t>
  </si>
  <si>
    <t>SX5K-5306-0002C</t>
  </si>
  <si>
    <t>SX5F-5306-1</t>
  </si>
  <si>
    <t>SX5F-5306670B</t>
  </si>
  <si>
    <t>Q32008F38</t>
  </si>
  <si>
    <t>SX5-8210-1</t>
  </si>
  <si>
    <t>BS3-8210060</t>
  </si>
  <si>
    <t>SX5-8210-4</t>
  </si>
  <si>
    <t>SX5-8210080</t>
  </si>
  <si>
    <t>SX5-8402-6</t>
  </si>
  <si>
    <t>BM3-8402100B</t>
  </si>
  <si>
    <t>BS3-8402060A</t>
  </si>
  <si>
    <t>Q1460816F38</t>
  </si>
  <si>
    <t>Q1840816F38</t>
  </si>
  <si>
    <t>SX5F-7000-2</t>
  </si>
  <si>
    <t>Q1800825F38</t>
  </si>
  <si>
    <t>4</t>
  </si>
  <si>
    <t>SX5-8204-1</t>
  </si>
  <si>
    <t>Q2734816F39</t>
  </si>
  <si>
    <t>SX5-8215-1</t>
  </si>
  <si>
    <t>BM3-8215020C-Y1</t>
  </si>
  <si>
    <t>SX5-5820-4</t>
  </si>
  <si>
    <t>Q1860620F38</t>
  </si>
  <si>
    <t>SX5-5402-2</t>
  </si>
  <si>
    <t>SX5-5402210B</t>
  </si>
  <si>
    <t>SX5-5402220B</t>
  </si>
  <si>
    <t>SX5-5402216</t>
  </si>
  <si>
    <t>SX5-5402-3</t>
  </si>
  <si>
    <t>SX5F-5402-1</t>
  </si>
  <si>
    <t>SX5F-5402310-Y1</t>
  </si>
  <si>
    <t>SX5F-5402320-Y1</t>
  </si>
  <si>
    <t>SX5-3721-2</t>
  </si>
  <si>
    <t>BM3-3721110</t>
  </si>
  <si>
    <t>BM3-3721120</t>
  </si>
  <si>
    <t>SX5-7903-1</t>
  </si>
  <si>
    <t>SX5-7903010</t>
  </si>
  <si>
    <t>SX5-5306-3</t>
  </si>
  <si>
    <t>SX5-5824-1</t>
  </si>
  <si>
    <t>SX5-4121-1</t>
  </si>
  <si>
    <t>SX5-4121120D</t>
  </si>
  <si>
    <t>LQ141M620</t>
  </si>
  <si>
    <t>SX5-6105-1</t>
  </si>
  <si>
    <t>BM3-6105310A</t>
  </si>
  <si>
    <t>Q2580820F36</t>
  </si>
  <si>
    <t>SX5A-5701-1</t>
  </si>
  <si>
    <t>BL164</t>
  </si>
  <si>
    <t>SX7-6305-1</t>
  </si>
  <si>
    <t>SX7-6305310</t>
  </si>
  <si>
    <t>Q1840820F38</t>
  </si>
  <si>
    <t>SX5-6305-3</t>
  </si>
  <si>
    <t>SX5-6305610</t>
  </si>
  <si>
    <t>Q2150635F38</t>
  </si>
  <si>
    <t>SX7-4133-1</t>
  </si>
  <si>
    <t>BM3-4133013</t>
  </si>
  <si>
    <t>BS3-4133311</t>
  </si>
  <si>
    <t>SX3A-4133010A</t>
  </si>
  <si>
    <t>SX3A-4133020A</t>
  </si>
  <si>
    <t>SX5-8104-1</t>
  </si>
  <si>
    <t>SX5-8104010</t>
  </si>
  <si>
    <t>SX5-5306-4</t>
  </si>
  <si>
    <t>SX5F-5306380-Y1</t>
  </si>
  <si>
    <t>SX5-5305-9</t>
  </si>
  <si>
    <t>SX5-5305016</t>
  </si>
  <si>
    <t>SX5-5305-11</t>
  </si>
  <si>
    <t>SX5-5305120C</t>
  </si>
  <si>
    <t>Q2204816F38</t>
  </si>
  <si>
    <t>1840616F38</t>
  </si>
  <si>
    <t>SX5-5305-10</t>
  </si>
  <si>
    <t>SX5-5305110</t>
  </si>
  <si>
    <t>SX5-5109-1</t>
  </si>
  <si>
    <t>SX5-5109513</t>
  </si>
  <si>
    <t>SX5-2804-1</t>
  </si>
  <si>
    <t>SX3A-2804532B</t>
  </si>
  <si>
    <t>BL338B</t>
  </si>
  <si>
    <t>SX5-5110-1</t>
  </si>
  <si>
    <t>SX5-5110711</t>
  </si>
  <si>
    <t>SX5-5110-2</t>
  </si>
  <si>
    <t>SX5-5110712</t>
  </si>
  <si>
    <t>SX5-5110-5</t>
  </si>
  <si>
    <t>SX5-5110715</t>
  </si>
  <si>
    <t>SX5-5110-6</t>
  </si>
  <si>
    <t>SX5-5110716</t>
  </si>
  <si>
    <t>SX5-6310-2</t>
  </si>
  <si>
    <t>SX5-6310010</t>
  </si>
  <si>
    <t>LQ146B0630F38A1</t>
  </si>
  <si>
    <t>SX5-6310-1</t>
  </si>
  <si>
    <t>SX5-6310050A</t>
  </si>
  <si>
    <t>SX5F-5109-3</t>
  </si>
  <si>
    <t>SX5F-5410111</t>
  </si>
  <si>
    <t>SX5F-5410113</t>
  </si>
  <si>
    <t>SX5F-5410114</t>
  </si>
  <si>
    <t>SX5-6302-3</t>
  </si>
  <si>
    <t>SX5-6302-2</t>
  </si>
  <si>
    <t>SX5-6302-4</t>
  </si>
  <si>
    <t>SX5-1700-3</t>
  </si>
  <si>
    <t>SX5F-1703620</t>
  </si>
  <si>
    <t>Q32206F38</t>
  </si>
  <si>
    <t>SX5-8112-1</t>
  </si>
  <si>
    <t>SX5F-6305-1</t>
  </si>
  <si>
    <t>SX5-5402-9</t>
  </si>
  <si>
    <t>SX5F-4010020A</t>
  </si>
  <si>
    <t>SX3D-1130-2</t>
  </si>
  <si>
    <t>SX5H-1130010A</t>
  </si>
  <si>
    <t>SX5H-1130015</t>
  </si>
  <si>
    <t>SX5-1200-8</t>
  </si>
  <si>
    <t>BS3-1208107A</t>
  </si>
  <si>
    <t>SX5-3508-3</t>
  </si>
  <si>
    <t>SX5-3508131</t>
  </si>
  <si>
    <t>SX5-3508141</t>
  </si>
  <si>
    <t>SX5-2915-2</t>
  </si>
  <si>
    <t>S60-2915030</t>
  </si>
  <si>
    <t>B20-2915031B</t>
  </si>
  <si>
    <t>SX5-2912-1</t>
  </si>
  <si>
    <t>SX5-2912031</t>
  </si>
  <si>
    <t>B20-2911104</t>
  </si>
  <si>
    <t>SX5-2810-3</t>
  </si>
  <si>
    <t>B20-2810035C</t>
  </si>
  <si>
    <t>Q40212F36</t>
  </si>
  <si>
    <t>BS3-2810013B</t>
  </si>
  <si>
    <t>Q1841025TF38</t>
  </si>
  <si>
    <t>BM3-2400103</t>
  </si>
  <si>
    <t>SX5-2810-4</t>
  </si>
  <si>
    <t>B20-2810021B</t>
  </si>
  <si>
    <t>B20-2810022B</t>
  </si>
  <si>
    <t>SX5-5512-1</t>
  </si>
  <si>
    <t>SX5F-5512210</t>
  </si>
  <si>
    <t>SX5F-5512220</t>
  </si>
  <si>
    <t>SX5-5504-3</t>
  </si>
  <si>
    <t>SX5-5504030B</t>
  </si>
  <si>
    <t>SX5-5512-3</t>
  </si>
  <si>
    <t>SX5F-5512821</t>
  </si>
  <si>
    <t>SX5F-5512822</t>
  </si>
  <si>
    <t>SX5-1200-2</t>
  </si>
  <si>
    <t>SX5-1208104</t>
  </si>
  <si>
    <t>SX5-2914-4</t>
  </si>
  <si>
    <t>B20-2914530</t>
  </si>
  <si>
    <t>SX5-3506-3</t>
  </si>
  <si>
    <t>SX5-3506370</t>
  </si>
  <si>
    <t>35MA-06089</t>
  </si>
  <si>
    <t>SX5-3630-2</t>
  </si>
  <si>
    <t>SX7-3630030</t>
  </si>
  <si>
    <t>SX5-1201086</t>
  </si>
  <si>
    <t>SX3-1200-4</t>
  </si>
  <si>
    <t>Q33110F38</t>
  </si>
  <si>
    <t>SX5-1204011</t>
  </si>
  <si>
    <t>SX5A-1203-2</t>
  </si>
  <si>
    <t>SX5-1201085</t>
  </si>
  <si>
    <t>SX5-5305-3</t>
  </si>
  <si>
    <t>SX3-5305091</t>
  </si>
  <si>
    <t>SX5-5110-7</t>
  </si>
  <si>
    <t>SX5F-5110717</t>
  </si>
  <si>
    <t>SX5-5110-8</t>
  </si>
  <si>
    <t>SX5F-5110718</t>
  </si>
  <si>
    <t>SX5-5402-1</t>
  </si>
  <si>
    <t>SX5F-5402240-Y1</t>
  </si>
  <si>
    <t>SX6A-3703-2</t>
  </si>
  <si>
    <t>BS3-3703030</t>
  </si>
  <si>
    <t>S60-3703520</t>
  </si>
  <si>
    <t>SX7-3703-4</t>
  </si>
  <si>
    <t>BS3-3703620</t>
  </si>
  <si>
    <t>SX5F-5109-2</t>
  </si>
  <si>
    <t>BL1089A7</t>
  </si>
  <si>
    <t>SX5-5305-4</t>
  </si>
  <si>
    <t>SX5F-6302-1</t>
  </si>
  <si>
    <t>SX5F-6302-0001-2</t>
  </si>
  <si>
    <t>SX5-3106-2</t>
  </si>
  <si>
    <t>31MA-03012A</t>
  </si>
  <si>
    <t>SX5-3106-7</t>
  </si>
  <si>
    <t>SX5-3105010</t>
  </si>
  <si>
    <t>SX7-8201-1</t>
  </si>
  <si>
    <t>SX7-5402192-Y2</t>
  </si>
  <si>
    <t>SX5-6107-4</t>
  </si>
  <si>
    <t>SX5-6107011C1</t>
  </si>
  <si>
    <t>SX5-6107010C1</t>
  </si>
  <si>
    <t>SX5-6207-4</t>
  </si>
  <si>
    <t>SX5-6207011C1</t>
  </si>
  <si>
    <t>SX5-6207010C1</t>
  </si>
  <si>
    <t>SX5-8402-9</t>
  </si>
  <si>
    <t>DM5L-8402210</t>
  </si>
  <si>
    <t>SX5-5402-6</t>
  </si>
  <si>
    <t>SX5-5402-7</t>
  </si>
  <si>
    <t>SX5F-5402160-Y1</t>
  </si>
  <si>
    <t>B-5512312</t>
  </si>
  <si>
    <t>SX5-5402-8</t>
  </si>
  <si>
    <t>SX5-5402410</t>
  </si>
  <si>
    <t>SX5-5402420</t>
  </si>
  <si>
    <t>SX5-5402-10</t>
  </si>
  <si>
    <t>SX5-5402510</t>
  </si>
  <si>
    <t>SX5-5402520</t>
  </si>
  <si>
    <t>SX5-5512-4</t>
  </si>
  <si>
    <t>SX5-5512-2</t>
  </si>
  <si>
    <t>SX3D-5512912</t>
  </si>
  <si>
    <t>SX5-6307-1</t>
  </si>
  <si>
    <t>SX5-6307010C</t>
  </si>
  <si>
    <t>SX5-5205-3</t>
  </si>
  <si>
    <t>SX5-5205010</t>
  </si>
  <si>
    <t>SX5F-5810-1</t>
  </si>
  <si>
    <t>SX5F-6800-1</t>
  </si>
  <si>
    <t>SX5F-6900130G-Y1</t>
  </si>
  <si>
    <t>SX5G-6800111</t>
  </si>
  <si>
    <t>SX5-7000-4</t>
  </si>
  <si>
    <t>SX5F-7000160C-Y1</t>
  </si>
  <si>
    <t>Q32210F38</t>
  </si>
  <si>
    <t>SX5F-7000-1</t>
  </si>
  <si>
    <t>SX5F-7000120D-Y1</t>
  </si>
  <si>
    <t>SX5F-7000220D-Y1</t>
  </si>
  <si>
    <t>SX5-7000-3</t>
  </si>
  <si>
    <t>SX5F-7000210B-Y1</t>
  </si>
  <si>
    <t>DM5L-5810231</t>
  </si>
  <si>
    <t>SX5-7000-1</t>
  </si>
  <si>
    <t>SX5F-7007021</t>
  </si>
  <si>
    <t>SX5-6102-1</t>
  </si>
  <si>
    <t>SX5F-6102410</t>
  </si>
  <si>
    <t>SX5-6202-1</t>
  </si>
  <si>
    <t>SX5F-6202420</t>
  </si>
  <si>
    <t>SX5-5304-2</t>
  </si>
  <si>
    <t>SX5-5304051</t>
  </si>
  <si>
    <t>SX5-5304052</t>
  </si>
  <si>
    <t>SX5F-5402-3</t>
  </si>
  <si>
    <t>SX5F-5402347-Y1</t>
  </si>
  <si>
    <t>SX5F-5402348-Y1</t>
  </si>
  <si>
    <t>SX5-5402-12</t>
  </si>
  <si>
    <t>SX5F-5402337B-Y1</t>
  </si>
  <si>
    <t>SX5F-5402338B-Y1</t>
  </si>
  <si>
    <t>SX5-3106-8</t>
  </si>
  <si>
    <t>B-3102011A</t>
  </si>
  <si>
    <t>SX5-1103-1</t>
  </si>
  <si>
    <t>SX5-5110-11</t>
  </si>
  <si>
    <t>SX5-5109-3</t>
  </si>
  <si>
    <t>SX7E-5305-1</t>
  </si>
  <si>
    <t>SX7E-5305-2</t>
  </si>
  <si>
    <t>SX5-3903-1</t>
  </si>
  <si>
    <t>SX5F-3903011</t>
  </si>
  <si>
    <t>SX5-6102-3</t>
  </si>
  <si>
    <t>SX5-6107193</t>
  </si>
  <si>
    <t>SX5F-6202-3</t>
  </si>
  <si>
    <t>SX5-6207193</t>
  </si>
  <si>
    <t>SX5-6207194</t>
  </si>
  <si>
    <t>SX5-6105-3</t>
  </si>
  <si>
    <t>SX5-6105213</t>
  </si>
  <si>
    <t>SX5-6105225</t>
  </si>
  <si>
    <t>SX5-6205225</t>
  </si>
  <si>
    <t>SX5-6205224</t>
  </si>
  <si>
    <t>SX5-6109-1</t>
  </si>
  <si>
    <t>BM3-6109010</t>
  </si>
  <si>
    <t>Q1800612F38</t>
  </si>
  <si>
    <t>SX5-6209-1</t>
  </si>
  <si>
    <t>BM3-6209010</t>
  </si>
  <si>
    <t>SX5-6107-2</t>
  </si>
  <si>
    <t>SX5-6207-1</t>
  </si>
  <si>
    <t>Q2213516F38</t>
  </si>
  <si>
    <t>SX5-6103-1</t>
  </si>
  <si>
    <t>SX5-6103031B</t>
  </si>
  <si>
    <t>SX5-6107-3</t>
  </si>
  <si>
    <t>SX5-6107131C</t>
  </si>
  <si>
    <t>SX5-6107130C</t>
  </si>
  <si>
    <t>SX5-6203-3</t>
  </si>
  <si>
    <t>SX5-6203021B</t>
  </si>
  <si>
    <t>SX5-6203020B</t>
  </si>
  <si>
    <t>SX5-6207-3</t>
  </si>
  <si>
    <t>SX5-6207131C</t>
  </si>
  <si>
    <t>SX5-6207130C</t>
  </si>
  <si>
    <t>SX5-6103-2</t>
  </si>
  <si>
    <t>SX5-6103251</t>
  </si>
  <si>
    <t>SX5-6103250</t>
  </si>
  <si>
    <t>SX5-6104-1</t>
  </si>
  <si>
    <t>SX5-6104011B</t>
  </si>
  <si>
    <t>SX5-6104010B</t>
  </si>
  <si>
    <t>SX5-6203-2</t>
  </si>
  <si>
    <t>SX5-6203151</t>
  </si>
  <si>
    <t>SX5-6203150</t>
  </si>
  <si>
    <t>SX7A-6203-1</t>
  </si>
  <si>
    <t>SX7-6203351</t>
  </si>
  <si>
    <t>SX7-6203350</t>
  </si>
  <si>
    <t>BS3-6203359</t>
  </si>
  <si>
    <t>SX5-6204-1</t>
  </si>
  <si>
    <t>SX5-6204011B</t>
  </si>
  <si>
    <t>SX5-6204010B</t>
  </si>
  <si>
    <t>SX7A-8202-1</t>
  </si>
  <si>
    <t>SX7-8202031B3</t>
  </si>
  <si>
    <t>SX7-8202030B3</t>
  </si>
  <si>
    <t>SX5F-6107-1</t>
  </si>
  <si>
    <t>SX5F-6107071A</t>
  </si>
  <si>
    <t>SX5F-6107070A</t>
  </si>
  <si>
    <t>SX5-6107-1</t>
  </si>
  <si>
    <t>SX5-6107061A</t>
  </si>
  <si>
    <t>SX5-6107060A</t>
  </si>
  <si>
    <t>Q2213513F38</t>
  </si>
  <si>
    <t>SX5F-6207-1</t>
  </si>
  <si>
    <t>SX5F-6207071A</t>
  </si>
  <si>
    <t>SX5F-6207070A</t>
  </si>
  <si>
    <t>SX5-6207-2</t>
  </si>
  <si>
    <t>SX5-6207061B</t>
  </si>
  <si>
    <t>SX5-6207060B</t>
  </si>
  <si>
    <t>SX5-6103-3</t>
  </si>
  <si>
    <t>SX5-6103211B</t>
  </si>
  <si>
    <t>SX5-6103210B</t>
  </si>
  <si>
    <t>Q2540510F38</t>
  </si>
  <si>
    <t>SX5-6203-4</t>
  </si>
  <si>
    <t>SX5-6203211</t>
  </si>
  <si>
    <t>SX5-6203210</t>
  </si>
  <si>
    <t>SX5-6105-4</t>
  </si>
  <si>
    <t>BM3-6105011B2</t>
  </si>
  <si>
    <t>BM3-6105010B2</t>
  </si>
  <si>
    <t>A-6105612A1</t>
  </si>
  <si>
    <t>SX5-6100-1</t>
  </si>
  <si>
    <t>61MA-08029B</t>
  </si>
  <si>
    <t>SX5-6205-1</t>
  </si>
  <si>
    <t>BM3-6205011B1</t>
  </si>
  <si>
    <t>BM3-6205010B1</t>
  </si>
  <si>
    <t>SX5F-6102-2</t>
  </si>
  <si>
    <t>SX5F-6102630-Y1</t>
  </si>
  <si>
    <t>SX5F-6202640-Y1</t>
  </si>
  <si>
    <t>SX5F-6102640-Y1</t>
  </si>
  <si>
    <t>SX5-6102-2</t>
  </si>
  <si>
    <t>SX5-6102051</t>
  </si>
  <si>
    <t>SX5-6102052</t>
  </si>
  <si>
    <t>SX5F-6102-3</t>
  </si>
  <si>
    <t>SX5F-6102520-Y1</t>
  </si>
  <si>
    <t>SX5F-6202-2</t>
  </si>
  <si>
    <t>SX5F-6202057</t>
  </si>
  <si>
    <t>SX5F-6202058</t>
  </si>
  <si>
    <t>Q2735516F38</t>
  </si>
  <si>
    <t>SX5-6202-3</t>
  </si>
  <si>
    <t>SX5-6202054</t>
  </si>
  <si>
    <t>SX5-6202-2</t>
  </si>
  <si>
    <t>SX5-4002-2</t>
  </si>
  <si>
    <t>SX5F-4002530B1</t>
  </si>
  <si>
    <t>SX5F-4002630B1</t>
  </si>
  <si>
    <t>SX5-4002-3</t>
  </si>
  <si>
    <t>SX5-7911-1</t>
  </si>
  <si>
    <t>B12-7911710</t>
  </si>
  <si>
    <t>SX5F-6102-1</t>
  </si>
  <si>
    <t>SX5F-6202-1</t>
  </si>
  <si>
    <t>SX5K-1203-1</t>
  </si>
  <si>
    <t>SX5-1204013</t>
  </si>
  <si>
    <t>Q1840865TF2</t>
  </si>
  <si>
    <t>SX7H-1130112</t>
  </si>
  <si>
    <t>T5HEV-1130-1</t>
  </si>
  <si>
    <t>SX5-6105214</t>
  </si>
  <si>
    <t>SX5-5820-5</t>
  </si>
  <si>
    <t>SX7-7802010A</t>
  </si>
  <si>
    <t>SX7A-6103-4</t>
  </si>
  <si>
    <t>SX7-6103527</t>
  </si>
  <si>
    <t>SX7-6103528</t>
  </si>
  <si>
    <t>SX7-6203527</t>
  </si>
  <si>
    <t>SX7-6203528</t>
  </si>
  <si>
    <t>SX7-6203537</t>
  </si>
  <si>
    <t>SX7-6203538</t>
  </si>
  <si>
    <t>SX7A-5703-1</t>
  </si>
  <si>
    <t>SX7-5703210B</t>
  </si>
  <si>
    <t>SX7A-9002-1</t>
  </si>
  <si>
    <t>DM5L-8402044</t>
  </si>
  <si>
    <t>SX7-6305-4</t>
  </si>
  <si>
    <t>SX3A-6305710</t>
  </si>
  <si>
    <t>SX5F-3921-1</t>
  </si>
  <si>
    <t>SX5-5703311</t>
  </si>
  <si>
    <t>SX7-6305-3</t>
  </si>
  <si>
    <t>SX5K-4002-1</t>
  </si>
  <si>
    <t>SX5K-4002010S</t>
  </si>
  <si>
    <t>SX5K-4002020S</t>
  </si>
  <si>
    <t>SX5F-4002-3</t>
  </si>
  <si>
    <t>Q1841050TF38</t>
  </si>
  <si>
    <t>SX5G-1001-4</t>
  </si>
  <si>
    <t>Q1861035TF38</t>
  </si>
  <si>
    <t>SX5-3540-2</t>
  </si>
  <si>
    <t>SX5-3540700B</t>
  </si>
  <si>
    <t>SX7-6309-3</t>
  </si>
  <si>
    <t>SX5-6309551</t>
  </si>
  <si>
    <t>SX7A-5207-4</t>
  </si>
  <si>
    <t>SX7-5207050A</t>
  </si>
  <si>
    <t>SX5-8402-3</t>
  </si>
  <si>
    <t>SX5-5703-4</t>
  </si>
  <si>
    <t>SX5-5703211</t>
  </si>
  <si>
    <t>SX5-5703212</t>
  </si>
  <si>
    <t>SX5-5703-5</t>
  </si>
  <si>
    <t>SX5-5703010BS</t>
  </si>
  <si>
    <t>Q32206F36</t>
  </si>
  <si>
    <t>SX7-3704-1</t>
  </si>
  <si>
    <t>SX7E-3704230S1</t>
  </si>
  <si>
    <t>SX7H-4016-2</t>
  </si>
  <si>
    <t>SX5G-1001-1</t>
  </si>
  <si>
    <t>SX7H-1205012</t>
  </si>
  <si>
    <t>SX5F-6202630-Y1</t>
  </si>
  <si>
    <t>SX5F-6102510-Y1</t>
  </si>
  <si>
    <t>SX5-6205214</t>
  </si>
  <si>
    <t>SX5-6205215</t>
  </si>
  <si>
    <t>SX5-5304-3</t>
  </si>
  <si>
    <t>SX5-5304055A1</t>
  </si>
  <si>
    <t>SX5-5304056A1</t>
  </si>
  <si>
    <t>SX5-8402-4</t>
  </si>
  <si>
    <t>SX5-5602-1</t>
  </si>
  <si>
    <t>SX5F-5602010-Y1</t>
  </si>
  <si>
    <t>Q1840610F38</t>
  </si>
  <si>
    <r>
      <t>SX7G-53171</t>
    </r>
    <r>
      <rPr>
        <sz val="10"/>
        <color indexed="8"/>
        <rFont val="Calibri"/>
        <family val="3"/>
        <charset val="134"/>
        <scheme val="minor"/>
      </rPr>
      <t>20S</t>
    </r>
  </si>
  <si>
    <r>
      <t>SX7G-53171</t>
    </r>
    <r>
      <rPr>
        <sz val="10"/>
        <color indexed="8"/>
        <rFont val="Calibri"/>
        <family val="3"/>
        <charset val="134"/>
        <scheme val="minor"/>
      </rPr>
      <t>30S</t>
    </r>
  </si>
  <si>
    <t>SX5-5810-4</t>
  </si>
  <si>
    <t>DM5L-5810321</t>
  </si>
  <si>
    <t>BS3-5810052</t>
  </si>
  <si>
    <t>SX5-3791-1</t>
  </si>
  <si>
    <t>SX5-5306-2</t>
  </si>
  <si>
    <t>Q18608110F38</t>
  </si>
  <si>
    <t>Q1860820F38</t>
  </si>
  <si>
    <t>Q18608150F38</t>
  </si>
  <si>
    <t>Q40208F36</t>
  </si>
  <si>
    <t>SX5-5305200</t>
  </si>
  <si>
    <t>SX5K-2803-1</t>
  </si>
  <si>
    <t>LQ146B0625TF38</t>
  </si>
  <si>
    <t>SX5-2804-2</t>
  </si>
  <si>
    <t>SX5-2804515</t>
  </si>
  <si>
    <t>SX5-8404-1</t>
  </si>
  <si>
    <t>BS3-8101011</t>
  </si>
  <si>
    <t>SX5-3506-2</t>
  </si>
  <si>
    <t>SX5H-3506630</t>
  </si>
  <si>
    <t>35MA-06087</t>
  </si>
  <si>
    <t>SX5-3506631</t>
  </si>
  <si>
    <t>35MA-06081</t>
  </si>
  <si>
    <t>SX5F-6800130H-Y1</t>
  </si>
  <si>
    <t>SX5F-6800160D-Y1</t>
  </si>
  <si>
    <t>SX5F-6900020B-Y1</t>
  </si>
  <si>
    <t>B-2203081</t>
  </si>
  <si>
    <t>Q5004040F36</t>
  </si>
  <si>
    <t>SX5F-5402-4</t>
  </si>
  <si>
    <t>DM5L-8263123</t>
  </si>
  <si>
    <t>SX5G-8263122</t>
  </si>
  <si>
    <t>SX5-8200-1</t>
  </si>
  <si>
    <t>SX5G-8263121</t>
  </si>
  <si>
    <t>SX5-8263101</t>
  </si>
  <si>
    <t>SX5-5206-1</t>
  </si>
  <si>
    <t>SX5G-8263101</t>
  </si>
  <si>
    <t>SX5-8200-2</t>
  </si>
  <si>
    <t>BS3-8263111</t>
  </si>
  <si>
    <t>SX5-8200-4</t>
  </si>
  <si>
    <t>B-8263102A</t>
  </si>
  <si>
    <t>SX5-8200-5</t>
  </si>
  <si>
    <t>B-8263201A</t>
  </si>
  <si>
    <t>BS3-8263124</t>
  </si>
  <si>
    <t>SX5-8200-8</t>
  </si>
  <si>
    <t>SX5G-8263102</t>
  </si>
  <si>
    <t>A13-5107153</t>
  </si>
  <si>
    <t>SX5-8263102</t>
  </si>
  <si>
    <t>82MK-00032</t>
  </si>
  <si>
    <t>SX3D-8200-1</t>
  </si>
  <si>
    <t>SX5-8200-12</t>
  </si>
  <si>
    <t>SX5-8200-13</t>
  </si>
  <si>
    <t>B12-8263512</t>
  </si>
  <si>
    <t>SX3-8263102</t>
  </si>
  <si>
    <t>SX5F-8200-2</t>
  </si>
  <si>
    <t>C20-5107153</t>
  </si>
  <si>
    <t>B-8263109A</t>
  </si>
  <si>
    <t>61MA-08028</t>
  </si>
  <si>
    <t>SX5F-8200-1</t>
  </si>
  <si>
    <t>SX5-5702-1</t>
  </si>
  <si>
    <t>BS3-5702029</t>
  </si>
  <si>
    <t>BH5A-3923102</t>
  </si>
  <si>
    <t>SX5-3923-1</t>
  </si>
  <si>
    <t>SX5K-4012-1</t>
  </si>
  <si>
    <t>Q1840612F36</t>
  </si>
  <si>
    <t>A-3923010</t>
  </si>
  <si>
    <t>B-8111015B</t>
  </si>
  <si>
    <t>SX7-2904010A</t>
  </si>
  <si>
    <t>SX5-2904-1</t>
  </si>
  <si>
    <t>SX7-2904020A</t>
  </si>
  <si>
    <t>DTF6177.2M12X1.25-10F39HC</t>
  </si>
  <si>
    <t>Q1851280TF38</t>
  </si>
  <si>
    <t>SX5-2906-1</t>
  </si>
  <si>
    <t>B20-2906014</t>
  </si>
  <si>
    <t>B20-2906012</t>
  </si>
  <si>
    <t>B20-2906015B</t>
  </si>
  <si>
    <t>SX5-2906-2</t>
  </si>
  <si>
    <t>B20-2906210A2</t>
  </si>
  <si>
    <t>B20-2906220A2</t>
  </si>
  <si>
    <t>DTF6177.2 M12*1.25-10F39AHC</t>
  </si>
  <si>
    <t>SX5-3401-1</t>
  </si>
  <si>
    <t>B-3411013</t>
  </si>
  <si>
    <t>DTF6177.2M12X1.25-10F39</t>
  </si>
  <si>
    <t>SX5K-1001-8</t>
  </si>
  <si>
    <t xml:space="preserve">SX7E-1101-1 </t>
  </si>
  <si>
    <t>C0102-1010020</t>
  </si>
  <si>
    <t>SX7HCT-1001-0001C</t>
  </si>
  <si>
    <t>T5HEV-1000-1</t>
  </si>
  <si>
    <t>Q1860625F38</t>
  </si>
  <si>
    <t>Q140B0630F38L</t>
  </si>
  <si>
    <t>Q11840825F36</t>
  </si>
  <si>
    <t>SX5K-3610050</t>
  </si>
  <si>
    <t>Q673C27F62</t>
  </si>
  <si>
    <t>S50EV-2127120B</t>
  </si>
  <si>
    <t>S500-3923-5</t>
    <phoneticPr fontId="2" type="noConversion"/>
  </si>
  <si>
    <t>SX5-3923-1</t>
    <phoneticPr fontId="2" type="noConversion"/>
  </si>
  <si>
    <t>BH5A-3923201B</t>
    <phoneticPr fontId="2" type="noConversion"/>
  </si>
  <si>
    <t>SX5F-3921611</t>
    <phoneticPr fontId="2" type="noConversion"/>
  </si>
  <si>
    <t>SX7H-3921-1</t>
    <phoneticPr fontId="2" type="noConversion"/>
  </si>
  <si>
    <t>A</t>
    <phoneticPr fontId="2" type="noConversion"/>
  </si>
  <si>
    <t>M4-3921050</t>
    <phoneticPr fontId="2" type="noConversion"/>
  </si>
  <si>
    <t>SX7-4016-5</t>
    <phoneticPr fontId="4" type="noConversion"/>
  </si>
  <si>
    <t>SX7-4016102</t>
    <phoneticPr fontId="4" type="noConversion"/>
  </si>
  <si>
    <t>B</t>
    <phoneticPr fontId="4" type="noConversion"/>
  </si>
  <si>
    <t>Q1840616F36</t>
    <phoneticPr fontId="4" type="noConversion"/>
  </si>
  <si>
    <t>SX5-8111-1</t>
    <phoneticPr fontId="2" type="noConversion"/>
  </si>
  <si>
    <t>SX7E-3791240</t>
    <phoneticPr fontId="4" type="noConversion"/>
  </si>
  <si>
    <t>SX5-4121110D</t>
    <phoneticPr fontId="4" type="noConversion"/>
  </si>
  <si>
    <t>SX5G-3550310DS</t>
    <phoneticPr fontId="2" type="noConversion"/>
  </si>
  <si>
    <t>SX5-3506250A</t>
    <phoneticPr fontId="2" type="noConversion"/>
  </si>
  <si>
    <t>SX7-3506020A</t>
    <phoneticPr fontId="2" type="noConversion"/>
  </si>
  <si>
    <t>SX5-3506260A</t>
    <phoneticPr fontId="2" type="noConversion"/>
  </si>
  <si>
    <t>SX5H-1104621B</t>
    <phoneticPr fontId="2" type="noConversion"/>
  </si>
  <si>
    <t>SX5KCT-3550-0001C1</t>
    <phoneticPr fontId="4" type="noConversion"/>
  </si>
  <si>
    <t>SX5-3506-2</t>
    <phoneticPr fontId="2" type="noConversion"/>
  </si>
  <si>
    <t>SX5-3506-3</t>
    <phoneticPr fontId="2" type="noConversion"/>
  </si>
  <si>
    <t>SX5-3506380</t>
    <phoneticPr fontId="2" type="noConversion"/>
  </si>
  <si>
    <t>SX7HCT-3610-1</t>
    <phoneticPr fontId="2" type="noConversion"/>
  </si>
  <si>
    <t>SX7H-3611031</t>
    <phoneticPr fontId="2" type="noConversion"/>
  </si>
  <si>
    <t>B</t>
    <phoneticPr fontId="2" type="noConversion"/>
  </si>
  <si>
    <t>SX5G-3611030</t>
    <phoneticPr fontId="4" type="noConversion"/>
  </si>
  <si>
    <t>Q1860616F38</t>
    <phoneticPr fontId="4" type="noConversion"/>
  </si>
  <si>
    <t>SX7HCT-3610-2</t>
    <phoneticPr fontId="2" type="noConversion"/>
  </si>
  <si>
    <t>A</t>
    <phoneticPr fontId="4" type="noConversion"/>
  </si>
  <si>
    <t>SX7HCT-3611-0001CS</t>
    <phoneticPr fontId="2" type="noConversion"/>
  </si>
  <si>
    <t>SX7-3001300BS2</t>
    <phoneticPr fontId="4" type="noConversion"/>
  </si>
  <si>
    <t>SX7H-2904-0007C1</t>
    <phoneticPr fontId="4" type="noConversion"/>
  </si>
  <si>
    <t>SX7-3001400BS2</t>
    <phoneticPr fontId="4" type="noConversion"/>
  </si>
  <si>
    <t>SX7-2904060B2</t>
    <phoneticPr fontId="4" type="noConversion"/>
  </si>
  <si>
    <t>SX7H-2904-0008C1</t>
    <phoneticPr fontId="4" type="noConversion"/>
  </si>
  <si>
    <t>SX5-2904-2</t>
    <phoneticPr fontId="4" type="noConversion"/>
  </si>
  <si>
    <t>LQ1840821TF38</t>
    <phoneticPr fontId="4" type="noConversion"/>
  </si>
  <si>
    <t>SX7-5206-2</t>
    <phoneticPr fontId="2" type="noConversion"/>
  </si>
  <si>
    <t>SX5-5206030B</t>
    <phoneticPr fontId="4" type="noConversion"/>
  </si>
  <si>
    <t>SX5-5206022</t>
    <phoneticPr fontId="2" type="noConversion"/>
  </si>
  <si>
    <t>SX5KCT-5206-0002C</t>
    <phoneticPr fontId="4" type="noConversion"/>
  </si>
  <si>
    <t>SX5KCT-5206-0001C1</t>
    <phoneticPr fontId="4" type="noConversion"/>
  </si>
  <si>
    <t>BM3-8201010B1</t>
    <phoneticPr fontId="2" type="noConversion"/>
  </si>
  <si>
    <t>SX7-8201120A</t>
    <phoneticPr fontId="4" type="noConversion"/>
  </si>
  <si>
    <t>SX7-5402191-Y2</t>
    <phoneticPr fontId="2" type="noConversion"/>
  </si>
  <si>
    <t>SX3A-5403031B</t>
    <phoneticPr fontId="2" type="noConversion"/>
  </si>
  <si>
    <t>SX3A-5403021B</t>
    <phoneticPr fontId="4" type="noConversion"/>
  </si>
  <si>
    <t>SX5F-5403-1</t>
    <phoneticPr fontId="4" type="noConversion"/>
  </si>
  <si>
    <t>SX3A-5403020B</t>
    <phoneticPr fontId="4" type="noConversion"/>
  </si>
  <si>
    <t>SX5-6310-4</t>
    <phoneticPr fontId="4" type="noConversion"/>
  </si>
  <si>
    <t>SX5-6303-1</t>
    <phoneticPr fontId="2" type="noConversion"/>
  </si>
  <si>
    <t>SX5-6303030B</t>
    <phoneticPr fontId="4" type="noConversion"/>
  </si>
  <si>
    <t>SX5-6303020B</t>
    <phoneticPr fontId="4" type="noConversion"/>
  </si>
  <si>
    <t>SX5-6303-0004C</t>
    <phoneticPr fontId="4" type="noConversion"/>
  </si>
  <si>
    <t>SX5-6303-0001C1</t>
    <phoneticPr fontId="4" type="noConversion"/>
  </si>
  <si>
    <t>SX5-6103030B</t>
    <phoneticPr fontId="2" type="noConversion"/>
  </si>
  <si>
    <t>SX5-6203031B</t>
    <phoneticPr fontId="2" type="noConversion"/>
  </si>
  <si>
    <t>SX5-6203030B</t>
    <phoneticPr fontId="2" type="noConversion"/>
  </si>
  <si>
    <t>SX5F-5310612B</t>
    <phoneticPr fontId="2" type="noConversion"/>
  </si>
  <si>
    <t>SX7-5205050</t>
    <phoneticPr fontId="2" type="noConversion"/>
  </si>
  <si>
    <t>SX5-5205030B</t>
    <phoneticPr fontId="2" type="noConversion"/>
  </si>
  <si>
    <t>SX7-5205060</t>
    <phoneticPr fontId="2" type="noConversion"/>
  </si>
  <si>
    <t>SX5-5205040</t>
    <phoneticPr fontId="2" type="noConversion"/>
  </si>
  <si>
    <t>S60-3703-0001S</t>
    <phoneticPr fontId="4" type="noConversion"/>
  </si>
  <si>
    <t>SX5K-5506-0005-1</t>
    <phoneticPr fontId="4" type="noConversion"/>
  </si>
  <si>
    <t>SX5-5702-1</t>
    <phoneticPr fontId="2" type="noConversion"/>
  </si>
  <si>
    <t>SX5KCT-5702-0001A</t>
    <phoneticPr fontId="4" type="noConversion"/>
  </si>
  <si>
    <t>SX5A-5701-1</t>
    <phoneticPr fontId="2" type="noConversion"/>
  </si>
  <si>
    <t>SX5K-5702-0006-4</t>
    <phoneticPr fontId="4" type="noConversion"/>
  </si>
  <si>
    <t>BM3-8204121B-Y1</t>
    <phoneticPr fontId="2" type="noConversion"/>
  </si>
  <si>
    <t>BM3-8204230A1-Y1</t>
    <phoneticPr fontId="2" type="noConversion"/>
  </si>
  <si>
    <t>BM3-8204220B-Y1</t>
    <phoneticPr fontId="2" type="noConversion"/>
  </si>
  <si>
    <t>SX5K-2803-1</t>
    <phoneticPr fontId="2" type="noConversion"/>
  </si>
  <si>
    <t>SX5KCT-2803-0002A</t>
    <phoneticPr fontId="4" type="noConversion"/>
  </si>
  <si>
    <t>SX5KCT-2804-0001A1</t>
    <phoneticPr fontId="4" type="noConversion"/>
  </si>
  <si>
    <t>SX3A-2804531B</t>
    <phoneticPr fontId="2" type="noConversion"/>
  </si>
  <si>
    <t>SX5F-5402-0006-1</t>
    <phoneticPr fontId="4" type="noConversion"/>
  </si>
  <si>
    <t>SX5F-5402-0002-1</t>
    <phoneticPr fontId="4" type="noConversion"/>
  </si>
  <si>
    <t>SX5F-5402-0007-1</t>
    <phoneticPr fontId="4" type="noConversion"/>
  </si>
  <si>
    <t>SX5F-5402-0003-1</t>
    <phoneticPr fontId="4" type="noConversion"/>
  </si>
  <si>
    <t>SX5F-5402150B-Y1</t>
    <phoneticPr fontId="4" type="noConversion"/>
  </si>
  <si>
    <t>SX7A-5402-16</t>
    <phoneticPr fontId="2" type="noConversion"/>
  </si>
  <si>
    <t>SX5-5402217</t>
    <phoneticPr fontId="4" type="noConversion"/>
  </si>
  <si>
    <t>SX5-5402217B</t>
    <phoneticPr fontId="4" type="noConversion"/>
  </si>
  <si>
    <t>SX5-5402218</t>
    <phoneticPr fontId="4" type="noConversion"/>
  </si>
  <si>
    <t>SX5-5402218B</t>
    <phoneticPr fontId="4" type="noConversion"/>
  </si>
  <si>
    <t>SX5F-5402230-Y1</t>
    <phoneticPr fontId="2" type="noConversion"/>
  </si>
  <si>
    <t>SX5-5402313</t>
    <phoneticPr fontId="4" type="noConversion"/>
  </si>
  <si>
    <t>SX5-5402313B</t>
    <phoneticPr fontId="4" type="noConversion"/>
  </si>
  <si>
    <t>SX5-5402314</t>
    <phoneticPr fontId="4" type="noConversion"/>
  </si>
  <si>
    <t>SX5-5402314B</t>
    <phoneticPr fontId="4" type="noConversion"/>
  </si>
  <si>
    <t>SX5F-5402-2</t>
    <phoneticPr fontId="4" type="noConversion"/>
  </si>
  <si>
    <t>SX5F-5402340A-Y1</t>
    <phoneticPr fontId="4" type="noConversion"/>
  </si>
  <si>
    <t>SX5KCT-5402-0001A</t>
    <phoneticPr fontId="4" type="noConversion"/>
  </si>
  <si>
    <t>SX5F-5402341A-Y1</t>
    <phoneticPr fontId="4" type="noConversion"/>
  </si>
  <si>
    <t>SX5F-5402342A-Y1</t>
    <phoneticPr fontId="4" type="noConversion"/>
  </si>
  <si>
    <t>SX5K-6102-0027-1</t>
    <phoneticPr fontId="4" type="noConversion"/>
  </si>
  <si>
    <t>SX5K-6102-0028-1</t>
    <phoneticPr fontId="4" type="noConversion"/>
  </si>
  <si>
    <t>SX5F-6102051-Y1</t>
    <phoneticPr fontId="4" type="noConversion"/>
  </si>
  <si>
    <t>SX5K-6202-0023-1</t>
    <phoneticPr fontId="4" type="noConversion"/>
  </si>
  <si>
    <t>SX5K-6202-0024-1</t>
    <phoneticPr fontId="4" type="noConversion"/>
  </si>
  <si>
    <t>SX5F-6202051-Y1</t>
    <phoneticPr fontId="4" type="noConversion"/>
  </si>
  <si>
    <t>SX5F-6202052-Y1</t>
    <phoneticPr fontId="4" type="noConversion"/>
  </si>
  <si>
    <t>SX5F-6102-2</t>
    <phoneticPr fontId="2" type="noConversion"/>
  </si>
  <si>
    <t>SX5F-6102-2</t>
    <phoneticPr fontId="4" type="noConversion"/>
  </si>
  <si>
    <t>SX5F-5504120</t>
    <phoneticPr fontId="4" type="noConversion"/>
  </si>
  <si>
    <t>SX5F-6102420</t>
    <phoneticPr fontId="2" type="noConversion"/>
  </si>
  <si>
    <t>SX5-6202-1</t>
    <phoneticPr fontId="2" type="noConversion"/>
  </si>
  <si>
    <t>SX5F-6202410</t>
    <phoneticPr fontId="2" type="noConversion"/>
  </si>
  <si>
    <t>SX5-6302010</t>
    <phoneticPr fontId="4" type="noConversion"/>
  </si>
  <si>
    <t>SX5-6302020</t>
    <phoneticPr fontId="4" type="noConversion"/>
  </si>
  <si>
    <t>SX5-6302-2</t>
    <phoneticPr fontId="2" type="noConversion"/>
  </si>
  <si>
    <t>SX5-6302030</t>
    <phoneticPr fontId="4" type="noConversion"/>
  </si>
  <si>
    <t>BL338</t>
    <phoneticPr fontId="2" type="noConversion"/>
  </si>
  <si>
    <t>Q2734816F38</t>
    <phoneticPr fontId="2" type="noConversion"/>
  </si>
  <si>
    <t>SX5-6302-4</t>
    <phoneticPr fontId="2" type="noConversion"/>
  </si>
  <si>
    <t>SX5F-6302050-Y1</t>
    <phoneticPr fontId="4" type="noConversion"/>
  </si>
  <si>
    <t>SX5-6302-4</t>
    <phoneticPr fontId="4" type="noConversion"/>
  </si>
  <si>
    <t>SX7-5512-1</t>
    <phoneticPr fontId="4" type="noConversion"/>
  </si>
  <si>
    <t>SX7-5512510</t>
    <phoneticPr fontId="4" type="noConversion"/>
  </si>
  <si>
    <t>SX7-5512520</t>
    <phoneticPr fontId="4" type="noConversion"/>
  </si>
  <si>
    <t>SX5F-5512430</t>
    <phoneticPr fontId="2" type="noConversion"/>
  </si>
  <si>
    <t>SX5F-5512440</t>
    <phoneticPr fontId="2" type="noConversion"/>
  </si>
  <si>
    <t>SX7A-5512-6</t>
    <phoneticPr fontId="4" type="noConversion"/>
  </si>
  <si>
    <t>SX7-5512310C</t>
    <phoneticPr fontId="4" type="noConversion"/>
  </si>
  <si>
    <t>SX7-5512320C</t>
    <phoneticPr fontId="4" type="noConversion"/>
  </si>
  <si>
    <t>BL346</t>
    <phoneticPr fontId="4" type="noConversion"/>
  </si>
  <si>
    <t>SX5-5512-2</t>
    <phoneticPr fontId="2" type="noConversion"/>
  </si>
  <si>
    <t>SX3D-5512911</t>
    <phoneticPr fontId="4" type="noConversion"/>
  </si>
  <si>
    <t>SX5F-5504-1</t>
    <phoneticPr fontId="4" type="noConversion"/>
  </si>
  <si>
    <t>SX5E-5504011B</t>
    <phoneticPr fontId="4" type="noConversion"/>
  </si>
  <si>
    <t>C</t>
    <phoneticPr fontId="4" type="noConversion"/>
  </si>
  <si>
    <t>BL611</t>
    <phoneticPr fontId="4" type="noConversion"/>
  </si>
  <si>
    <t>D</t>
    <phoneticPr fontId="4" type="noConversion"/>
  </si>
  <si>
    <t>LQ146B0625TF38</t>
    <phoneticPr fontId="4" type="noConversion"/>
  </si>
  <si>
    <t>E</t>
    <phoneticPr fontId="4" type="noConversion"/>
  </si>
  <si>
    <t>Q2214819F38</t>
    <phoneticPr fontId="4" type="noConversion"/>
  </si>
  <si>
    <t>SX7H-5317-1</t>
    <phoneticPr fontId="4" type="noConversion"/>
  </si>
  <si>
    <t>SX7G-5317110S</t>
    <phoneticPr fontId="2" type="noConversion"/>
  </si>
  <si>
    <t>FX.572394003</t>
    <phoneticPr fontId="4" type="noConversion"/>
  </si>
  <si>
    <t>SX7H-5317-2</t>
    <phoneticPr fontId="4" type="noConversion"/>
  </si>
  <si>
    <t>SX7H-5317-3</t>
    <phoneticPr fontId="4" type="noConversion"/>
  </si>
  <si>
    <t>SX5G-1703-1</t>
    <phoneticPr fontId="4" type="noConversion"/>
  </si>
  <si>
    <t>SX5G-1703710</t>
    <phoneticPr fontId="4" type="noConversion"/>
  </si>
  <si>
    <t>Q32206F38</t>
    <phoneticPr fontId="4" type="noConversion"/>
  </si>
  <si>
    <t>SX7H-1703-1</t>
    <phoneticPr fontId="4" type="noConversion"/>
  </si>
  <si>
    <t>Q32208F36</t>
    <phoneticPr fontId="4" type="noConversion"/>
  </si>
  <si>
    <t>SX7H-1703310</t>
    <phoneticPr fontId="2" type="noConversion"/>
  </si>
  <si>
    <t>SX7H-1703-2</t>
    <phoneticPr fontId="4" type="noConversion"/>
  </si>
  <si>
    <t>SX7H-1703210</t>
    <phoneticPr fontId="2" type="noConversion"/>
  </si>
  <si>
    <t>SX3DCN-8101-1</t>
    <phoneticPr fontId="2" type="noConversion"/>
  </si>
  <si>
    <t>SX7H-8101010</t>
    <phoneticPr fontId="28" type="noConversion"/>
  </si>
  <si>
    <t>Q673C25F62</t>
    <phoneticPr fontId="2" type="noConversion"/>
  </si>
  <si>
    <t>SX3DCN-1300-3</t>
    <phoneticPr fontId="4" type="noConversion"/>
  </si>
  <si>
    <t>SX5-1311020</t>
    <phoneticPr fontId="4" type="noConversion"/>
  </si>
  <si>
    <t>SX7-1303146</t>
    <phoneticPr fontId="4" type="noConversion"/>
  </si>
  <si>
    <t>SX7-8101020</t>
    <phoneticPr fontId="2" type="noConversion"/>
  </si>
  <si>
    <t>SX7H-1303090</t>
    <phoneticPr fontId="28" type="noConversion"/>
  </si>
  <si>
    <t>G</t>
    <phoneticPr fontId="2" type="noConversion"/>
  </si>
  <si>
    <t>Q673C24F62</t>
    <phoneticPr fontId="4" type="noConversion"/>
  </si>
  <si>
    <t>H</t>
    <phoneticPr fontId="2" type="noConversion"/>
  </si>
  <si>
    <t>Q673C25F62</t>
    <phoneticPr fontId="4" type="noConversion"/>
  </si>
  <si>
    <t>J</t>
    <phoneticPr fontId="2" type="noConversion"/>
  </si>
  <si>
    <t>Q673C26F62</t>
    <phoneticPr fontId="4" type="noConversion"/>
  </si>
  <si>
    <t>SX5KCT-1311-0001C1</t>
    <phoneticPr fontId="2" type="noConversion"/>
  </si>
  <si>
    <t>SX3DCN-3610-6</t>
    <phoneticPr fontId="2" type="noConversion"/>
  </si>
  <si>
    <t>SX7H-3610-1</t>
    <phoneticPr fontId="4" type="noConversion"/>
  </si>
  <si>
    <t>CM5G-3611120</t>
    <phoneticPr fontId="4" type="noConversion"/>
  </si>
  <si>
    <t>SX5GCT-3610-3</t>
    <phoneticPr fontId="2" type="noConversion"/>
  </si>
  <si>
    <t>SX7H-3611011</t>
    <phoneticPr fontId="2" type="noConversion"/>
  </si>
  <si>
    <t>C</t>
    <phoneticPr fontId="2" type="noConversion"/>
  </si>
  <si>
    <t>D</t>
    <phoneticPr fontId="2" type="noConversion"/>
  </si>
  <si>
    <t>SX5GCT-3610-4</t>
    <phoneticPr fontId="2" type="noConversion"/>
  </si>
  <si>
    <t>SX7H-3611021S</t>
    <phoneticPr fontId="2" type="noConversion"/>
  </si>
  <si>
    <t>T5HEV-3610-7</t>
    <phoneticPr fontId="2" type="noConversion"/>
  </si>
  <si>
    <t>Q1860612F38</t>
    <phoneticPr fontId="2" type="noConversion"/>
  </si>
  <si>
    <t>SX7HCT-8108-1</t>
    <phoneticPr fontId="2" type="noConversion"/>
  </si>
  <si>
    <t>SX7H-8108010</t>
    <phoneticPr fontId="2" type="noConversion"/>
  </si>
  <si>
    <t>SX3DCN-8108-3</t>
    <phoneticPr fontId="4" type="noConversion"/>
  </si>
  <si>
    <t>SX7H-8108020</t>
    <phoneticPr fontId="2" type="noConversion"/>
  </si>
  <si>
    <t>SX7H-8108-3</t>
    <phoneticPr fontId="2" type="noConversion"/>
  </si>
  <si>
    <t>SX7H-8108030</t>
    <phoneticPr fontId="2" type="noConversion"/>
  </si>
  <si>
    <t>Q1460625F38</t>
    <phoneticPr fontId="4" type="noConversion"/>
  </si>
  <si>
    <t>SX3DCN-8103-1</t>
    <phoneticPr fontId="2" type="noConversion"/>
  </si>
  <si>
    <t>CM7G-8103020</t>
    <phoneticPr fontId="2" type="noConversion"/>
  </si>
  <si>
    <t>Q14608110F38</t>
    <phoneticPr fontId="2" type="noConversion"/>
  </si>
  <si>
    <t>4</t>
    <phoneticPr fontId="4" type="noConversion"/>
  </si>
  <si>
    <t>SX7H-3510-1</t>
    <phoneticPr fontId="4" type="noConversion"/>
  </si>
  <si>
    <t>SX7H-3510310</t>
    <phoneticPr fontId="4" type="noConversion"/>
  </si>
  <si>
    <t>SX7H-1303460</t>
    <phoneticPr fontId="28" type="noConversion"/>
  </si>
  <si>
    <t>CM5C-3540111</t>
    <phoneticPr fontId="2" type="noConversion"/>
  </si>
  <si>
    <t>SX5KCT-3510-0001C1</t>
    <phoneticPr fontId="2" type="noConversion"/>
  </si>
  <si>
    <t>SX5E-3510-2</t>
    <phoneticPr fontId="2" type="noConversion"/>
  </si>
  <si>
    <t>SX5G-3510-0001C</t>
    <phoneticPr fontId="2" type="noConversion"/>
  </si>
  <si>
    <t xml:space="preserve">SX5E-3561-2 </t>
    <phoneticPr fontId="2" type="noConversion"/>
  </si>
  <si>
    <t>S50EV-3561011</t>
    <phoneticPr fontId="2" type="noConversion"/>
  </si>
  <si>
    <t>SX7H-3540-1</t>
    <phoneticPr fontId="4" type="noConversion"/>
  </si>
  <si>
    <t>SX7H-3561230</t>
    <phoneticPr fontId="4" type="noConversion"/>
  </si>
  <si>
    <t>CM5C-3540112</t>
  </si>
  <si>
    <t>SX7HCT-1303-9</t>
    <phoneticPr fontId="2" type="noConversion"/>
  </si>
  <si>
    <t>SX7H-8101480</t>
    <phoneticPr fontId="4" type="noConversion"/>
  </si>
  <si>
    <t>SX7HCT-1303-3</t>
    <phoneticPr fontId="2" type="noConversion"/>
  </si>
  <si>
    <t>SX7H-1303470</t>
    <phoneticPr fontId="2" type="noConversion"/>
  </si>
  <si>
    <t>SX7H-1303-5</t>
    <phoneticPr fontId="4" type="noConversion"/>
  </si>
  <si>
    <t>SX7H-1303450</t>
    <phoneticPr fontId="28" type="noConversion"/>
  </si>
  <si>
    <t>SX7H-1132-1</t>
    <phoneticPr fontId="4" type="noConversion"/>
  </si>
  <si>
    <t>SX7H-1109010</t>
    <phoneticPr fontId="4" type="noConversion"/>
  </si>
  <si>
    <t>SX7H-1132110</t>
    <phoneticPr fontId="4" type="noConversion"/>
  </si>
  <si>
    <t>SX7H-1132210</t>
    <phoneticPr fontId="4" type="noConversion"/>
  </si>
  <si>
    <t>SX7H-1014101</t>
    <phoneticPr fontId="4" type="noConversion"/>
  </si>
  <si>
    <t>SX7HCT-1109-0001CS</t>
    <phoneticPr fontId="2" type="noConversion"/>
  </si>
  <si>
    <t>SX7H-1132-2</t>
    <phoneticPr fontId="4" type="noConversion"/>
  </si>
  <si>
    <t>Q140B0620F38A1</t>
    <phoneticPr fontId="4" type="noConversion"/>
  </si>
  <si>
    <t>Q140B0630F38L</t>
    <phoneticPr fontId="4" type="noConversion"/>
  </si>
  <si>
    <t>T5HEV-1132-3</t>
    <phoneticPr fontId="2" type="noConversion"/>
  </si>
  <si>
    <t>T5HEV-1132-2</t>
    <phoneticPr fontId="2" type="noConversion"/>
  </si>
  <si>
    <t>SX7H-1109018</t>
    <phoneticPr fontId="2" type="noConversion"/>
  </si>
  <si>
    <t>SX7HCT-1109-1</t>
    <phoneticPr fontId="2" type="noConversion"/>
  </si>
  <si>
    <t>SX7H-4016104</t>
    <phoneticPr fontId="2" type="noConversion"/>
  </si>
  <si>
    <t>SX7H-1109019</t>
    <phoneticPr fontId="2" type="noConversion"/>
  </si>
  <si>
    <t>T5HEV-1109-1</t>
    <phoneticPr fontId="2" type="noConversion"/>
  </si>
  <si>
    <t>SX7H-1100-3</t>
    <phoneticPr fontId="4" type="noConversion"/>
  </si>
  <si>
    <t>SX7H-1130045</t>
    <phoneticPr fontId="4" type="noConversion"/>
  </si>
  <si>
    <t>SX7H-1130035</t>
    <phoneticPr fontId="4" type="noConversion"/>
  </si>
  <si>
    <t>SX7H-1130111</t>
    <phoneticPr fontId="4" type="noConversion"/>
  </si>
  <si>
    <t>Q1860612F36</t>
    <phoneticPr fontId="4" type="noConversion"/>
  </si>
  <si>
    <t>C0101-1015371</t>
    <phoneticPr fontId="2" type="noConversion"/>
  </si>
  <si>
    <t>F</t>
    <phoneticPr fontId="4" type="noConversion"/>
  </si>
  <si>
    <t>SX5H-1130031</t>
    <phoneticPr fontId="4" type="noConversion"/>
  </si>
  <si>
    <t>G</t>
    <phoneticPr fontId="4" type="noConversion"/>
  </si>
  <si>
    <t>Q1460620F38</t>
    <phoneticPr fontId="4" type="noConversion"/>
  </si>
  <si>
    <t>H</t>
    <phoneticPr fontId="4" type="noConversion"/>
  </si>
  <si>
    <t>CM3C-1104603</t>
    <phoneticPr fontId="4" type="noConversion"/>
  </si>
  <si>
    <t>J</t>
    <phoneticPr fontId="4" type="noConversion"/>
  </si>
  <si>
    <t>SX7HCT-1130-0001CS1</t>
    <phoneticPr fontId="2" type="noConversion"/>
  </si>
  <si>
    <t>SX7H-1100-4</t>
    <phoneticPr fontId="4" type="noConversion"/>
  </si>
  <si>
    <t>Q1460616F38</t>
    <phoneticPr fontId="4" type="noConversion"/>
  </si>
  <si>
    <t>SX5G-1104603</t>
    <phoneticPr fontId="4" type="noConversion"/>
  </si>
  <si>
    <t>SX7H-1100-1</t>
    <phoneticPr fontId="4" type="noConversion"/>
  </si>
  <si>
    <t>SX7H-1130025</t>
    <phoneticPr fontId="2" type="noConversion"/>
  </si>
  <si>
    <t>SX7H-1104025</t>
    <phoneticPr fontId="2" type="noConversion"/>
  </si>
  <si>
    <t>SX5H-1104601</t>
    <phoneticPr fontId="4" type="noConversion"/>
  </si>
  <si>
    <t>SX5H-1104623A</t>
    <phoneticPr fontId="4" type="noConversion"/>
  </si>
  <si>
    <t>SX7HCT-1104-0001CS</t>
    <phoneticPr fontId="2" type="noConversion"/>
  </si>
  <si>
    <t>SX7H-1100-5</t>
    <phoneticPr fontId="4" type="noConversion"/>
  </si>
  <si>
    <t>SX5H-1104602</t>
    <phoneticPr fontId="4" type="noConversion"/>
  </si>
  <si>
    <t>SX7HCT-4016-5</t>
    <phoneticPr fontId="2" type="noConversion"/>
  </si>
  <si>
    <t>SX7H-1303-1</t>
    <phoneticPr fontId="4" type="noConversion"/>
  </si>
  <si>
    <t>SX7H-1303060</t>
    <phoneticPr fontId="28" type="noConversion"/>
  </si>
  <si>
    <t>Q673C27F62</t>
    <phoneticPr fontId="2" type="noConversion"/>
  </si>
  <si>
    <t>SX7HCT-1300-1</t>
    <phoneticPr fontId="2" type="noConversion"/>
  </si>
  <si>
    <t>SX7H-1300100S2</t>
    <phoneticPr fontId="2" type="noConversion"/>
  </si>
  <si>
    <t>Q1460616F38</t>
    <phoneticPr fontId="2" type="noConversion"/>
  </si>
  <si>
    <t>SX7H-1303020</t>
    <phoneticPr fontId="4" type="noConversion"/>
  </si>
  <si>
    <t>SX7H-1303010</t>
    <phoneticPr fontId="2" type="noConversion"/>
  </si>
  <si>
    <t>S50EV-2127062</t>
    <phoneticPr fontId="2" type="noConversion"/>
  </si>
  <si>
    <t>K</t>
    <phoneticPr fontId="2" type="noConversion"/>
  </si>
  <si>
    <t>SX7H-1303320</t>
    <phoneticPr fontId="2" type="noConversion"/>
  </si>
  <si>
    <t>L</t>
    <phoneticPr fontId="2" type="noConversion"/>
  </si>
  <si>
    <t>A-1104028A2</t>
    <phoneticPr fontId="4" type="noConversion"/>
  </si>
  <si>
    <t>M</t>
    <phoneticPr fontId="4" type="noConversion"/>
  </si>
  <si>
    <t>SX7H-1303150</t>
    <phoneticPr fontId="28" type="noConversion"/>
  </si>
  <si>
    <t>O</t>
    <phoneticPr fontId="2" type="noConversion"/>
  </si>
  <si>
    <t>SX7H-1303070</t>
    <phoneticPr fontId="4" type="noConversion"/>
  </si>
  <si>
    <t>N</t>
    <phoneticPr fontId="2" type="noConversion"/>
  </si>
  <si>
    <t>P</t>
    <phoneticPr fontId="2" type="noConversion"/>
  </si>
  <si>
    <t>SX7H-1303140</t>
    <phoneticPr fontId="2" type="noConversion"/>
  </si>
  <si>
    <t>Q</t>
    <phoneticPr fontId="2" type="noConversion"/>
  </si>
  <si>
    <t>SX7H-1303440S1</t>
    <phoneticPr fontId="4" type="noConversion"/>
  </si>
  <si>
    <t>R</t>
    <phoneticPr fontId="2" type="noConversion"/>
  </si>
  <si>
    <t>SX7H-1303030S1</t>
    <phoneticPr fontId="4" type="noConversion"/>
  </si>
  <si>
    <t>SX5KCT-1300-0001C1</t>
    <phoneticPr fontId="4" type="noConversion"/>
  </si>
  <si>
    <t>SX7H-1300-10</t>
    <phoneticPr fontId="2" type="noConversion"/>
  </si>
  <si>
    <t>SX5KCT-1300-0001C1</t>
    <phoneticPr fontId="2" type="noConversion"/>
  </si>
  <si>
    <t>LQ146B0616TF38</t>
    <phoneticPr fontId="2" type="noConversion"/>
  </si>
  <si>
    <t>SX7H-1100-2</t>
    <phoneticPr fontId="4" type="noConversion"/>
  </si>
  <si>
    <t>SX7H-1700-1</t>
    <phoneticPr fontId="4" type="noConversion"/>
  </si>
  <si>
    <t>C0102AA</t>
    <phoneticPr fontId="4" type="noConversion"/>
  </si>
  <si>
    <t>SX7H-1700010S</t>
    <phoneticPr fontId="4" type="noConversion"/>
  </si>
  <si>
    <t>Q1821045TF62</t>
    <phoneticPr fontId="4" type="noConversion"/>
  </si>
  <si>
    <t>Q1841050TF62</t>
    <phoneticPr fontId="4" type="noConversion"/>
  </si>
  <si>
    <t>T5HEV-1000-3</t>
    <phoneticPr fontId="2" type="noConversion"/>
  </si>
  <si>
    <t>SX7H-C010-1</t>
    <phoneticPr fontId="2" type="noConversion"/>
  </si>
  <si>
    <t>C0101-1009071</t>
    <phoneticPr fontId="4" type="noConversion"/>
  </si>
  <si>
    <t>SX7HCT-4016-1</t>
    <phoneticPr fontId="2" type="noConversion"/>
  </si>
  <si>
    <t>SX7HCT-4016-3</t>
    <phoneticPr fontId="2" type="noConversion"/>
  </si>
  <si>
    <t>SX7H-4016106S</t>
    <phoneticPr fontId="4" type="noConversion"/>
  </si>
  <si>
    <t>SX7H-4016-1</t>
    <phoneticPr fontId="4" type="noConversion"/>
  </si>
  <si>
    <t>SX7H-4016111</t>
    <phoneticPr fontId="4" type="noConversion"/>
  </si>
  <si>
    <t>Q1840816F38</t>
    <phoneticPr fontId="2" type="noConversion"/>
  </si>
  <si>
    <t>SX7H-4016-3</t>
    <phoneticPr fontId="2" type="noConversion"/>
  </si>
  <si>
    <t>SX7H-4016112</t>
    <phoneticPr fontId="4" type="noConversion"/>
  </si>
  <si>
    <t>SX7HCT-4016-2</t>
    <phoneticPr fontId="2" type="noConversion"/>
  </si>
  <si>
    <t>SX7H-4106-1</t>
    <phoneticPr fontId="2" type="noConversion"/>
  </si>
  <si>
    <t>SX7H-4016109</t>
    <phoneticPr fontId="2" type="noConversion"/>
  </si>
  <si>
    <t>SX7-8402711B</t>
    <phoneticPr fontId="2" type="noConversion"/>
  </si>
  <si>
    <t>SX7-8402710B</t>
    <phoneticPr fontId="2" type="noConversion"/>
  </si>
  <si>
    <t>SX5-8402-1</t>
    <phoneticPr fontId="2" type="noConversion"/>
  </si>
  <si>
    <t>SX5-5310213D</t>
    <phoneticPr fontId="2" type="noConversion"/>
  </si>
  <si>
    <t>SX5-5310-2</t>
    <phoneticPr fontId="2" type="noConversion"/>
  </si>
  <si>
    <t>SX5F-5109-3</t>
    <phoneticPr fontId="2" type="noConversion"/>
  </si>
  <si>
    <t>SX5-5109-4</t>
    <phoneticPr fontId="2" type="noConversion"/>
  </si>
  <si>
    <t>SX5-5109511</t>
    <phoneticPr fontId="2" type="noConversion"/>
  </si>
  <si>
    <t>SX5F-5109010FS1</t>
    <phoneticPr fontId="4" type="noConversion"/>
  </si>
  <si>
    <t>SX5F-5110615</t>
    <phoneticPr fontId="2" type="noConversion"/>
  </si>
  <si>
    <t>SX3A-5109210ES</t>
    <phoneticPr fontId="4" type="noConversion"/>
  </si>
  <si>
    <t>SX5-5703-1</t>
    <phoneticPr fontId="2" type="noConversion"/>
  </si>
  <si>
    <t>SX5-5703312</t>
    <phoneticPr fontId="2" type="noConversion"/>
  </si>
  <si>
    <t>SX5A-5703312B</t>
    <phoneticPr fontId="2" type="noConversion"/>
  </si>
  <si>
    <t>SX5-5703612</t>
    <phoneticPr fontId="2" type="noConversion"/>
  </si>
  <si>
    <t>SX5-5703-6</t>
    <phoneticPr fontId="2" type="noConversion"/>
  </si>
  <si>
    <t>SX5A-5703-0001C</t>
    <phoneticPr fontId="4" type="noConversion"/>
  </si>
  <si>
    <t>SX5A-5703-4</t>
    <phoneticPr fontId="2" type="noConversion"/>
  </si>
  <si>
    <t>SX5A-5703-0001C</t>
    <phoneticPr fontId="2" type="noConversion"/>
  </si>
  <si>
    <t>SX3DCN-1300-4</t>
    <phoneticPr fontId="4" type="noConversion"/>
  </si>
  <si>
    <t>Q673C14F62</t>
    <phoneticPr fontId="4" type="noConversion"/>
  </si>
  <si>
    <t>13MA-11011</t>
    <phoneticPr fontId="4" type="noConversion"/>
  </si>
  <si>
    <t>SX5-5207-5</t>
    <phoneticPr fontId="2" type="noConversion"/>
  </si>
  <si>
    <t>SX5-5820-1</t>
    <phoneticPr fontId="2" type="noConversion"/>
  </si>
  <si>
    <t>SX5G-5824560</t>
    <phoneticPr fontId="2" type="noConversion"/>
  </si>
  <si>
    <t>SX7H-5824020</t>
    <phoneticPr fontId="4" type="noConversion"/>
  </si>
  <si>
    <t>M4-5820010</t>
    <phoneticPr fontId="4" type="noConversion"/>
  </si>
  <si>
    <t>SX5-8402630</t>
    <phoneticPr fontId="2" type="noConversion"/>
  </si>
  <si>
    <t>SX5-8402630A</t>
    <phoneticPr fontId="2" type="noConversion"/>
  </si>
  <si>
    <t>SX7-8210-2</t>
    <phoneticPr fontId="2" type="noConversion"/>
  </si>
  <si>
    <t>SX5-8210070</t>
    <phoneticPr fontId="2" type="noConversion"/>
  </si>
  <si>
    <t>SX5K-1104-1</t>
    <phoneticPr fontId="2" type="noConversion"/>
  </si>
  <si>
    <t>SX5H-1104010S</t>
    <phoneticPr fontId="2" type="noConversion"/>
  </si>
  <si>
    <t>SX5A-3630-1</t>
    <phoneticPr fontId="2" type="noConversion"/>
  </si>
  <si>
    <t>B12-1108100A3</t>
    <phoneticPr fontId="4" type="noConversion"/>
  </si>
  <si>
    <t>SX5B-5207-1</t>
    <phoneticPr fontId="2" type="noConversion"/>
  </si>
  <si>
    <t>/
（SX7HCT无需装零件C）</t>
    <phoneticPr fontId="2" type="noConversion"/>
  </si>
  <si>
    <t>SX7H-1257-1</t>
    <phoneticPr fontId="2" type="noConversion"/>
  </si>
  <si>
    <t>BX5A-3791320B</t>
    <phoneticPr fontId="2" type="noConversion"/>
  </si>
  <si>
    <t>Q32006F36</t>
    <phoneticPr fontId="2" type="noConversion"/>
  </si>
  <si>
    <t>BX5A-3791330B</t>
    <phoneticPr fontId="2" type="noConversion"/>
  </si>
  <si>
    <t>SX5F-5306680B</t>
    <phoneticPr fontId="2" type="noConversion"/>
  </si>
  <si>
    <t>SX5F-4003310</t>
    <phoneticPr fontId="2" type="noConversion"/>
  </si>
  <si>
    <t>SX5K-5306-0002C</t>
    <phoneticPr fontId="4" type="noConversion"/>
  </si>
  <si>
    <t>SX7-6305010</t>
    <phoneticPr fontId="2" type="noConversion"/>
  </si>
  <si>
    <t>SX7-6305-2</t>
    <phoneticPr fontId="2" type="noConversion"/>
  </si>
  <si>
    <t>SX5F-6305-1</t>
    <phoneticPr fontId="2" type="noConversion"/>
  </si>
  <si>
    <t>SX5-6309500</t>
    <phoneticPr fontId="4" type="noConversion"/>
  </si>
  <si>
    <t>SX5K-5305010C-Y2</t>
    <phoneticPr fontId="4" type="noConversion"/>
  </si>
  <si>
    <t>SX5-5305-4</t>
    <phoneticPr fontId="2" type="noConversion"/>
  </si>
  <si>
    <t>SX5F-5305-1</t>
    <phoneticPr fontId="4" type="noConversion"/>
  </si>
  <si>
    <t>SX7-5305060A-Y1</t>
    <phoneticPr fontId="4" type="noConversion"/>
  </si>
  <si>
    <t>SX7-5305070A-Y1</t>
    <phoneticPr fontId="2" type="noConversion"/>
  </si>
  <si>
    <t>BL564</t>
    <phoneticPr fontId="4" type="noConversion"/>
  </si>
  <si>
    <t>SX7E-5305-3</t>
    <phoneticPr fontId="1" type="noConversion"/>
  </si>
  <si>
    <t>Q32008F38</t>
    <phoneticPr fontId="2" type="noConversion"/>
  </si>
  <si>
    <t>SX5K-5305-0016-3</t>
    <phoneticPr fontId="2" type="noConversion"/>
  </si>
  <si>
    <t>SX7E-5305-4</t>
    <phoneticPr fontId="1" type="noConversion"/>
  </si>
  <si>
    <t>SX5-3508016</t>
    <phoneticPr fontId="2" type="noConversion"/>
  </si>
  <si>
    <t>SX5K-5305-0020-3</t>
    <phoneticPr fontId="2" type="noConversion"/>
  </si>
  <si>
    <t>SX5F-5306370B-Y1</t>
    <phoneticPr fontId="4" type="noConversion"/>
  </si>
  <si>
    <t>SX7-8100011</t>
    <phoneticPr fontId="2" type="noConversion"/>
  </si>
  <si>
    <t>SX5KCT-5306-0002A</t>
    <phoneticPr fontId="4" type="noConversion"/>
  </si>
  <si>
    <t>SX5KCT-5306-0001A1</t>
    <phoneticPr fontId="4" type="noConversion"/>
  </si>
  <si>
    <t>Q146B0825F38LD</t>
    <phoneticPr fontId="2" type="noConversion"/>
  </si>
  <si>
    <t>SX5-8401-1</t>
    <phoneticPr fontId="4" type="noConversion"/>
  </si>
  <si>
    <t>SX7H-8401310</t>
    <phoneticPr fontId="2" type="noConversion"/>
  </si>
  <si>
    <t>SX5-8401-3</t>
    <phoneticPr fontId="4" type="noConversion"/>
  </si>
  <si>
    <t>SX7H-8401320</t>
    <phoneticPr fontId="2" type="noConversion"/>
  </si>
  <si>
    <t>SX5-8401-2</t>
    <phoneticPr fontId="4" type="noConversion"/>
  </si>
  <si>
    <t>SX7H-8401240S</t>
    <phoneticPr fontId="4" type="noConversion"/>
  </si>
  <si>
    <t>C20-8112120</t>
    <phoneticPr fontId="2" type="noConversion"/>
  </si>
  <si>
    <t xml:space="preserve">SX5K-1130-3 </t>
    <phoneticPr fontId="2" type="noConversion"/>
  </si>
  <si>
    <t>SX5-3508-3</t>
    <phoneticPr fontId="2" type="noConversion"/>
  </si>
  <si>
    <t>SX5-2904-1</t>
    <phoneticPr fontId="2" type="noConversion"/>
  </si>
  <si>
    <t>SX5-2906-1</t>
    <phoneticPr fontId="2" type="noConversion"/>
  </si>
  <si>
    <t>SX7-2906013</t>
    <phoneticPr fontId="2" type="noConversion"/>
  </si>
  <si>
    <t>SX7-2906300</t>
    <phoneticPr fontId="2" type="noConversion"/>
  </si>
  <si>
    <t>F</t>
    <phoneticPr fontId="2" type="noConversion"/>
  </si>
  <si>
    <t>SX7-2810060</t>
    <phoneticPr fontId="4" type="noConversion"/>
  </si>
  <si>
    <t>SX7-3401010A</t>
    <phoneticPr fontId="2" type="noConversion"/>
  </si>
  <si>
    <t>SX5KCT-2810-0002C1</t>
    <phoneticPr fontId="4" type="noConversion"/>
  </si>
  <si>
    <t>SX5-2810-4</t>
    <phoneticPr fontId="2" type="noConversion"/>
  </si>
  <si>
    <t>SX5KCT-2810-0001A1</t>
    <phoneticPr fontId="2" type="noConversion"/>
  </si>
  <si>
    <t>SX5-1200-8</t>
    <phoneticPr fontId="2" type="noConversion"/>
  </si>
  <si>
    <t>SX5-1200-2</t>
    <phoneticPr fontId="2" type="noConversion"/>
  </si>
  <si>
    <t>SX3-1200-4</t>
    <phoneticPr fontId="4" type="noConversion"/>
  </si>
  <si>
    <t>SX5-1202040</t>
    <phoneticPr fontId="4" type="noConversion"/>
  </si>
  <si>
    <t>SX5A-1203-2</t>
    <phoneticPr fontId="2" type="noConversion"/>
  </si>
  <si>
    <t>SX5-1202030</t>
    <phoneticPr fontId="4" type="noConversion"/>
  </si>
  <si>
    <t>SX7HCT-1300-2</t>
    <phoneticPr fontId="4" type="noConversion"/>
  </si>
  <si>
    <t>SX5G-1311020</t>
    <phoneticPr fontId="4" type="noConversion"/>
  </si>
  <si>
    <t>SX7H-1311016S1</t>
    <phoneticPr fontId="4" type="noConversion"/>
  </si>
  <si>
    <t>SX7HCT-1311-0002C1</t>
    <phoneticPr fontId="4" type="noConversion"/>
  </si>
  <si>
    <t>SX7HCT-1300-3</t>
    <phoneticPr fontId="4" type="noConversion"/>
  </si>
  <si>
    <t>SX5KCT-3101-0001A1</t>
    <phoneticPr fontId="4" type="noConversion"/>
  </si>
  <si>
    <t>SX3A-3101-0003-1</t>
    <phoneticPr fontId="4" type="noConversion"/>
  </si>
  <si>
    <t>SX5-8402043</t>
    <phoneticPr fontId="2" type="noConversion"/>
  </si>
  <si>
    <t>SX5-8402042</t>
    <phoneticPr fontId="2" type="noConversion"/>
  </si>
  <si>
    <t>SX5-6107121C</t>
    <phoneticPr fontId="2" type="noConversion"/>
  </si>
  <si>
    <t>SX5-6107120C</t>
    <phoneticPr fontId="2" type="noConversion"/>
  </si>
  <si>
    <t>SX5-6207121C</t>
    <phoneticPr fontId="2" type="noConversion"/>
  </si>
  <si>
    <t>SX5-6207120C</t>
    <phoneticPr fontId="2" type="noConversion"/>
  </si>
  <si>
    <t>SX5F-6800-1</t>
    <phoneticPr fontId="2" type="noConversion"/>
  </si>
  <si>
    <t>SX5F-7007011BL</t>
    <phoneticPr fontId="4" type="noConversion"/>
  </si>
  <si>
    <t>SX5-5810-2</t>
    <phoneticPr fontId="2" type="noConversion"/>
  </si>
  <si>
    <t>SX5-5810-1</t>
    <phoneticPr fontId="4" type="noConversion"/>
  </si>
  <si>
    <t>SX5-5810021E</t>
    <phoneticPr fontId="4" type="noConversion"/>
  </si>
  <si>
    <t>/</t>
    <phoneticPr fontId="2" type="noConversion"/>
  </si>
  <si>
    <t>C20-5810512A3</t>
    <phoneticPr fontId="4" type="noConversion"/>
  </si>
  <si>
    <t>BS3-5810052</t>
    <phoneticPr fontId="4" type="noConversion"/>
  </si>
  <si>
    <t>BS3-5810050C1</t>
    <phoneticPr fontId="2" type="noConversion"/>
  </si>
  <si>
    <t>BS3-5810060C1</t>
    <phoneticPr fontId="2" type="noConversion"/>
  </si>
  <si>
    <t>BS3-5810410B4</t>
    <phoneticPr fontId="2" type="noConversion"/>
  </si>
  <si>
    <t>BS3-5810410F4</t>
    <phoneticPr fontId="4" type="noConversion"/>
  </si>
  <si>
    <t>SX5G-1103010A</t>
    <phoneticPr fontId="4" type="noConversion"/>
  </si>
  <si>
    <t>SX5-3106-3</t>
    <phoneticPr fontId="4" type="noConversion"/>
  </si>
  <si>
    <t>SX5KCT-3402-0001A</t>
    <phoneticPr fontId="4" type="noConversion"/>
  </si>
  <si>
    <t>B20-3402022</t>
    <phoneticPr fontId="4" type="noConversion"/>
  </si>
  <si>
    <t>SX5-6107194</t>
    <phoneticPr fontId="4" type="noConversion"/>
  </si>
  <si>
    <t>SX5-6105415</t>
    <phoneticPr fontId="2" type="noConversion"/>
  </si>
  <si>
    <t>SX5-6105-3</t>
    <phoneticPr fontId="2" type="noConversion"/>
  </si>
  <si>
    <t>SX5-6105224</t>
    <phoneticPr fontId="4" type="noConversion"/>
  </si>
  <si>
    <t>SX7A-8202-1</t>
    <phoneticPr fontId="2" type="noConversion"/>
  </si>
  <si>
    <t>SX5F-6107-1</t>
    <phoneticPr fontId="2" type="noConversion"/>
  </si>
  <si>
    <t>SX5F-6207-1</t>
    <phoneticPr fontId="2" type="noConversion"/>
  </si>
  <si>
    <t>SX5-6103-3</t>
    <phoneticPr fontId="2" type="noConversion"/>
  </si>
  <si>
    <t>SX5-6203-4</t>
    <phoneticPr fontId="2" type="noConversion"/>
  </si>
  <si>
    <t>SX5F-6202-2</t>
    <phoneticPr fontId="2" type="noConversion"/>
  </si>
  <si>
    <t>SX5-6202053</t>
    <phoneticPr fontId="4" type="noConversion"/>
  </si>
  <si>
    <t>SX5-6202051</t>
    <phoneticPr fontId="4" type="noConversion"/>
  </si>
  <si>
    <t>SX5-6202052</t>
    <phoneticPr fontId="4" type="noConversion"/>
  </si>
  <si>
    <t>SX5K-1203-1</t>
    <phoneticPr fontId="2" type="noConversion"/>
  </si>
  <si>
    <t>SX7H-1203010</t>
    <phoneticPr fontId="2" type="noConversion"/>
  </si>
  <si>
    <t>SX7HCT-1001-3</t>
    <phoneticPr fontId="2" type="noConversion"/>
  </si>
  <si>
    <t>C0101-3708071</t>
    <phoneticPr fontId="2" type="noConversion"/>
  </si>
  <si>
    <t>T5HEV-1130-1</t>
    <phoneticPr fontId="2" type="noConversion"/>
  </si>
  <si>
    <t>SX7-7802-1</t>
    <phoneticPr fontId="2" type="noConversion"/>
  </si>
  <si>
    <t>SX5K-4002-1</t>
    <phoneticPr fontId="2" type="noConversion"/>
  </si>
  <si>
    <t>SX5F-4002-2</t>
    <phoneticPr fontId="2" type="noConversion"/>
  </si>
  <si>
    <t>SX5K-4002110S</t>
    <phoneticPr fontId="4" type="noConversion"/>
  </si>
  <si>
    <t>SX5K-4002120S</t>
    <phoneticPr fontId="4" type="noConversion"/>
  </si>
  <si>
    <t>SX5F-4002810</t>
    <phoneticPr fontId="4" type="noConversion"/>
  </si>
  <si>
    <t>SX5F-4002820A</t>
    <phoneticPr fontId="4" type="noConversion"/>
  </si>
  <si>
    <t>SX7H-4016-2</t>
    <phoneticPr fontId="2" type="noConversion"/>
  </si>
  <si>
    <t>SX7H-4016110S</t>
    <phoneticPr fontId="4" type="noConversion"/>
  </si>
  <si>
    <t>Q1840620F38</t>
    <phoneticPr fontId="4" type="noConversion"/>
  </si>
  <si>
    <t>SX7HCT-4001-6</t>
    <phoneticPr fontId="2" type="noConversion"/>
  </si>
  <si>
    <t>SX5K-4001010S</t>
    <phoneticPr fontId="4" type="noConversion"/>
  </si>
  <si>
    <t>Q32008F36</t>
    <phoneticPr fontId="4" type="noConversion"/>
  </si>
  <si>
    <t>Q1840865TF2</t>
    <phoneticPr fontId="4" type="noConversion"/>
  </si>
  <si>
    <t>SX5F-4002720</t>
    <phoneticPr fontId="2" type="noConversion"/>
  </si>
  <si>
    <t>SX5K-4010-1</t>
    <phoneticPr fontId="4" type="noConversion"/>
  </si>
  <si>
    <t>SX5K-1001-8</t>
    <phoneticPr fontId="2" type="noConversion"/>
  </si>
  <si>
    <t>SX7H-1001030S6</t>
    <phoneticPr fontId="4" type="noConversion"/>
  </si>
  <si>
    <t>SX7-1001-5</t>
    <phoneticPr fontId="4" type="noConversion"/>
  </si>
  <si>
    <t>SX7H-1001020S6</t>
    <phoneticPr fontId="2" type="noConversion"/>
  </si>
  <si>
    <t>SX5G-1001-4</t>
    <phoneticPr fontId="4" type="noConversion"/>
  </si>
  <si>
    <t>SX7H-1001040S6</t>
    <phoneticPr fontId="2" type="noConversion"/>
  </si>
  <si>
    <t>SX5G-1001-1</t>
    <phoneticPr fontId="4" type="noConversion"/>
  </si>
  <si>
    <t>SX7H-1001010S6</t>
    <phoneticPr fontId="2" type="noConversion"/>
  </si>
  <si>
    <t>Q1851250TF38</t>
    <phoneticPr fontId="4" type="noConversion"/>
  </si>
  <si>
    <t>SX7H-1001-2</t>
    <phoneticPr fontId="4" type="noConversion"/>
  </si>
  <si>
    <t>SX7H-1001032S6</t>
    <phoneticPr fontId="2" type="noConversion"/>
  </si>
  <si>
    <t>Q1851250TF38</t>
    <phoneticPr fontId="2" type="noConversion"/>
  </si>
  <si>
    <t>SX7H-1001-3</t>
    <phoneticPr fontId="4" type="noConversion"/>
  </si>
  <si>
    <t>Q1851280TF38</t>
    <phoneticPr fontId="2" type="noConversion"/>
  </si>
  <si>
    <t>SX5-8402-5</t>
    <phoneticPr fontId="4" type="noConversion"/>
  </si>
  <si>
    <t>SX5-8402630</t>
    <phoneticPr fontId="4" type="noConversion"/>
  </si>
  <si>
    <t>SX5-8402630A</t>
    <phoneticPr fontId="4" type="noConversion"/>
  </si>
  <si>
    <t>SX3A-5207050</t>
    <phoneticPr fontId="2" type="noConversion"/>
  </si>
  <si>
    <t>SX7-5207-2</t>
    <phoneticPr fontId="4" type="noConversion"/>
  </si>
  <si>
    <t>SX7-5207070</t>
    <phoneticPr fontId="4" type="noConversion"/>
  </si>
  <si>
    <t>SX5F-5207070</t>
    <phoneticPr fontId="2" type="noConversion"/>
  </si>
  <si>
    <t>SX3A-6309051B</t>
    <phoneticPr fontId="2" type="noConversion"/>
  </si>
  <si>
    <t>SX3A-6309050B</t>
    <phoneticPr fontId="2" type="noConversion"/>
  </si>
  <si>
    <t>SX3A-6309051C</t>
    <phoneticPr fontId="2" type="noConversion"/>
  </si>
  <si>
    <t>SX3A-6309050C</t>
    <phoneticPr fontId="2" type="noConversion"/>
  </si>
  <si>
    <t>SX7-6309-3</t>
    <phoneticPr fontId="4" type="noConversion"/>
  </si>
  <si>
    <t>SX5-6309550</t>
    <phoneticPr fontId="4" type="noConversion"/>
  </si>
  <si>
    <t>SX3A-6309053B</t>
    <phoneticPr fontId="2" type="noConversion"/>
  </si>
  <si>
    <t>SX3A-6309052B</t>
    <phoneticPr fontId="2" type="noConversion"/>
  </si>
  <si>
    <t>SX5-6309553</t>
    <phoneticPr fontId="4" type="noConversion"/>
  </si>
  <si>
    <t>SX5-6309552</t>
    <phoneticPr fontId="4" type="noConversion"/>
  </si>
  <si>
    <t>SX3A-6309055B</t>
    <phoneticPr fontId="2" type="noConversion"/>
  </si>
  <si>
    <t>SX3A-6309054B</t>
    <phoneticPr fontId="2" type="noConversion"/>
  </si>
  <si>
    <t>SX5-6309555</t>
    <phoneticPr fontId="4" type="noConversion"/>
  </si>
  <si>
    <t>SX5-6309554</t>
    <phoneticPr fontId="4" type="noConversion"/>
  </si>
  <si>
    <t>SX7H-1303-10</t>
    <phoneticPr fontId="4" type="noConversion"/>
  </si>
  <si>
    <t>SX7H-1303130S4</t>
    <phoneticPr fontId="28" type="noConversion"/>
  </si>
  <si>
    <t>13MA-11013</t>
    <phoneticPr fontId="4" type="noConversion"/>
  </si>
  <si>
    <t>SX7H-1303-3</t>
    <phoneticPr fontId="4" type="noConversion"/>
  </si>
  <si>
    <t>SX7H-8101480</t>
    <phoneticPr fontId="28" type="noConversion"/>
  </si>
  <si>
    <t>Q1860612F38</t>
    <phoneticPr fontId="4" type="noConversion"/>
  </si>
  <si>
    <t>SX7H-1205-1</t>
    <phoneticPr fontId="4" type="noConversion"/>
  </si>
  <si>
    <t>SX7H-1205010</t>
    <phoneticPr fontId="4" type="noConversion"/>
  </si>
  <si>
    <t>DTF6177.2M10*1.25-10F39</t>
    <phoneticPr fontId="4" type="noConversion"/>
  </si>
  <si>
    <t>SX7H-1205011</t>
    <phoneticPr fontId="4" type="noConversion"/>
  </si>
  <si>
    <t>Q673B13F61</t>
    <phoneticPr fontId="4" type="noConversion"/>
  </si>
  <si>
    <t>SX3DCN-8404-0002S</t>
    <phoneticPr fontId="4" type="noConversion"/>
  </si>
  <si>
    <t>SX7-8101-2</t>
    <phoneticPr fontId="2" type="noConversion"/>
  </si>
  <si>
    <t>SX7-2203-1</t>
    <phoneticPr fontId="4" type="noConversion"/>
  </si>
  <si>
    <t>SX7H-2203010</t>
    <phoneticPr fontId="4" type="noConversion"/>
  </si>
  <si>
    <t>SX7H-2203-1</t>
    <phoneticPr fontId="4" type="noConversion"/>
  </si>
  <si>
    <t>SX7H-2203020</t>
    <phoneticPr fontId="4" type="noConversion"/>
  </si>
  <si>
    <t>Q1851035F38</t>
    <phoneticPr fontId="4" type="noConversion"/>
  </si>
  <si>
    <t>SX5-8200-1</t>
    <phoneticPr fontId="2" type="noConversion"/>
  </si>
  <si>
    <t>SX5-8200-2</t>
    <phoneticPr fontId="2" type="noConversion"/>
  </si>
  <si>
    <t>SX5-8200-4</t>
    <phoneticPr fontId="2" type="noConversion"/>
  </si>
  <si>
    <t>SX5-8200-11</t>
    <phoneticPr fontId="2" type="noConversion"/>
  </si>
  <si>
    <t>SX5-8200-5</t>
    <phoneticPr fontId="2" type="noConversion"/>
  </si>
  <si>
    <t>0</t>
    <phoneticPr fontId="2" type="noConversion"/>
  </si>
  <si>
    <t>SX5-8200-8</t>
    <phoneticPr fontId="2" type="noConversion"/>
  </si>
  <si>
    <t>SX3D-8200-1</t>
    <phoneticPr fontId="2" type="noConversion"/>
  </si>
  <si>
    <t>SX5K-8200-11</t>
    <phoneticPr fontId="2" type="noConversion"/>
  </si>
  <si>
    <t>SX7-8263-5</t>
    <phoneticPr fontId="2" type="noConversion"/>
  </si>
  <si>
    <t>SX5G-8263103A</t>
    <phoneticPr fontId="2" type="noConversion"/>
  </si>
  <si>
    <t>SX5-8200-12</t>
    <phoneticPr fontId="2" type="noConversion"/>
  </si>
  <si>
    <t>SX5-8200-13</t>
    <phoneticPr fontId="2" type="noConversion"/>
  </si>
  <si>
    <t>SX5G-8263102A</t>
    <phoneticPr fontId="2" type="noConversion"/>
  </si>
  <si>
    <t>SX5F-8200-2</t>
    <phoneticPr fontId="2" type="noConversion"/>
  </si>
  <si>
    <t>SX5G-8263101A</t>
    <phoneticPr fontId="2" type="noConversion"/>
  </si>
  <si>
    <t>SX5F-8200-1</t>
    <phoneticPr fontId="2" type="noConversion"/>
  </si>
  <si>
    <t>SX5K-4012010S1</t>
    <phoneticPr fontId="2" type="noConversion"/>
  </si>
  <si>
    <t>SX7-4016-7</t>
    <phoneticPr fontId="4" type="noConversion"/>
  </si>
  <si>
    <t>SX7-4016113A1</t>
    <phoneticPr fontId="4" type="noConversion"/>
  </si>
  <si>
    <t>SX7-4016114</t>
    <phoneticPr fontId="4" type="noConversion"/>
  </si>
  <si>
    <t>SX7-4016115</t>
    <phoneticPr fontId="4" type="noConversion"/>
  </si>
  <si>
    <t xml:space="preserve">SX7E-1101-1 </t>
    <phoneticPr fontId="2" type="noConversion"/>
  </si>
  <si>
    <t>SX5KCT-1101-0001A1</t>
    <phoneticPr fontId="2" type="noConversion"/>
  </si>
  <si>
    <t>SX7HCT-1000-1</t>
    <phoneticPr fontId="2" type="noConversion"/>
  </si>
  <si>
    <t>SX7H-3611011S3</t>
    <phoneticPr fontId="4" type="noConversion"/>
  </si>
  <si>
    <t>CM5C-3540111</t>
    <phoneticPr fontId="4" type="noConversion"/>
  </si>
  <si>
    <t>T5HEV-1000-1</t>
    <phoneticPr fontId="2" type="noConversion"/>
  </si>
  <si>
    <t>SX7A-3610-1</t>
    <phoneticPr fontId="2" type="noConversion"/>
  </si>
  <si>
    <t>SX5K-3610030</t>
    <phoneticPr fontId="28" type="noConversion"/>
  </si>
  <si>
    <t>SX7H-3703320</t>
    <phoneticPr fontId="2" type="noConversion"/>
  </si>
  <si>
    <t>Q32006F38</t>
    <phoneticPr fontId="2" type="noConversion"/>
  </si>
  <si>
    <t>SX5KCT-3610-0001C1</t>
    <phoneticPr fontId="4" type="noConversion"/>
  </si>
  <si>
    <t>SX5KCT-3610-0002C</t>
    <phoneticPr fontId="4" type="noConversion"/>
  </si>
  <si>
    <t>SX7H-3610-4</t>
    <phoneticPr fontId="2" type="noConversion"/>
  </si>
  <si>
    <t>Q215B0816F38</t>
    <phoneticPr fontId="2" type="noConversion"/>
  </si>
  <si>
    <t>SX5KCT-1307-50</t>
    <phoneticPr fontId="2" type="noConversion"/>
  </si>
  <si>
    <t>SX7H-1307010S1</t>
    <phoneticPr fontId="4" type="noConversion"/>
  </si>
  <si>
    <t>SX7H-1307020S</t>
    <phoneticPr fontId="4" type="noConversion"/>
  </si>
  <si>
    <t>SX5G-1307101</t>
    <phoneticPr fontId="4" type="noConversion"/>
  </si>
  <si>
    <t>SX7H-1303211S4</t>
    <phoneticPr fontId="4" type="noConversion"/>
  </si>
  <si>
    <t>E</t>
    <phoneticPr fontId="2" type="noConversion"/>
  </si>
  <si>
    <t>SX5KCT-1307-0001C1</t>
    <phoneticPr fontId="4" type="noConversion"/>
  </si>
  <si>
    <t>SX5KCT-1307-51</t>
    <phoneticPr fontId="2" type="noConversion"/>
  </si>
  <si>
    <t>Q1860616F38</t>
    <phoneticPr fontId="2" type="noConversion"/>
  </si>
  <si>
    <t>SX5KCT-1700-1</t>
    <phoneticPr fontId="2" type="noConversion"/>
  </si>
  <si>
    <t>SX7H-1700011</t>
    <phoneticPr fontId="2" type="noConversion"/>
  </si>
  <si>
    <t>SX7HCT-4016-6</t>
    <phoneticPr fontId="2" type="noConversion"/>
  </si>
  <si>
    <t>CM5P-4016101</t>
    <phoneticPr fontId="4" type="noConversion"/>
  </si>
  <si>
    <t>工程作业表编号Job Sheet Number</t>
    <phoneticPr fontId="2" type="noConversion"/>
  </si>
  <si>
    <t>零件图号Part drawing number</t>
    <phoneticPr fontId="5" type="noConversion"/>
  </si>
  <si>
    <t>零件序号Part sequence number</t>
  </si>
  <si>
    <t>定额Quota</t>
  </si>
  <si>
    <t>پیچ فلنجی سر شش گوش</t>
  </si>
  <si>
    <t/>
  </si>
  <si>
    <t>پیچ چهارسو</t>
  </si>
  <si>
    <t>مهره پلاستیکی</t>
  </si>
  <si>
    <t>بست فشاری</t>
  </si>
  <si>
    <t xml:space="preserve">پیچ خودکار چهارسو </t>
  </si>
  <si>
    <t>پیچ چهار سو</t>
  </si>
  <si>
    <t>SX5-5504-2-B</t>
  </si>
  <si>
    <t>بستن پیچ های قاب رکاب دو طرف</t>
  </si>
  <si>
    <t>-----</t>
  </si>
  <si>
    <t xml:space="preserve"> TPMSتعریف    </t>
  </si>
  <si>
    <t>F60</t>
  </si>
  <si>
    <t>T5-9001-4</t>
  </si>
  <si>
    <t xml:space="preserve">  تست سرعت و ترمز</t>
  </si>
  <si>
    <t>ایربگ راننده</t>
  </si>
  <si>
    <t xml:space="preserve">  نصب ایربگ راننده</t>
  </si>
  <si>
    <t xml:space="preserve">  محکم کردن مهره غربیلک</t>
  </si>
  <si>
    <t>T5-9001-2</t>
  </si>
  <si>
    <t xml:space="preserve">  تنظیم زوایای چرخ های عقب</t>
  </si>
  <si>
    <t>T5-9001-1</t>
  </si>
  <si>
    <t xml:space="preserve">  تنظیم زوایای چرخ های جلو</t>
  </si>
  <si>
    <t>T5-9001-3</t>
  </si>
  <si>
    <t xml:space="preserve">  تنظیم زوایای چراغ های جلو</t>
  </si>
  <si>
    <t>EOL</t>
  </si>
  <si>
    <t>کاور دستگیره درب عقب راست</t>
  </si>
  <si>
    <t>SX5F-6202640-Y1</t>
    <phoneticPr fontId="2" type="noConversion"/>
  </si>
  <si>
    <t>کاور دستگیره درب جلو راست</t>
  </si>
  <si>
    <t>SX5F-6102640-Y1</t>
    <phoneticPr fontId="2" type="noConversion"/>
  </si>
  <si>
    <t>نصب کاور دستگیره داخلی دربهاي سمت راست</t>
  </si>
  <si>
    <t>T23</t>
  </si>
  <si>
    <t>کاور تزئینی روی پیچ درب عقب راست</t>
  </si>
  <si>
    <t>SX5F-6202052-Y1</t>
  </si>
  <si>
    <t>پیچ چهارسو سر گرد</t>
  </si>
  <si>
    <t>رودری درب عقب راست</t>
  </si>
  <si>
    <t>SX5F-6202-1R</t>
  </si>
  <si>
    <t>نصب رودری درب عقب راست</t>
  </si>
  <si>
    <t xml:space="preserve"> قاب مثلثی پشت آینه درب جلو راست</t>
  </si>
  <si>
    <t>نصب قاب مثلثی پشت آینه درب جلو راست</t>
  </si>
  <si>
    <t>کاور تزئینی درب جلو</t>
  </si>
  <si>
    <t>SX5F-6102051-Y1</t>
    <phoneticPr fontId="2" type="noConversion"/>
  </si>
  <si>
    <t xml:space="preserve">پیچ چهارسو </t>
  </si>
  <si>
    <t>رودری درب جلو راست</t>
  </si>
  <si>
    <t>SX5F-6102-1R</t>
  </si>
  <si>
    <t>نصب رودری درب جلو راست</t>
  </si>
  <si>
    <t>پیچ چهارسو سر عدسی</t>
  </si>
  <si>
    <t xml:space="preserve">براکت نگهدارنده دستگیره درب عقب راست </t>
  </si>
  <si>
    <t>نصب براکت نگهدارنده دستگیره درب عقب راست</t>
  </si>
  <si>
    <t>عایق ضد آب رودری عقب راست</t>
  </si>
  <si>
    <t>SX5-6207194</t>
    <phoneticPr fontId="2" type="noConversion"/>
  </si>
  <si>
    <t>نصب عایق ضد آب رودری درب عقب راست</t>
  </si>
  <si>
    <t>عایق ضد آب رودری جلو راست</t>
  </si>
  <si>
    <t>SX5-6107194</t>
    <phoneticPr fontId="2" type="noConversion"/>
  </si>
  <si>
    <t>نصب عایق ضد آب رودری درب جلو راست</t>
  </si>
  <si>
    <t>کاور دستگیره درب عقب چپ</t>
  </si>
  <si>
    <t>SX5F-6202630-Y1</t>
    <phoneticPr fontId="2" type="noConversion"/>
  </si>
  <si>
    <t>کاور دستگیره درب جلو چپ</t>
  </si>
  <si>
    <t>SX5F-6102630-Y1</t>
    <phoneticPr fontId="2" type="noConversion"/>
  </si>
  <si>
    <t>نصب کاور دستگیره داخلی دربهاي سمت چپ</t>
  </si>
  <si>
    <t>T22</t>
  </si>
  <si>
    <t xml:space="preserve">کاور تزئینی روی پیچ درب عقب چپ </t>
  </si>
  <si>
    <t>SX5F-6202051-Y1</t>
  </si>
  <si>
    <t>رودری درب عقب چپ</t>
  </si>
  <si>
    <t>نصب رودری درب عقب چپ</t>
  </si>
  <si>
    <t xml:space="preserve"> قاب مثلثی پشت آینه درب جلو چپ</t>
  </si>
  <si>
    <t>نصب قاب مثلثی پشت آینه درب جلو چپ</t>
  </si>
  <si>
    <t>رودری درب جلو چپ</t>
  </si>
  <si>
    <t>نصب رودری درب جلو چپ</t>
  </si>
  <si>
    <t xml:space="preserve">براکت نگهدارنده دستگیره درب عقب چپ </t>
  </si>
  <si>
    <t>نصب براکت نگهدارنده دستگیره درب عقب چپ</t>
  </si>
  <si>
    <t>عایق ضد آب رودری عقب چپ</t>
  </si>
  <si>
    <t>SX5-6207193</t>
    <phoneticPr fontId="2" type="noConversion"/>
  </si>
  <si>
    <t>نصب عایق ضد آب رودری درب عقب چپ</t>
  </si>
  <si>
    <t>عایق ضد آب رودری جلو چپ</t>
  </si>
  <si>
    <t>نصب عایق ضد آب رودری درب جلو چپ</t>
  </si>
  <si>
    <t>چربی بر</t>
  </si>
  <si>
    <t>C0811903EH</t>
  </si>
  <si>
    <t>پد ضربه گیر درب های جانبی</t>
  </si>
  <si>
    <t>9252044080-PA01</t>
  </si>
  <si>
    <t>SX5-6103-6</t>
  </si>
  <si>
    <t>چسباندن پد های ضربه گیر درب های جانبی</t>
  </si>
  <si>
    <t>F57</t>
  </si>
  <si>
    <t>نوار بیوتل عرض 1 سانتیمتر</t>
  </si>
  <si>
    <t>QM-9</t>
  </si>
  <si>
    <t>نصب نوار بیوتل رودری درب عقب راست</t>
  </si>
  <si>
    <t>F58</t>
  </si>
  <si>
    <t>نصب نوار بیوتل رودری درب جلو راست</t>
  </si>
  <si>
    <t>نصب نوار بیوتل رودری درب عقب چپ</t>
  </si>
  <si>
    <t>نصب نوار بیوتل رودری درب جلو چپ</t>
  </si>
  <si>
    <t>نوار گردگیر داخل درب عقب چپ</t>
  </si>
  <si>
    <t>SX5F-6207071A</t>
    <phoneticPr fontId="2" type="noConversion"/>
  </si>
  <si>
    <t>نصب نوار گردگیر داخل درب عقب چپ</t>
  </si>
  <si>
    <t>نوار گردگیر داخل درب جلو چپ</t>
  </si>
  <si>
    <t>SX5F-6107071A</t>
    <phoneticPr fontId="2" type="noConversion"/>
  </si>
  <si>
    <t>نصب نوار گردگیر داخل درب جلو چپ</t>
  </si>
  <si>
    <t>نوار گردگیر داخل درب عقب راست</t>
  </si>
  <si>
    <t>SX5F-6207070A</t>
    <phoneticPr fontId="2" type="noConversion"/>
  </si>
  <si>
    <t>نصب نوار گردگیر داخل درب عقب راست</t>
  </si>
  <si>
    <t>نوار گردگیر داخل درب جلو راست</t>
  </si>
  <si>
    <t>SX5F-6107070A</t>
    <phoneticPr fontId="2" type="noConversion"/>
  </si>
  <si>
    <t>نصب نوار گردگیر داخل درب جلو راست</t>
  </si>
  <si>
    <t>SX5G-8263122</t>
    <phoneticPr fontId="2" type="noConversion"/>
  </si>
  <si>
    <t>کورکن پلاستیکی بزرگ</t>
  </si>
  <si>
    <t>درپوش لاستیکی کوچک</t>
  </si>
  <si>
    <t>کورکن پلاستیکی متوسط</t>
  </si>
  <si>
    <t>نصب کورکن های درب هاي سمت چپ</t>
  </si>
  <si>
    <t>نصب کورکن های درب هاي سمت راست</t>
  </si>
  <si>
    <t>درب باک</t>
  </si>
  <si>
    <t>نصب درب مخزن سوخت</t>
  </si>
  <si>
    <t>بنزین سوپر  RON # 92</t>
  </si>
  <si>
    <t>SX5-9000-5</t>
  </si>
  <si>
    <t xml:space="preserve">   تزریق بنزین</t>
  </si>
  <si>
    <t>کف پایی کاغذی</t>
  </si>
  <si>
    <t>SX5-5109040P-L01</t>
  </si>
  <si>
    <t>نصب مجموعه کف پایی های کاغذی</t>
  </si>
  <si>
    <t>T5-51090103D-L1</t>
  </si>
  <si>
    <t>SX5-6103-5</t>
  </si>
  <si>
    <t>جدایش برچسب های محافظ زه های استیل</t>
  </si>
  <si>
    <t>لوگوی چرخ T5</t>
  </si>
  <si>
    <t>T5-T-WL-02</t>
  </si>
  <si>
    <t>SX5-3921-5-A</t>
  </si>
  <si>
    <t>نصب لوگو های چرخ</t>
  </si>
  <si>
    <t>کاور تزئینی مهره چرخ</t>
  </si>
  <si>
    <t xml:space="preserve">  نصب کاور تزئینی مهره چرخ</t>
  </si>
  <si>
    <t>F44</t>
  </si>
  <si>
    <t>---</t>
  </si>
  <si>
    <t>--------</t>
  </si>
  <si>
    <t>SX5-5702-3</t>
  </si>
  <si>
    <t xml:space="preserve">کنترل گشتاور و چک مارک مهره چرخ ها   </t>
  </si>
  <si>
    <t>Q2735516F38</t>
    <phoneticPr fontId="2" type="noConversion"/>
  </si>
  <si>
    <t>B12-7911710</t>
    <phoneticPr fontId="2" type="noConversion"/>
  </si>
  <si>
    <t>مهره پلاستیکی با سوراخ مربعی</t>
  </si>
  <si>
    <t xml:space="preserve">مونتاژ بلندگوهای دربهای جانبی سمت راست </t>
  </si>
  <si>
    <t xml:space="preserve"> </t>
  </si>
  <si>
    <t xml:space="preserve">مونتاژ بلندگوهای دربهای جانبی سمت چپ </t>
  </si>
  <si>
    <t>P80</t>
  </si>
  <si>
    <t>حمل گاری کیتینگ به بیرون خط فاینال</t>
  </si>
  <si>
    <t>قاب اصلی آینه وسط</t>
  </si>
  <si>
    <t>SX7-5402191-Y2</t>
  </si>
  <si>
    <t>آینه وسط شیشه جلو</t>
  </si>
  <si>
    <t>مونتاژ ادوات آینه وسط</t>
  </si>
  <si>
    <t>F46</t>
    <phoneticPr fontId="2" type="noConversion"/>
  </si>
  <si>
    <t>LQ2734816F38A1</t>
    <phoneticPr fontId="2" type="noConversion"/>
  </si>
  <si>
    <t>گلپخشکن جلو راست</t>
  </si>
  <si>
    <t>گلپخشکن جلو چپ</t>
  </si>
  <si>
    <t>نصب گلپخشکن های جلو</t>
  </si>
  <si>
    <t>قاب رکاب راست-ساب شده</t>
  </si>
  <si>
    <t>-</t>
  </si>
  <si>
    <t>قاب رکاب چپ-ساب شده</t>
  </si>
  <si>
    <t>قاب رکاب های دو طرف</t>
  </si>
  <si>
    <t>مهره فشاری (خار)</t>
  </si>
  <si>
    <t>SX6A-5402934</t>
  </si>
  <si>
    <t>قاب رکاب راست</t>
  </si>
  <si>
    <t>SX5F-5504120</t>
  </si>
  <si>
    <t>قاب رکاب چپ</t>
  </si>
  <si>
    <t>SX5-5504-2-A</t>
  </si>
  <si>
    <t>پیش مونتاژ قاب رکاب های دو طرف</t>
  </si>
  <si>
    <t>P79</t>
  </si>
  <si>
    <t>مجموعه کلید هوشمند</t>
  </si>
  <si>
    <t>قرار دادن کلید هوشمند داخل خودرو</t>
  </si>
  <si>
    <t>SX5-5504-8</t>
  </si>
  <si>
    <t xml:space="preserve">(برد موتور) ECMبروزرساني    </t>
  </si>
  <si>
    <t>SX5-5504-7</t>
  </si>
  <si>
    <t xml:space="preserve"> BCMبروزرساني    </t>
  </si>
  <si>
    <t xml:space="preserve">تعریف سوئیچ   </t>
  </si>
  <si>
    <t>-------</t>
  </si>
  <si>
    <t>------</t>
  </si>
  <si>
    <t>SX5-5504-4</t>
  </si>
  <si>
    <t xml:space="preserve">رگلاژ دربها، درب صندوق و درب باک   </t>
  </si>
  <si>
    <t>مهره غربیلک فرمان</t>
  </si>
  <si>
    <t>مجموعه غربیلک فرمان</t>
  </si>
  <si>
    <t>SX5-3106-3</t>
  </si>
  <si>
    <t xml:space="preserve">  مونتاژ مجموعه غربیلک فرمان</t>
  </si>
  <si>
    <t>پیچ سر شش گوش با واشر فنری</t>
  </si>
  <si>
    <t>Q1421035TF36*1.25</t>
    <phoneticPr fontId="5" type="noConversion"/>
  </si>
  <si>
    <t>SX5-3106-6</t>
  </si>
  <si>
    <t xml:space="preserve">  اتصال ستون فرمان به جعبه فرمان</t>
  </si>
  <si>
    <t>نوار آب بند درب عقب چپ روی بدنه</t>
  </si>
  <si>
    <t>SX5-6207011C1</t>
    <phoneticPr fontId="2" type="noConversion"/>
  </si>
  <si>
    <t>نوار آب بند درب عقب راست روی بدنه</t>
  </si>
  <si>
    <t>SX5-6207010C1</t>
    <phoneticPr fontId="2" type="noConversion"/>
  </si>
  <si>
    <t xml:space="preserve">  نصب نوار آب بند دربهای عقب روی بدنه</t>
  </si>
  <si>
    <t>نوار آب بند درب جلو چپ روی بدنه</t>
  </si>
  <si>
    <t>SX5-6107011C1</t>
    <phoneticPr fontId="2" type="noConversion"/>
  </si>
  <si>
    <t>نوار آب بند درب جلو راست روی بدنه</t>
  </si>
  <si>
    <t xml:space="preserve">  نصب نوار آب بند دربهای جلو روی بدنه</t>
  </si>
  <si>
    <t>P77</t>
  </si>
  <si>
    <t>طاقچه عقب</t>
  </si>
  <si>
    <t>SX5-7802-1</t>
  </si>
  <si>
    <t xml:space="preserve">  نصب طاقچه عقب</t>
  </si>
  <si>
    <t>برچسب نوع سوخت مصرفی</t>
  </si>
  <si>
    <t>SX5-LFTL01</t>
  </si>
  <si>
    <t xml:space="preserve">نصب برچسب نوع سوخت مصرفی  </t>
  </si>
  <si>
    <t>لوگوي متن FMC</t>
  </si>
  <si>
    <t>SX5-T-BL-01</t>
  </si>
  <si>
    <t>لوگوي متن T5</t>
  </si>
  <si>
    <t>SX5F-3921611</t>
  </si>
  <si>
    <t>SX5-3921-5</t>
  </si>
  <si>
    <t>نصب آرم های روی درب صندوق</t>
  </si>
  <si>
    <t>برچسب مصرف انرژی</t>
  </si>
  <si>
    <t>برچسب فشار باد لاستیک</t>
  </si>
  <si>
    <t>نصب برچسب باد لاستیک و مصرف انرژی</t>
  </si>
  <si>
    <t>برچسب QR Code</t>
  </si>
  <si>
    <t>T5-3903-2</t>
  </si>
  <si>
    <t>نصب برچسب QR Code</t>
  </si>
  <si>
    <t>قاب تزئینی داخلی درب صندوق</t>
  </si>
  <si>
    <t>SX5-6302-4-A</t>
  </si>
  <si>
    <t>پیش مونتاژ قاب تزئینی پایین درب صندوق</t>
  </si>
  <si>
    <t>F56</t>
  </si>
  <si>
    <t>مهره فلنجی</t>
  </si>
  <si>
    <t>تیغه برف پاک کن عقب</t>
  </si>
  <si>
    <t>نصب تیغه برف پاک کن عقب</t>
  </si>
  <si>
    <t>P76</t>
  </si>
  <si>
    <t xml:space="preserve">پیچ ترکیبی شش گوش </t>
  </si>
  <si>
    <t>ترک و مارک موتور برف پاک کن جلو</t>
  </si>
  <si>
    <t>مهره نصب تیغه های برف پاک کن</t>
  </si>
  <si>
    <t>ترک و مارک مجموعه بازو و تیغه برف پاک کن جلو</t>
  </si>
  <si>
    <t>ترک و مارک تیغه برف پاک کن عقب</t>
  </si>
  <si>
    <t>---------</t>
  </si>
  <si>
    <t xml:space="preserve">ترک و مارک مهره دسته موتور راست  </t>
  </si>
  <si>
    <t>P75</t>
  </si>
  <si>
    <t>دستگیره و کلید درب صندوق</t>
  </si>
  <si>
    <t>SX5F-6302-0001-2</t>
    <phoneticPr fontId="2" type="noConversion"/>
  </si>
  <si>
    <t xml:space="preserve">  نصب دستگیره درب صندوق</t>
  </si>
  <si>
    <t>خار پلاستیکی</t>
  </si>
  <si>
    <t>قاب تزئینی داخل درب صندوق - راست</t>
  </si>
  <si>
    <t>SX5-6302030</t>
  </si>
  <si>
    <t>قاب تزئینی داخل درب صندوق - چپ</t>
  </si>
  <si>
    <t>SX5-6302020</t>
  </si>
  <si>
    <t>نصب قابهای تزئینی دو طرف درب صندوق</t>
  </si>
  <si>
    <t>قاب تزئینی بالاي درب صندوق</t>
  </si>
  <si>
    <t>SX5-6302010</t>
  </si>
  <si>
    <t xml:space="preserve">نصب قاب تزئینی بالایی درب صندوق </t>
  </si>
  <si>
    <t>قاب تزئینی داخلی درب صندوق-ساب شده</t>
  </si>
  <si>
    <t>نصب قاب تزئینی پایین درب صندوق</t>
  </si>
  <si>
    <t>فوم بادگیر سمت راست حصیری</t>
  </si>
  <si>
    <t>SX5-5304056A1</t>
    <phoneticPr fontId="2" type="noConversion"/>
  </si>
  <si>
    <t>فوم بادگیر سمت چپ حصیری</t>
  </si>
  <si>
    <t>SX5-5304055A1</t>
    <phoneticPr fontId="2" type="noConversion"/>
  </si>
  <si>
    <t>نصب فوم بادگیر دو سمت حصیری</t>
  </si>
  <si>
    <t>قاب تزئینی سمت راست حصیری برف پاک کن</t>
  </si>
  <si>
    <t>قاب تزئینی سمت چپ حصیری برف پاک کن</t>
  </si>
  <si>
    <t>نصب قابهای تزئینی دوطرف حصیری</t>
  </si>
  <si>
    <t xml:space="preserve">مجموعه حصیری برف پاک کن </t>
  </si>
  <si>
    <t>مونتاژ حصیری برف پاک کن</t>
  </si>
  <si>
    <t>درپوش تزئینی مهره برف پاک کن</t>
  </si>
  <si>
    <t>مجموعه بازو و تیغه برف پاک کن جلو- سرنشین</t>
  </si>
  <si>
    <t>مجموعه بازو و تیغه برف پاک کن جلو- راننده</t>
  </si>
  <si>
    <t>مونتاژ مجموعه بازو و تیغه برف پاک کن جلو</t>
  </si>
  <si>
    <t>F55</t>
  </si>
  <si>
    <t>مجموعه موتور برف پاک کن جلو</t>
  </si>
  <si>
    <t>نصب موتور برف پاک کن جلو</t>
  </si>
  <si>
    <t xml:space="preserve">مهره فلنجی سر شش گوش </t>
  </si>
  <si>
    <t>پیچ سر شش گوش واشردار</t>
  </si>
  <si>
    <t>LQ146B0625TF38</t>
    <phoneticPr fontId="2" type="noConversion"/>
  </si>
  <si>
    <t>اسپویلر عقب</t>
  </si>
  <si>
    <t>نصب اسپویلر عقب</t>
  </si>
  <si>
    <t xml:space="preserve">پیچ فلنجی شش گوش </t>
  </si>
  <si>
    <t>MS100221S</t>
  </si>
  <si>
    <t xml:space="preserve"> کانال فلزی آبرو جلو</t>
  </si>
  <si>
    <t>نصب کانال آبرو جلو</t>
  </si>
  <si>
    <t>P73</t>
  </si>
  <si>
    <t xml:space="preserve">واشر </t>
  </si>
  <si>
    <t>اشپیل</t>
  </si>
  <si>
    <t>Q50110F38</t>
    <phoneticPr fontId="2" type="noConversion"/>
  </si>
  <si>
    <t>پین سر تخت</t>
  </si>
  <si>
    <t>SX5-3500-2</t>
  </si>
  <si>
    <t>مونتاژ پین پدال ترمز</t>
  </si>
  <si>
    <t>کاور کنار صندلی ستون عقب راست</t>
  </si>
  <si>
    <t>کاور کنار صندلی ستون عقب چپ</t>
  </si>
  <si>
    <t>مونتاژ کاور کنار صندلی روی ستون عقب</t>
  </si>
  <si>
    <t>درپوش پیچ های بالای کمربند های عقب</t>
  </si>
  <si>
    <t>کلاهک سر پیچ های پایین کمربند</t>
  </si>
  <si>
    <t>BS3-5810052</t>
    <phoneticPr fontId="2" type="noConversion"/>
  </si>
  <si>
    <t>درپوش کشویی تنظیم ارتفاع کمربندهای جلو</t>
  </si>
  <si>
    <t>C20-5810512A3</t>
  </si>
  <si>
    <t>SX5-5810-5</t>
  </si>
  <si>
    <t>نصب درپوش کشویی و کلاهک سر پیچ های کمربندهای جلو و عقب</t>
  </si>
  <si>
    <t>کمک به حمل و نصب صندلی ها</t>
  </si>
  <si>
    <t>SX5-5500-2</t>
  </si>
  <si>
    <t xml:space="preserve">تست نشتی باک  </t>
  </si>
  <si>
    <t>F54</t>
  </si>
  <si>
    <t>P72</t>
  </si>
  <si>
    <t xml:space="preserve">پیچ سر سوکتی شش گوش </t>
  </si>
  <si>
    <t>SX5G-6800111</t>
    <phoneticPr fontId="2" type="noConversion"/>
  </si>
  <si>
    <t>کفی صندلی عقب (6 Point)</t>
  </si>
  <si>
    <t>SX5F-7000-1-L</t>
  </si>
  <si>
    <t>نصب کفی صندلی عقب چپ</t>
  </si>
  <si>
    <t>پیچ فلنجی</t>
  </si>
  <si>
    <t>DM5L-5810231</t>
    <phoneticPr fontId="5" type="noConversion"/>
  </si>
  <si>
    <t>پشتی صندلی عقب چپ</t>
  </si>
  <si>
    <t>مونتاژ پشتی صندلی عقب چپ</t>
  </si>
  <si>
    <t>صندلی راننده</t>
  </si>
  <si>
    <t>SX5F-6800-1-L</t>
  </si>
  <si>
    <t xml:space="preserve"> مونتاژ صندلی جلو چپ</t>
  </si>
  <si>
    <t>کاور براکت لولای صندلی عقب</t>
  </si>
  <si>
    <t>DL3H3262AB02</t>
  </si>
  <si>
    <t>براکت لولای پشتی صندلی عقب</t>
  </si>
  <si>
    <t xml:space="preserve"> محکم کردن و ترک و مارک براکت لولای صندلی عقب  </t>
  </si>
  <si>
    <t>P71</t>
  </si>
  <si>
    <t>پریز کمربند ایمنی عقب چپ</t>
  </si>
  <si>
    <t>SX5F-5810-2</t>
  </si>
  <si>
    <t xml:space="preserve">  نصب  پریز کمربند ایمنی عقب چپ</t>
  </si>
  <si>
    <t>پریز کمربند ایمنی عقب وسط</t>
  </si>
  <si>
    <t>نصب  پریز کمربند ایمنی عقب راست</t>
  </si>
  <si>
    <t>کفی صندلی عقب (4 Point)</t>
  </si>
  <si>
    <t>SX5F-7000-1-R</t>
  </si>
  <si>
    <t>نصب کفی صندلی عقب راست</t>
  </si>
  <si>
    <t>پشتی صندلی عقب راست</t>
  </si>
  <si>
    <t>نصب پشتی صندلی عقب راست</t>
  </si>
  <si>
    <t>صندلی شاگرد</t>
  </si>
  <si>
    <t>SX5F-6800-1-R</t>
  </si>
  <si>
    <t>مونتاژ صندلی جلو راست</t>
  </si>
  <si>
    <t>P70</t>
  </si>
  <si>
    <t>مایع شیشه شوی</t>
  </si>
  <si>
    <t>CB005903LC</t>
  </si>
  <si>
    <t>SX5-9000-6</t>
  </si>
  <si>
    <t xml:space="preserve">  تزریق مایع شیشه شوی</t>
  </si>
  <si>
    <t>F53</t>
  </si>
  <si>
    <t>محلول ضد یخ</t>
  </si>
  <si>
    <t>C0001900JK</t>
  </si>
  <si>
    <t>SX5K-9000-2</t>
  </si>
  <si>
    <t xml:space="preserve">  تزریق ضد یخ</t>
  </si>
  <si>
    <t>روغن ترمز</t>
  </si>
  <si>
    <t>C0641900FU</t>
  </si>
  <si>
    <t>SX5-9000-7</t>
  </si>
  <si>
    <t xml:space="preserve">  تزریق روغن ترمز</t>
  </si>
  <si>
    <t>F52</t>
  </si>
  <si>
    <t>گاز کولر</t>
  </si>
  <si>
    <t>CA010900KH</t>
  </si>
  <si>
    <t>SX5-9000-1</t>
  </si>
  <si>
    <t xml:space="preserve">  تزریق گاز کولر</t>
  </si>
  <si>
    <t xml:space="preserve">کنترل گشتاور و چک مارک پیچ پایین کمربندهای ایمنی عقب  </t>
  </si>
  <si>
    <t>F47</t>
  </si>
  <si>
    <t xml:space="preserve">صفحه روی باتری </t>
  </si>
  <si>
    <t>میله نگهدارنده باتری با مهره</t>
  </si>
  <si>
    <t>باتری</t>
  </si>
  <si>
    <t>نصب باتری</t>
  </si>
  <si>
    <t>F49</t>
  </si>
  <si>
    <t>SX6A-3703-3</t>
  </si>
  <si>
    <t>تست ولتاژ باتری</t>
  </si>
  <si>
    <t xml:space="preserve">پیچ فلنجی سر شش گوش </t>
  </si>
  <si>
    <t>قلاب قفل کننده پشتی صندلی عقب</t>
  </si>
  <si>
    <t>نصب قلاب صندلی عقب</t>
  </si>
  <si>
    <t>F46</t>
  </si>
  <si>
    <t>کاور روی قلاب صندلی عقب راست</t>
  </si>
  <si>
    <t>SX5F-5402342A-Y1</t>
    <phoneticPr fontId="2" type="noConversion"/>
  </si>
  <si>
    <t>کاور روی قلاب صندلی عقب چپ</t>
  </si>
  <si>
    <t>SX5F-5402341A-Y1</t>
    <phoneticPr fontId="2" type="noConversion"/>
  </si>
  <si>
    <t>نصب کاورهای روی قلاب صندلی عقب</t>
  </si>
  <si>
    <t>F43</t>
  </si>
  <si>
    <t>SX5-5810-12</t>
  </si>
  <si>
    <t xml:space="preserve">بستن پیچ پایین کمربندهای ایمنی عقب به ستون  </t>
  </si>
  <si>
    <t>P68</t>
  </si>
  <si>
    <t xml:space="preserve"> بست فشاری</t>
  </si>
  <si>
    <t>BL564</t>
  </si>
  <si>
    <t>کاور سمت راست زیر داشبورد</t>
  </si>
  <si>
    <t>کاور سمت چپ زیر داشبورد</t>
  </si>
  <si>
    <t>نصب کاورهای زیر داشبورد</t>
  </si>
  <si>
    <t>F50</t>
  </si>
  <si>
    <t>کاور تزئینی بالای کنسول</t>
  </si>
  <si>
    <t xml:space="preserve"> نصب کاور تزئینی بالای کنسول</t>
  </si>
  <si>
    <t>کاور تزئینی پشت کنسول وسط</t>
  </si>
  <si>
    <t xml:space="preserve">  نصب کاور تزئینی پشت کنسول</t>
  </si>
  <si>
    <t>فندک روی کنسول</t>
  </si>
  <si>
    <t>CM7C-3725015</t>
  </si>
  <si>
    <t>مجموعه کنسول وسط</t>
  </si>
  <si>
    <t>مونتاژ کنسول وسط</t>
  </si>
  <si>
    <t xml:space="preserve">نصب موقت براکت لولای صندلی عقب  </t>
  </si>
  <si>
    <t xml:space="preserve">  نصب  موقت پریز کمربند ایمنی عقب چپ</t>
  </si>
  <si>
    <t>نصب موقت  پریز کمربند ایمنی عقب راست</t>
  </si>
  <si>
    <t>CS005975SB</t>
  </si>
  <si>
    <t>SX5-1700-10</t>
  </si>
  <si>
    <t>سوراخکاری محل نصب پلاک شناسایی خودرو</t>
  </si>
  <si>
    <t>T01</t>
  </si>
  <si>
    <t>بست فلزی فشاری</t>
  </si>
  <si>
    <t>B12-1303220A</t>
  </si>
  <si>
    <t>SX5A-1303-7</t>
  </si>
  <si>
    <t xml:space="preserve"> اتصال لوله ورودی آب رادیاتور</t>
  </si>
  <si>
    <t>براکت نصب جعبه فیوز</t>
  </si>
  <si>
    <t>پیچ سر سوکتی</t>
  </si>
  <si>
    <t>واحد کنترل الکترونیکی موتور</t>
  </si>
  <si>
    <t>نصب واحد کنترل الکترونیکی موتور</t>
  </si>
  <si>
    <t>LQ140B0620F38A1</t>
    <phoneticPr fontId="2" type="noConversion"/>
  </si>
  <si>
    <t>Q140B0630F38L</t>
    <phoneticPr fontId="2" type="noConversion"/>
  </si>
  <si>
    <t>مجموعه فیلتر هوا</t>
  </si>
  <si>
    <t>نصب مجموعه فیلتر هوا</t>
  </si>
  <si>
    <t>SX5-5300-3</t>
  </si>
  <si>
    <t xml:space="preserve">اتصال سوکت دسته سیم اصلی به دسته سیم موتور </t>
  </si>
  <si>
    <t>بست اتصال شیلنگ بوستر</t>
  </si>
  <si>
    <t>B-3540117</t>
  </si>
  <si>
    <t xml:space="preserve">اتصال شیلنگ بوستر </t>
  </si>
  <si>
    <t>SX5-1303-6</t>
  </si>
  <si>
    <t xml:space="preserve">اتصال لوله سوخت به موتور </t>
  </si>
  <si>
    <t>کورکن</t>
  </si>
  <si>
    <t xml:space="preserve"> نصب کورکن روی سرکمک</t>
  </si>
  <si>
    <t>مهره فلنچی</t>
  </si>
  <si>
    <t>قرار دادن کیتینگ داخل خط</t>
  </si>
  <si>
    <t>MD161216</t>
    <phoneticPr fontId="2" type="noConversion"/>
  </si>
  <si>
    <t>موتور برف پاک کن عقب</t>
  </si>
  <si>
    <t>نصب موتور برف پاک کن عقب</t>
  </si>
  <si>
    <t>0.003 L</t>
  </si>
  <si>
    <t>پرايمر</t>
  </si>
  <si>
    <t>CZ8269D0EW</t>
  </si>
  <si>
    <t>كلينر اكتيويتور</t>
  </si>
  <si>
    <t>CZ827970EW</t>
  </si>
  <si>
    <t>چسب شيشه</t>
  </si>
  <si>
    <t>مجموعه شیشه عقب و نوار دور شیشه</t>
  </si>
  <si>
    <t>SX5-6303020B</t>
  </si>
  <si>
    <t xml:space="preserve">  نصب شیشه عقب</t>
  </si>
  <si>
    <t>0.004 L</t>
  </si>
  <si>
    <t xml:space="preserve">مجموعه شیشه جلو و نوار دور شیشه </t>
  </si>
  <si>
    <t xml:space="preserve">  نصب شیشه جلو</t>
  </si>
  <si>
    <t>شیشه لچکی عقب - راست ساب شده</t>
  </si>
  <si>
    <t>شیشه لچکی عقب - چپ ساب شده</t>
  </si>
  <si>
    <t>نصب شیشه های لچکی عقب</t>
  </si>
  <si>
    <t>0.01</t>
  </si>
  <si>
    <t>مایع چربی بر 8550</t>
  </si>
  <si>
    <t>چسب (خمیر) شیشه</t>
  </si>
  <si>
    <t>C0803963EW</t>
  </si>
  <si>
    <t>SX5-5206-3</t>
  </si>
  <si>
    <t>کمک به نصب شیشه ها</t>
  </si>
  <si>
    <t>اكتيواتور(كلينر)</t>
  </si>
  <si>
    <t xml:space="preserve">نوار آب بند بیرونی شیشه جلو </t>
  </si>
  <si>
    <t>SX5-5206022</t>
  </si>
  <si>
    <t>دوربین جلو</t>
  </si>
  <si>
    <t>SX7-3776510AS</t>
  </si>
  <si>
    <t>سنسور باران</t>
  </si>
  <si>
    <t>دوربین چند منظوره کمکی راننده</t>
  </si>
  <si>
    <t xml:space="preserve">مجموعه شیشه جلو </t>
  </si>
  <si>
    <t xml:space="preserve">پیش مونتاژ شیشه جلو </t>
  </si>
  <si>
    <t>نوار اسفنجی بوتيل دور شیشه 5 در 5 میلیمتر</t>
  </si>
  <si>
    <t>نوار آب بند بیرونی شیشه عقب</t>
  </si>
  <si>
    <t>SX5-6303022</t>
  </si>
  <si>
    <t>واشر آب بند برف پاک کن عقب</t>
  </si>
  <si>
    <t xml:space="preserve"> شیشه عقب خودرو</t>
  </si>
  <si>
    <t>SX5-6303020</t>
  </si>
  <si>
    <t>SX5-6310-4</t>
  </si>
  <si>
    <t>پیش مونتاژ شیشه عقب</t>
  </si>
  <si>
    <t>شیشه لچکی عقب - راست</t>
  </si>
  <si>
    <t>شیشه لچکی عقب - چپ</t>
  </si>
  <si>
    <t>پیش مونتاژ شیشه های لچکی عقب</t>
  </si>
  <si>
    <t>بست لوله تک خانه</t>
  </si>
  <si>
    <t>بست کمربندی فلزی</t>
  </si>
  <si>
    <t xml:space="preserve">پیچ سر شش گوش </t>
  </si>
  <si>
    <t>SX5-8108-4</t>
  </si>
  <si>
    <t xml:space="preserve">اتصال لوله اواپراتور به کندانسورر  </t>
  </si>
  <si>
    <t>SX5-8108-7</t>
  </si>
  <si>
    <t xml:space="preserve">  اتصال لوله ورودی و خروجی کمپرسور به کندانسور</t>
  </si>
  <si>
    <t xml:space="preserve">کنترل گشتاور و چک مارک مهره دسته موتور چپ  </t>
  </si>
  <si>
    <t>نوار آب بند دور درب صندوق - روی بدنه</t>
  </si>
  <si>
    <t xml:space="preserve">  نصب نوار دور صندوق</t>
  </si>
  <si>
    <t>پیچ نصب تایر زاپاس</t>
  </si>
  <si>
    <t>مجموعه تایر زاپاس</t>
  </si>
  <si>
    <t>SX3A-3101-0003-1</t>
  </si>
  <si>
    <t>محفظه پایین قاب ستون عقب راست</t>
  </si>
  <si>
    <t>محفظه پایین قاب ستون عقب چپ</t>
  </si>
  <si>
    <t>مونتاژ محفظه پایین قاب ستون های عقب</t>
  </si>
  <si>
    <t>گیره کشنده کاور تزئینی مهره چرخ</t>
  </si>
  <si>
    <t>B-3102012</t>
  </si>
  <si>
    <t>جليقه شب نما</t>
  </si>
  <si>
    <t>قلاب بکسل بند</t>
  </si>
  <si>
    <t>C20-3901040</t>
  </si>
  <si>
    <t>مثلث خطر</t>
  </si>
  <si>
    <t>A-3926010</t>
  </si>
  <si>
    <t>آچار چرخ</t>
  </si>
  <si>
    <t>39MA-00011</t>
  </si>
  <si>
    <t>جک بالابر</t>
  </si>
  <si>
    <t>فوم تقویتی نگهدارنده جک</t>
  </si>
  <si>
    <t>SX5F-5110615</t>
  </si>
  <si>
    <t>قرار دادن فوم و تجهیزات کمکی داخل صندوق</t>
  </si>
  <si>
    <t>موکت کف صندوق</t>
  </si>
  <si>
    <t>نصب موکت کف صندوق</t>
  </si>
  <si>
    <t>خار پلاستيكي</t>
  </si>
  <si>
    <t>قاب ستون عقب پایین راست</t>
  </si>
  <si>
    <t>قاب ستون عقب پایین چپ</t>
  </si>
  <si>
    <t>SX5F-5402-2-A</t>
  </si>
  <si>
    <t>پيش مونتاژ قاب ستون عقب پایین چپ/ راست</t>
  </si>
  <si>
    <t>P60</t>
  </si>
  <si>
    <t>قاب درگاهی صندوق عقب</t>
  </si>
  <si>
    <t>نصب قاب درگاهی صندوق</t>
  </si>
  <si>
    <t>قاب درگاهی درب عقب راست</t>
  </si>
  <si>
    <t>قاب درگاهی درب عقب چپ</t>
  </si>
  <si>
    <t>نصب قاب درگاهی دربهای عقب</t>
  </si>
  <si>
    <t>جعبه ابزار سمت راست صندوق</t>
  </si>
  <si>
    <t>SX5F-5402620B</t>
  </si>
  <si>
    <t>جعبه ابزار سمت چپ صندوق</t>
  </si>
  <si>
    <t>SX5F-5402610B</t>
  </si>
  <si>
    <t>SX5F-5402-5</t>
  </si>
  <si>
    <t>نصب جعبه ابزارهای صندوق عقب</t>
  </si>
  <si>
    <t>قاب ستون عقب پایین چپ-ساب شده</t>
  </si>
  <si>
    <t>قاب ستون عقب پایین راست-ساب شده</t>
  </si>
  <si>
    <t>نصب قاب ستون های عقب پایین</t>
  </si>
  <si>
    <t>جا زدن سوکت پمپ بنزین</t>
  </si>
  <si>
    <t>P59</t>
  </si>
  <si>
    <t>Final</t>
  </si>
  <si>
    <t>مهره مخروطی چرخ</t>
  </si>
  <si>
    <t>31MA-03012A</t>
    <phoneticPr fontId="2" type="noConversion"/>
  </si>
  <si>
    <t>مجموعه رینگ و تایر اصلي بالانس شده</t>
  </si>
  <si>
    <t>نصب رینگ و تایر</t>
  </si>
  <si>
    <t>M39</t>
  </si>
  <si>
    <t>چربی بر(الکل ایزوپروپاتول)</t>
  </si>
  <si>
    <t>تاير</t>
  </si>
  <si>
    <t>SX5-3106050AS</t>
  </si>
  <si>
    <t>سرب تعادلی</t>
  </si>
  <si>
    <t>B-3101122</t>
  </si>
  <si>
    <t>رينگ</t>
  </si>
  <si>
    <t>SX5-3101040</t>
  </si>
  <si>
    <t>والف و سنسور TPMS</t>
  </si>
  <si>
    <t>مهره فلنجی تمام فلزی</t>
  </si>
  <si>
    <t>ترک و مارک منبع میانی اگزوز</t>
  </si>
  <si>
    <t>مهره فلنجی شش گوش تمام فلزی</t>
  </si>
  <si>
    <t>ترک و مارک صدا خفه کن عقب</t>
  </si>
  <si>
    <t>ترک و مارک بخش جلویی لوله اگزوز</t>
  </si>
  <si>
    <t>ترک و مارک اکسل جلو</t>
  </si>
  <si>
    <t>مهره</t>
  </si>
  <si>
    <t>پیچ سر شش گوش</t>
  </si>
  <si>
    <t>T5-2810-4-A</t>
  </si>
  <si>
    <t>ترک و مارک اکسل عقب</t>
  </si>
  <si>
    <t>ترک و مارک بازوی اتصال اکسل عقب به بدنه</t>
  </si>
  <si>
    <t xml:space="preserve"> پیچ اتصال عقب رام به بدنه (پیچ بلند نصب شاسی عقب)</t>
  </si>
  <si>
    <t>پیچ فلنجی سر شش گوش - کوتاه</t>
  </si>
  <si>
    <t>کنترل گشتاور و چک مارک پیچهای اکسل عقب</t>
  </si>
  <si>
    <t>پیچ شماره 8 در شکل</t>
  </si>
  <si>
    <t>SX5K-1001-2</t>
  </si>
  <si>
    <t>ترک و مارک اتصال دسته موتور پایین به میل کراواتی</t>
  </si>
  <si>
    <t xml:space="preserve">ترک و مارک سنسور سرعت چرخهای جلو  </t>
  </si>
  <si>
    <t>SX5-3401-2</t>
  </si>
  <si>
    <t>ترک و مارک اتصال سیبک جعبه فرمان به دیسک و توپی</t>
  </si>
  <si>
    <t>مهره قفلی فلنجی</t>
  </si>
  <si>
    <t>SX5-2906-3</t>
  </si>
  <si>
    <t>ترک و مارک اتصال میل تعادل به اکسل جلو</t>
  </si>
  <si>
    <t>SX5-2904-4</t>
  </si>
  <si>
    <t xml:space="preserve">ترک و مارک اتصال بازوي سيستم تعليق جلو به دیسک و توپی  </t>
  </si>
  <si>
    <t xml:space="preserve"> پیچ اتصال وسط رام به بدنه</t>
  </si>
  <si>
    <t xml:space="preserve"> پیچ بلند اتصال عقب رام به بدنه (بدون واشر)</t>
  </si>
  <si>
    <t>ترک و مارک رام جلو به بدنه</t>
  </si>
  <si>
    <t>4</t>
    <phoneticPr fontId="2" type="noConversion"/>
  </si>
  <si>
    <t xml:space="preserve">   ترک و مارک مخزن سوخت</t>
  </si>
  <si>
    <t>شیلنگ ترمز چرخ عقب</t>
  </si>
  <si>
    <t>SX5-3506-7</t>
  </si>
  <si>
    <t>ترک و مارک شیلنگ ترمز چرخ عقب</t>
  </si>
  <si>
    <t>ترک و مارک لوله ترمز چرخ هاي جلو به ديسك و توپی</t>
  </si>
  <si>
    <t>ترک و مارک لوله انتهایی ترمز عقب چپ</t>
  </si>
  <si>
    <t>لوله رابط ترمز عقب چپ</t>
  </si>
  <si>
    <t>لوله رابط ترمز عقب راست</t>
  </si>
  <si>
    <t>ترک و مارک لوله های رابط ترمز عقب</t>
  </si>
  <si>
    <t>ترکمن</t>
  </si>
  <si>
    <t>Q32206F38L</t>
    <phoneticPr fontId="2" type="noConversion"/>
  </si>
  <si>
    <t>محافظ لوله های سوخت</t>
  </si>
  <si>
    <t>نصب محافظ لوله های سوخت</t>
  </si>
  <si>
    <t>مایع روانکارقطعات پلیمری- بهزیست 1238</t>
  </si>
  <si>
    <t>واشر آب بندی</t>
  </si>
  <si>
    <t>SX7-1204010</t>
    <phoneticPr fontId="4" type="noConversion"/>
  </si>
  <si>
    <t>Q33110F38</t>
    <phoneticPr fontId="2" type="noConversion"/>
  </si>
  <si>
    <t>منبع میانی اگزوز</t>
  </si>
  <si>
    <t>SX5-1201085</t>
    <phoneticPr fontId="2" type="noConversion"/>
  </si>
  <si>
    <t>نصب منبع میانی اگزوز</t>
  </si>
  <si>
    <t xml:space="preserve"> صدا خفه کن عقب</t>
  </si>
  <si>
    <t>بوش لاستیکی نصب لوله اگزوز</t>
  </si>
  <si>
    <t>SX5-1202020</t>
  </si>
  <si>
    <t>مونتاژ صدا خفه کن عقب</t>
  </si>
  <si>
    <t>بخش جلویی لوله اگزوز</t>
  </si>
  <si>
    <t>مونتاژ بخش جلویی لوله اگزوز</t>
  </si>
  <si>
    <t>P55</t>
  </si>
  <si>
    <t>.....</t>
  </si>
  <si>
    <t>SX5K-1503-3</t>
  </si>
  <si>
    <t>بررسی صحت نصب بست لوله های خنک کن روغن گیربکس به رادیاتور</t>
  </si>
  <si>
    <t>M36</t>
  </si>
  <si>
    <t>پیچ سرعدسی چارسو</t>
  </si>
  <si>
    <t>سینی زیر موتور</t>
  </si>
  <si>
    <t>SX5E-5504011B</t>
  </si>
  <si>
    <t>نصب سینی زیر موتور</t>
  </si>
  <si>
    <t>پیچ سر شش گوش فلنجی</t>
  </si>
  <si>
    <t>بازكردن پالت اكسل عقب</t>
  </si>
  <si>
    <t>M37</t>
  </si>
  <si>
    <t>P54</t>
  </si>
  <si>
    <t>بازوی اتصال اکسل عقب به بدنه</t>
  </si>
  <si>
    <t>نصب بازوی اتصال اکسل عقب به بدنه</t>
  </si>
  <si>
    <t>بست دوشاخه کشویی</t>
  </si>
  <si>
    <t>SX5-3561010</t>
  </si>
  <si>
    <t>نصب شیلنگ ترمز چرخ عقب</t>
  </si>
  <si>
    <t>----------</t>
  </si>
  <si>
    <t>SX5-3630-7</t>
  </si>
  <si>
    <t xml:space="preserve">اتصال سنسورهای ABS چرخ های عقب  </t>
  </si>
  <si>
    <t xml:space="preserve">قاب لاستيكي محافظ پایین فنر پیچشی </t>
  </si>
  <si>
    <t>B20-2911103</t>
  </si>
  <si>
    <t xml:space="preserve">قاب لاستيكي محافظ بالای فنر پیچشی </t>
  </si>
  <si>
    <t xml:space="preserve"> فنر پیچشی عقب</t>
  </si>
  <si>
    <t>SX5-2912031</t>
    <phoneticPr fontId="4" type="noConversion"/>
  </si>
  <si>
    <t xml:space="preserve"> مونتاژ فنرهای پیچشی اکسل عقب</t>
  </si>
  <si>
    <t>M37</t>
    <phoneticPr fontId="2" type="noConversion"/>
  </si>
  <si>
    <t>مجموعه اکسل عقب</t>
  </si>
  <si>
    <t>واشر تخت</t>
  </si>
  <si>
    <t xml:space="preserve"> پیچ اتصال پشت اکسل عقب - بلند نیم رزوه</t>
  </si>
  <si>
    <t>پیچ فلنجی سر شش گوش - کوتاه تمام رزوه</t>
  </si>
  <si>
    <t>مونتاژ اکسل عقب</t>
  </si>
  <si>
    <t>SX5-5101-10</t>
  </si>
  <si>
    <t xml:space="preserve">نشاندن اکسل عقب روی جیگ </t>
  </si>
  <si>
    <t>SX5E-1119-4</t>
  </si>
  <si>
    <t>اتصال لوله ورودی اینترکولر</t>
  </si>
  <si>
    <t>M35</t>
  </si>
  <si>
    <t>دسته موتور پایین
(میل کراواتی)</t>
  </si>
  <si>
    <t>SX5K-1001132</t>
  </si>
  <si>
    <t>نصب و اتصال دسته موتور پایین به میل کراواتی</t>
  </si>
  <si>
    <t xml:space="preserve">اتصال لوله خروجی آب رادیاتور به موتور  </t>
  </si>
  <si>
    <t>پیچ فلنجی شش گوش</t>
  </si>
  <si>
    <t>DAED170177</t>
  </si>
  <si>
    <t>DAED170072</t>
  </si>
  <si>
    <t>DAED172660</t>
  </si>
  <si>
    <t>صفحه محافظ فلایویل</t>
  </si>
  <si>
    <t>DAED155383</t>
  </si>
  <si>
    <t>براکت بین گیربکس و موتور</t>
  </si>
  <si>
    <t>471Q-1000051</t>
    <phoneticPr fontId="4" type="noConversion"/>
  </si>
  <si>
    <t>SX5E-1000-1</t>
  </si>
  <si>
    <t>نصب صفحه محافظ فلایویل</t>
  </si>
  <si>
    <t>مهره فلنجی DTFLOCK</t>
  </si>
  <si>
    <t>SX5G-2810821</t>
  </si>
  <si>
    <t>SX5K-1001-3</t>
  </si>
  <si>
    <t>بستن موتور به دسته موتور راست</t>
  </si>
  <si>
    <t>SX5-1001-5</t>
  </si>
  <si>
    <t xml:space="preserve">مونتاژ شاخ گیربکس به دسته موتور چپ  </t>
  </si>
  <si>
    <t>M35</t>
    <phoneticPr fontId="2" type="noConversion"/>
  </si>
  <si>
    <t xml:space="preserve">نصب و تنظیم موتور جهت قرارگیری روی بدنه </t>
  </si>
  <si>
    <t xml:space="preserve">سنسور سرعت چرخ جلو </t>
  </si>
  <si>
    <t xml:space="preserve">مونتاژ سنسور سرعت چرخهای جلو  </t>
  </si>
  <si>
    <t>Q33810</t>
  </si>
  <si>
    <t>اتصال سیبک جعبه فرمان به دیسک و توپی</t>
  </si>
  <si>
    <t>اتصال میل تعادل به اکسل جلو</t>
  </si>
  <si>
    <t>اشپیل مهره پلوس</t>
  </si>
  <si>
    <t>مهره سر پلوس</t>
  </si>
  <si>
    <t>SX5K-2200-2</t>
  </si>
  <si>
    <t xml:space="preserve">اتصال پولوس ها به دیسک و توپی  </t>
  </si>
  <si>
    <t>واشر</t>
  </si>
  <si>
    <t>SX5G-2810821</t>
    <phoneticPr fontId="2" type="noConversion"/>
  </si>
  <si>
    <t>پیچ اتصال بازوی تعلیق جلو به دیسک و توپی</t>
  </si>
  <si>
    <t>B20-2904011B</t>
  </si>
  <si>
    <t xml:space="preserve">اتصال بازوي سيستم تعليق جلو به دیسک و توپی  </t>
  </si>
  <si>
    <t>مجموعه فریم کمکی جلو (رام)</t>
  </si>
  <si>
    <t>مونتاژ رام جلو به بدنه</t>
  </si>
  <si>
    <t>SX5-8101-9</t>
  </si>
  <si>
    <t xml:space="preserve">قرار دادن رام جلو روی جیگ مونتاژ  </t>
  </si>
  <si>
    <t>Mechanical</t>
  </si>
  <si>
    <t>نصب سنسور اکسیژن</t>
  </si>
  <si>
    <t>E03</t>
  </si>
  <si>
    <t>نشاندن موتور روی جیگ مریج</t>
  </si>
  <si>
    <t>ارسال موتور به ایستگاه مریج</t>
  </si>
  <si>
    <t>SX5-8101-7</t>
  </si>
  <si>
    <t>مهار پلوس ها بر روی موتور</t>
  </si>
  <si>
    <t>مجموعه پلوس جلو - چپ</t>
  </si>
  <si>
    <t>نصب مجموعه پلوس چپ</t>
  </si>
  <si>
    <t>روغن موتور</t>
  </si>
  <si>
    <t>SX5-1000-6</t>
  </si>
  <si>
    <t xml:space="preserve">  تزریق روغن موتور</t>
  </si>
  <si>
    <t>E02</t>
  </si>
  <si>
    <t>مجموعه پلوس راست</t>
  </si>
  <si>
    <t>نصب مجموعه پلوس راست</t>
  </si>
  <si>
    <t>روغن روانکار کمپرسور</t>
  </si>
  <si>
    <t>----</t>
  </si>
  <si>
    <t>مونتاژ لوله خروجی کمپرسور</t>
  </si>
  <si>
    <t>تسمه کمپرسور کولر</t>
  </si>
  <si>
    <t>Q14608110F38</t>
  </si>
  <si>
    <t>کمپرسور کولر</t>
  </si>
  <si>
    <t>مونتاژ کمپرسور و تسمه کمپرسور کولر</t>
  </si>
  <si>
    <t>E01</t>
  </si>
  <si>
    <t xml:space="preserve">واشر آب بندی </t>
  </si>
  <si>
    <t>Q1861020F38</t>
    <phoneticPr fontId="2" type="noConversion"/>
  </si>
  <si>
    <t>مبدل کاتالیست</t>
  </si>
  <si>
    <t>نصب مبدل کاتالیست</t>
  </si>
  <si>
    <t>کانکتور خنک کننده روغن</t>
  </si>
  <si>
    <t>SX5K-1700163L2</t>
  </si>
  <si>
    <t>SX5K-1700-3</t>
  </si>
  <si>
    <t xml:space="preserve">مونتاژ کانکتور خنک کننده روغن  </t>
  </si>
  <si>
    <t>مجموعه موتور گیربکس</t>
  </si>
  <si>
    <t>SX5-8101-12</t>
  </si>
  <si>
    <t>قرار دادن موتور روی جیگ مونتاژ</t>
  </si>
  <si>
    <t>Engine</t>
  </si>
  <si>
    <t>ابرویی گلگیر عقب راست</t>
  </si>
  <si>
    <t>ابرویی گلگیر عقب چپ</t>
  </si>
  <si>
    <t>نصب ابرویی گلگیرهای عقب</t>
  </si>
  <si>
    <t>U33</t>
    <phoneticPr fontId="2" type="noConversion"/>
  </si>
  <si>
    <t>ابرویی گلگیر جلو راست</t>
  </si>
  <si>
    <t>ابرویی گلگیر جلو چپ</t>
  </si>
  <si>
    <t>نصب ابرویی گلگیرهای جلو</t>
  </si>
  <si>
    <t>BL929A1</t>
    <phoneticPr fontId="2" type="noConversion"/>
  </si>
  <si>
    <t>شلگیر عقب راست</t>
  </si>
  <si>
    <t>شلگیر عقب چپ</t>
  </si>
  <si>
    <t>نصب شلگیرهای عقب</t>
  </si>
  <si>
    <t>U33</t>
  </si>
  <si>
    <t>شلگیر جلو راست</t>
  </si>
  <si>
    <t>شلگیر جلو چپ</t>
  </si>
  <si>
    <t>نصب شلگیرهای جلو</t>
  </si>
  <si>
    <t>P48</t>
  </si>
  <si>
    <t>کورکن آلومینیومی بزرگ ¢30</t>
  </si>
  <si>
    <t>SX5G-8263122</t>
    <phoneticPr fontId="4" type="noConversion"/>
  </si>
  <si>
    <t>کورکن لاستیکی</t>
  </si>
  <si>
    <t>61MA-08028</t>
    <phoneticPr fontId="2" type="noConversion"/>
  </si>
  <si>
    <t>درپوش</t>
  </si>
  <si>
    <t>کورکن شیشه ای چهارگوش</t>
  </si>
  <si>
    <t>کورکن آلومینیومی کوچک ¢20</t>
  </si>
  <si>
    <t>SX5G-8263121</t>
    <phoneticPr fontId="4" type="noConversion"/>
  </si>
  <si>
    <t>نصب کورکن های زیر بدنه</t>
  </si>
  <si>
    <t>SX5-5512-4-A</t>
  </si>
  <si>
    <t>پیش مونتاژ ابرویی گلگیرهای عقب</t>
  </si>
  <si>
    <t>P47</t>
  </si>
  <si>
    <t>پیچ نگهدارنده ضربه گیر</t>
  </si>
  <si>
    <t xml:space="preserve">ترک و مارک ضربه گیر لاستیکی سیستم تعلیق عقب  </t>
  </si>
  <si>
    <t>U32</t>
  </si>
  <si>
    <t>گلپخشکن عقب راست</t>
  </si>
  <si>
    <t>گلپخشکن عقب چپ</t>
  </si>
  <si>
    <t>نصب گلپخشکن های عقب</t>
  </si>
  <si>
    <t>بست شلنگ نوع B</t>
  </si>
  <si>
    <t>Q67545F36</t>
    <phoneticPr fontId="2" type="noConversion"/>
  </si>
  <si>
    <t xml:space="preserve"> لوله گلویی باک</t>
  </si>
  <si>
    <t>نصب لوله گلویی باک</t>
  </si>
  <si>
    <t>Q1800825F38</t>
    <phoneticPr fontId="4" type="noConversion"/>
  </si>
  <si>
    <t>مخزن سوخت</t>
  </si>
  <si>
    <t xml:space="preserve">   نصب مخزن سوخت</t>
  </si>
  <si>
    <t>لوله کنیستر</t>
  </si>
  <si>
    <t>SX5H-1130015</t>
    <phoneticPr fontId="2" type="noConversion"/>
  </si>
  <si>
    <t>SX5K-1130-3</t>
  </si>
  <si>
    <t xml:space="preserve">  نصب لوله کنیستر</t>
  </si>
  <si>
    <t>P46</t>
  </si>
  <si>
    <t>مجموعه کنیستر</t>
  </si>
  <si>
    <t xml:space="preserve">  مونتاژ کنیستر</t>
  </si>
  <si>
    <t>U31</t>
  </si>
  <si>
    <t xml:space="preserve">مهره شش گوش فلنجی </t>
  </si>
  <si>
    <t>بست لوله پنج خانه</t>
  </si>
  <si>
    <t>B-1104601</t>
  </si>
  <si>
    <t>SX5H-1104601</t>
  </si>
  <si>
    <t>SX5H-1104602</t>
  </si>
  <si>
    <t>SX5-1104-7</t>
  </si>
  <si>
    <t xml:space="preserve">مونتاژ بست های لوله های سوخت و ترمز زیر بدنه  </t>
  </si>
  <si>
    <t>دسته سیم زیر شاسی</t>
  </si>
  <si>
    <t>SX5K-4010-1</t>
  </si>
  <si>
    <t xml:space="preserve">  نصب دسته سیم زیر شاسی</t>
  </si>
  <si>
    <t>بست پلاستیکی تک خانه</t>
  </si>
  <si>
    <t>پیچ نصب استپر به بدنه</t>
  </si>
  <si>
    <t>بست لوله سه خانه</t>
  </si>
  <si>
    <t xml:space="preserve"> لوله فولادی ترمز </t>
  </si>
  <si>
    <t>نصب لوله انتهایی ترمز عقب چپ</t>
  </si>
  <si>
    <t>بست پلاستیکی دو خانه پیچی</t>
  </si>
  <si>
    <t xml:space="preserve">بست پلاستیکی لوله ترمز - دو خانه  </t>
  </si>
  <si>
    <t>نصب لوله های رابط ترمز عقب</t>
  </si>
  <si>
    <t>براکت نصب کابل ترمز دستی - راست</t>
  </si>
  <si>
    <t>SX5-3508141</t>
    <phoneticPr fontId="2" type="noConversion"/>
  </si>
  <si>
    <t>براکت نصب کابل ترمز دستی - چپ</t>
  </si>
  <si>
    <t>SX5-3508131</t>
    <phoneticPr fontId="2" type="noConversion"/>
  </si>
  <si>
    <t>مونتاژ براکت نگهدارنده کابل ترمز دستی</t>
  </si>
  <si>
    <t>ضربه گیر لاستیکی سیستم تعلیق عقب</t>
  </si>
  <si>
    <t>S60-2915030</t>
    <phoneticPr fontId="4" type="noConversion"/>
  </si>
  <si>
    <t xml:space="preserve">نصب ضربه گیر لاستیکی سیستم تعلیق عقب  </t>
  </si>
  <si>
    <t>نصب لوله ترمز چرخ هاي جلو به ديسك و توپی</t>
  </si>
  <si>
    <t>SX5-5512-10</t>
  </si>
  <si>
    <t xml:space="preserve">نصب بستهای زیر سپر عقب  </t>
  </si>
  <si>
    <t>SX5K-2803-2</t>
  </si>
  <si>
    <t>مونتاژ قطعات زیر سپر جلو</t>
  </si>
  <si>
    <t>سپر حرارتی میانی</t>
  </si>
  <si>
    <t>SX5-1208104</t>
    <phoneticPr fontId="4" type="noConversion"/>
  </si>
  <si>
    <t>نصب سپر حرارتی میانی</t>
  </si>
  <si>
    <t>SX5-5504-2-C</t>
  </si>
  <si>
    <t>نصب مهره پلاستیکی های قاب رکاب دو طرف</t>
  </si>
  <si>
    <t>سپر حرارتی جلو</t>
  </si>
  <si>
    <t>نصب سپر حرارتی جلو</t>
  </si>
  <si>
    <t>عایق زیر بدنه هوا خشک</t>
  </si>
  <si>
    <t>C0432783BK</t>
  </si>
  <si>
    <t>SX5-2803-7</t>
  </si>
  <si>
    <t xml:space="preserve">ترمیم PVC زیر بدنه  </t>
  </si>
  <si>
    <t>P44</t>
  </si>
  <si>
    <t>Under Body</t>
  </si>
  <si>
    <t>پیچ شش گوش</t>
  </si>
  <si>
    <t>ترک و مارک قفل درب محفظه موتور</t>
  </si>
  <si>
    <t>پیچ  نصب کمک فنر جلو
مهره  نصب کمک فنر جلو</t>
  </si>
  <si>
    <t>ترک و مارک مجموعه اکسل جلو</t>
  </si>
  <si>
    <t xml:space="preserve">ترک و مارک پیچ های بالا و پایین کمربندهای ایمنی جلو  </t>
  </si>
  <si>
    <t xml:space="preserve">ترک و مارک پیچ بالایی کمربندهای ایمنی عقب </t>
  </si>
  <si>
    <t>پیچ سر شش گوش با واشر</t>
  </si>
  <si>
    <t>ترک و مارک براکت کندانسور</t>
  </si>
  <si>
    <t>ترک و مارک رادیاتور</t>
  </si>
  <si>
    <t>ترک و مارک مارک پیچ قفل درب های سمت راست</t>
  </si>
  <si>
    <t>ترک و مارک پیچ قفل درب های سمت چپ</t>
  </si>
  <si>
    <t>P43</t>
  </si>
  <si>
    <t>Q32006F38</t>
    <phoneticPr fontId="4" type="noConversion"/>
  </si>
  <si>
    <t>مجموعه سپر جلو</t>
  </si>
  <si>
    <t>مونتاژ سپر جلو</t>
  </si>
  <si>
    <t>T28</t>
  </si>
  <si>
    <t>T27</t>
  </si>
  <si>
    <t>P42</t>
  </si>
  <si>
    <t>LQ141M620</t>
    <phoneticPr fontId="2" type="noConversion"/>
  </si>
  <si>
    <t>چراغ جلو راست</t>
  </si>
  <si>
    <t>چراغ جلو چپ</t>
  </si>
  <si>
    <t>SX5-4121110D</t>
  </si>
  <si>
    <t>نصب چراغ های جلو</t>
  </si>
  <si>
    <t xml:space="preserve">پیچ  سر عدسی </t>
  </si>
  <si>
    <t>چراغ عقب راست روی بدنه</t>
  </si>
  <si>
    <t>چراغ عقب چپ روی بدنه</t>
  </si>
  <si>
    <t>بست فشاری نصب چراغ عقب</t>
  </si>
  <si>
    <t>پین بیضی پایین</t>
  </si>
  <si>
    <t>پین تثبیت کننده کوتاه</t>
  </si>
  <si>
    <t>نصب چراغهای عقب روی بدنه</t>
  </si>
  <si>
    <t>T26</t>
  </si>
  <si>
    <t>P41</t>
  </si>
  <si>
    <t>ضربه گیر درب صندوق - بر روی بدنه</t>
  </si>
  <si>
    <t>نصب ضربه گیر درب صندوق روی بدنه</t>
  </si>
  <si>
    <t>سنسور دمای هوای بیرون</t>
  </si>
  <si>
    <t>نصب سنسور دمای بیرون</t>
  </si>
  <si>
    <t>کمک فنر و دیسک و توپی جلو راست</t>
  </si>
  <si>
    <t>کمک فنر و دیسک و توپی جلو چپ</t>
  </si>
  <si>
    <t>نصب مجموعه اکسل جلو</t>
  </si>
  <si>
    <t>P40</t>
  </si>
  <si>
    <t>براکت محافظ کابل بازکننده درب موتور</t>
  </si>
  <si>
    <t>BS3-8402060A</t>
    <phoneticPr fontId="2" type="noConversion"/>
  </si>
  <si>
    <t>قفل درب محفظه موتور</t>
  </si>
  <si>
    <t>مونتاژ قفل درب محفظه موتور</t>
  </si>
  <si>
    <t>T25</t>
  </si>
  <si>
    <t>خار</t>
  </si>
  <si>
    <t>BL334B</t>
  </si>
  <si>
    <t>قاب ستون جلو راست بالا</t>
  </si>
  <si>
    <t>SX5F-5402-0003-1</t>
  </si>
  <si>
    <t>نصب قاب ستون جلو بالا راست</t>
  </si>
  <si>
    <t>قاب ستون جلو چپ بالا</t>
  </si>
  <si>
    <t>SX5F-5402-0002-1</t>
  </si>
  <si>
    <t>نصب قاب ستون جلو بالا چپ</t>
  </si>
  <si>
    <t>قاب روی کشویی تنظیم ارتفاع کمربند ایمنی چپ</t>
  </si>
  <si>
    <t>SX5-5402216</t>
    <phoneticPr fontId="2" type="noConversion"/>
  </si>
  <si>
    <t>SX7A-5402-16</t>
  </si>
  <si>
    <t xml:space="preserve">  نصب قاب کشویی کمربند چپ</t>
  </si>
  <si>
    <t>P39</t>
  </si>
  <si>
    <t>SX5-5402218B</t>
    <phoneticPr fontId="2" type="noConversion"/>
  </si>
  <si>
    <t>مجموعه قاب ستون جلو بالا چپ با بلندگو</t>
  </si>
  <si>
    <t>پيش مونتاژ مجموعه قاب ستون جلو بالا چپ با بلندگو</t>
  </si>
  <si>
    <t>دستگیره باز کننده درب موتور</t>
  </si>
  <si>
    <t>نصب دستگیره باز کننده درب موتور</t>
  </si>
  <si>
    <t>قاب ستون جلو چپ پایین</t>
  </si>
  <si>
    <t>SX5F-5402150B-Y1</t>
    <phoneticPr fontId="2" type="noConversion"/>
  </si>
  <si>
    <t xml:space="preserve"> نصب قاب ستون پایین جلو چپ</t>
  </si>
  <si>
    <t>قاب درگاهی درب جلو چپ</t>
  </si>
  <si>
    <t>نصب قاب درگاهی جلو چپ</t>
  </si>
  <si>
    <t>قاب ستون پایین وسط چپ</t>
  </si>
  <si>
    <t>نصب قاب ستون های وسط پایین چپ</t>
  </si>
  <si>
    <t>SX5-5810-9</t>
  </si>
  <si>
    <t xml:space="preserve">بستن پیچ بالای کمربندهای ایمنی عقب به ستون عقب چپ </t>
  </si>
  <si>
    <t>SX5-5810-8</t>
  </si>
  <si>
    <t>بستن پیچ بالا و پایین کمربند ایمنی جلو به ستون وسط چپ</t>
  </si>
  <si>
    <t>کاور روی پیچ قاب ستون عقب چپ بالا</t>
  </si>
  <si>
    <t>قاب ستون عقب چپ بالا-ساب شده</t>
  </si>
  <si>
    <t>نصب قاب ستون عقب بالا چپ</t>
  </si>
  <si>
    <t>کاور روی پیچ  قاب ستون وسط</t>
  </si>
  <si>
    <t>نصب کاور پیچ  قاب ستون وسط چپ</t>
  </si>
  <si>
    <t>قاب ستون بالا وسط چپ</t>
  </si>
  <si>
    <t>نصب قاب ستون وسط بالا چپ</t>
  </si>
  <si>
    <t>قاب روی کشویی تنظیم ارتفاع کمربند ایمنی راست</t>
  </si>
  <si>
    <t xml:space="preserve">  نصب قاب کشویی کمربند راست</t>
  </si>
  <si>
    <t>T24</t>
  </si>
  <si>
    <t>P38</t>
  </si>
  <si>
    <t>بستن پیچ بالای کمربندهای ایمنی عقب به ستون عقب  راست</t>
  </si>
  <si>
    <t>بستن پیچ بالا و پایین کمربند ایمنی جلو به ستون وسط راست</t>
  </si>
  <si>
    <t>قاب ستون جلو راست پایین</t>
  </si>
  <si>
    <t>SX5F-5402160-Y1</t>
    <phoneticPr fontId="2" type="noConversion"/>
  </si>
  <si>
    <t>نصب قاب ستون پایین جلو راست</t>
  </si>
  <si>
    <t>قاب درگاهی درب جلو راست</t>
  </si>
  <si>
    <t>نصب قاب درگاهی جلو راست</t>
  </si>
  <si>
    <t>قاب ستون پایین وسط راست</t>
  </si>
  <si>
    <t>نصب قاب ستون های وسط پایین راست</t>
  </si>
  <si>
    <t>کاور روی پیچ قاب ستون عقب راست بالا</t>
  </si>
  <si>
    <t>قاب ستون عقب راست بالا-ساب شده</t>
  </si>
  <si>
    <t>نصب قاب ستون عقب بالا راست</t>
  </si>
  <si>
    <t>SX5-5402217B</t>
  </si>
  <si>
    <t>نصب کاور پیچ  قاب ستون وسط راست</t>
  </si>
  <si>
    <t>قاب ستون بالا وسط راست</t>
  </si>
  <si>
    <t>نصب قاب ستون وسط بالا راست</t>
  </si>
  <si>
    <t>P37</t>
  </si>
  <si>
    <t>بوق الکتریکی حلزونی شکل (صدای بم)</t>
  </si>
  <si>
    <t>BM3-3721120</t>
    <phoneticPr fontId="2" type="noConversion"/>
  </si>
  <si>
    <t>بوق الکتریکی حلزون شکل(صدای زیر)</t>
  </si>
  <si>
    <t>نصب بوق الکتریکی حلزونی</t>
  </si>
  <si>
    <t>بادگیر زیر رادیاتور</t>
  </si>
  <si>
    <t>SX5-8401-2</t>
  </si>
  <si>
    <t>نصب بادگیر زیر رادیاتور</t>
  </si>
  <si>
    <t>بادگیر سمت چپ رادیاتور</t>
  </si>
  <si>
    <t>نصب بادگیر سمت چپ رادیاتور</t>
  </si>
  <si>
    <t>بادگیر سمت راست رادیاتور</t>
  </si>
  <si>
    <t>SX5K-8401-3</t>
  </si>
  <si>
    <t>نصب بادگیر سمت راست رادیاتور</t>
  </si>
  <si>
    <t>Q2734816F38</t>
    <phoneticPr fontId="4" type="noConversion"/>
  </si>
  <si>
    <t>BL346</t>
    <phoneticPr fontId="2" type="noConversion"/>
  </si>
  <si>
    <t>درپوش پیچ های سپر عقب</t>
  </si>
  <si>
    <t>BL338B</t>
    <phoneticPr fontId="2" type="noConversion"/>
  </si>
  <si>
    <t>مجموعه سپر عقب</t>
  </si>
  <si>
    <t>مونتاژ سپر عقب</t>
  </si>
  <si>
    <t>SX5K-8108-2</t>
  </si>
  <si>
    <t>نصب پیچ لوله گاز کولر</t>
  </si>
  <si>
    <t>P36</t>
  </si>
  <si>
    <t>SX5-1300-6</t>
  </si>
  <si>
    <t>اتصال سوکت های دسته سیم محفظه موتور به مجموعه رادیاتور</t>
  </si>
  <si>
    <t>بست اتصال شیلنگ مخزن انبساط به رادیاتور</t>
  </si>
  <si>
    <t>لوله ورودی روغن گیربکس</t>
  </si>
  <si>
    <t>SX5K-1503010</t>
  </si>
  <si>
    <t>لوله خروجی روغن گیربکس</t>
  </si>
  <si>
    <t>SX5K-1503-2</t>
  </si>
  <si>
    <t>نصب لوله های ورودی و خروجی خنک کن روغن گیربکس به رادیاتور</t>
  </si>
  <si>
    <t>P35</t>
  </si>
  <si>
    <t>پین پلاستیکی فشاری</t>
  </si>
  <si>
    <t xml:space="preserve">موکت کف </t>
  </si>
  <si>
    <t>نصب موکت کف</t>
  </si>
  <si>
    <t>عایق صداگیر ریز موکت کف</t>
  </si>
  <si>
    <t>SX5-5109513</t>
    <phoneticPr fontId="2" type="noConversion"/>
  </si>
  <si>
    <t>نصب عایق نمدی زیر موکت</t>
  </si>
  <si>
    <t>فوم تقویتی زیر موکت عقب - راست</t>
  </si>
  <si>
    <t>فوم تقویتی زیر موکت عقب - چپ</t>
  </si>
  <si>
    <t>فوم تقویتی زیر موکت - وسط راست</t>
  </si>
  <si>
    <t>SX5-5110716</t>
    <phoneticPr fontId="2" type="noConversion"/>
  </si>
  <si>
    <t>فوم تقویتی زیر موکت - وسط چپ</t>
  </si>
  <si>
    <t>SX5-5110715</t>
    <phoneticPr fontId="2" type="noConversion"/>
  </si>
  <si>
    <t>فوم تقویتی زیر موکت - جلو راست</t>
  </si>
  <si>
    <t>SX5-5110712</t>
    <phoneticPr fontId="2" type="noConversion"/>
  </si>
  <si>
    <t xml:space="preserve">فوم تقویتی زیر موکت - جلو چپ </t>
  </si>
  <si>
    <t>SX5-5110711</t>
    <phoneticPr fontId="2" type="noConversion"/>
  </si>
  <si>
    <t>مجموعه آینه جانبی سمت راننده</t>
  </si>
  <si>
    <t>مونتاژ آینه جانبی سمت چپ</t>
  </si>
  <si>
    <t>T20</t>
  </si>
  <si>
    <t>مجموعه آینه جانبی سمت شاگرد</t>
  </si>
  <si>
    <t>مونتاژ آینه جانبی سمت راست</t>
  </si>
  <si>
    <t>T21</t>
  </si>
  <si>
    <t>P34</t>
  </si>
  <si>
    <t>نوار آبگیر خارجی درب جلو چپ</t>
  </si>
  <si>
    <t>SX5-6107061A</t>
    <phoneticPr fontId="2" type="noConversion"/>
  </si>
  <si>
    <t>نصب نوار آبگیر خارجی درب جلو چپ</t>
  </si>
  <si>
    <t>نوار آبگیر خارجی درب عقب چپ</t>
  </si>
  <si>
    <t>نصب نوار آبگیر خارجی درب عقب چپ</t>
  </si>
  <si>
    <t>ریل پایین شیشه درب جلو چپ</t>
  </si>
  <si>
    <t>نصب ریل پایین شیشه درب جلو چپ</t>
  </si>
  <si>
    <t>T18</t>
  </si>
  <si>
    <t>ریل پایین شیشه درب عقب چپ</t>
  </si>
  <si>
    <t>نصب ریل پایین شيشه درب عقب چپ</t>
  </si>
  <si>
    <t>SX5-6204-4</t>
  </si>
  <si>
    <t xml:space="preserve">تست شیشه بالابر درب های سمت چپ </t>
  </si>
  <si>
    <t>مجموعه بالابر شیشه درب عقب چپ</t>
  </si>
  <si>
    <t>نصب بالابر شیشه درب عقب چپ</t>
  </si>
  <si>
    <t>مجموعه بالابر شیشه درب جلو چپ</t>
  </si>
  <si>
    <t>نصب بالابر شیشه درب جلو چپ</t>
  </si>
  <si>
    <t>مجموعه شیشه درب عقب چپ</t>
  </si>
  <si>
    <t>مونتاژ شیشه درب عقب چپ</t>
  </si>
  <si>
    <t>مجموعه شیشه درب جلو چپ</t>
  </si>
  <si>
    <t>مونتاژ شیشه درب جلو چپ</t>
  </si>
  <si>
    <t>قاب تزئینی مثلثی درب عقب چپ</t>
  </si>
  <si>
    <t>نصب قاب مثلثی درب عقب چپ</t>
  </si>
  <si>
    <t>P33</t>
  </si>
  <si>
    <t>نوار آبگیر خارجی درب جلو راست</t>
  </si>
  <si>
    <t>SX5-6107060A</t>
    <phoneticPr fontId="2" type="noConversion"/>
  </si>
  <si>
    <t>نصب نوار آبگیر خارجی درب جلو راست</t>
  </si>
  <si>
    <t>نوار آبگیر خارجی درب عقب راست</t>
  </si>
  <si>
    <t>نصب نوار آبگیر خارجی درب عقب راست</t>
  </si>
  <si>
    <t>ریل پایین شیشه درب جلو راست</t>
  </si>
  <si>
    <t>نصب ریل پایین شیشه درب جلو راست</t>
  </si>
  <si>
    <t>T19</t>
  </si>
  <si>
    <t xml:space="preserve">تست شیشه بالابر درب های سمت راست </t>
  </si>
  <si>
    <t>مجموعه بالابر شیشه درب عقب راست</t>
  </si>
  <si>
    <t>نصب بالابر شیشه درب عقب راست</t>
  </si>
  <si>
    <t>مجموعه بالابر شیشه درب جلو راست</t>
  </si>
  <si>
    <t>نصب بالابر شیشه درب جلو راست</t>
  </si>
  <si>
    <t>مجموعه شیشه درب عقب راست</t>
  </si>
  <si>
    <t>مونتاژ شیشه درب عقب راست</t>
  </si>
  <si>
    <t>مجموعه شیشه درب جلو راست</t>
  </si>
  <si>
    <t>SX5-6103030B</t>
  </si>
  <si>
    <t>مونتاژ شیشه درب جلو راست</t>
  </si>
  <si>
    <t>قاب تزئینی مثلثی درب عقب راست</t>
  </si>
  <si>
    <t>نصب قاب مثلثی درب عقب راست</t>
  </si>
  <si>
    <t>ریل پایین شیشه درب عقب راست</t>
  </si>
  <si>
    <t>نصب ریل پایین شيشه درب عقب راست</t>
  </si>
  <si>
    <t>P32</t>
  </si>
  <si>
    <t>نوار گردگیر بالای شیشه درب عقب راست</t>
  </si>
  <si>
    <t>نصب نوار گردگیر بالای شیشه درب عقب راست</t>
  </si>
  <si>
    <t xml:space="preserve">نوار گردگیر بالای شیشه درب جلو راست  </t>
  </si>
  <si>
    <t>نصب نوار گردگیر بالای شیشه درب جلو راست</t>
  </si>
  <si>
    <t>Q2714213F38</t>
    <phoneticPr fontId="2" type="noConversion"/>
  </si>
  <si>
    <t xml:space="preserve">کلید لادری </t>
  </si>
  <si>
    <t>نصب کلید لادری سمت راست</t>
  </si>
  <si>
    <t>مجموعه قفل درب عقب راست</t>
  </si>
  <si>
    <t>نصب مجموعه قفل درب عقب راست</t>
  </si>
  <si>
    <t>مجموعه قفل درب جلو راست</t>
  </si>
  <si>
    <t>نصب مجموعه قفل درب جلو راست</t>
  </si>
  <si>
    <t>براکت دستگیره بیرونی درب عقب - راست</t>
  </si>
  <si>
    <t>SX5-6205224</t>
    <phoneticPr fontId="2" type="noConversion"/>
  </si>
  <si>
    <t>براکت دستگیره بیرونی درب جلو - راست</t>
  </si>
  <si>
    <t>SX5-6105224</t>
    <phoneticPr fontId="2" type="noConversion"/>
  </si>
  <si>
    <t>مجموعه دستگیره بیرونی درب عقب - راست</t>
  </si>
  <si>
    <t>مجموعه دستگیره بیرونی درب جلو - راست</t>
  </si>
  <si>
    <t>مونتاژ دستگیره بیرونی دربهای جانبی راست</t>
  </si>
  <si>
    <t>P31</t>
  </si>
  <si>
    <t>نوار گردگیر بالای شیشه درب عقب چپ</t>
  </si>
  <si>
    <t>SX5-6207131C</t>
    <phoneticPr fontId="2" type="noConversion"/>
  </si>
  <si>
    <t>نصب نوار گردگیر بالای شیشه درب عقب چپ</t>
  </si>
  <si>
    <t>نوار گردگیر بالای شیشه درب جلو چپ</t>
  </si>
  <si>
    <t>SX5-6107131C</t>
    <phoneticPr fontId="2" type="noConversion"/>
  </si>
  <si>
    <t>نصب نوار گردگیر بالای شیشه درب جلو چپ</t>
  </si>
  <si>
    <t>نصب کلید لادری سمت چپ</t>
  </si>
  <si>
    <t>مجموعه سوئیچ و توپی قفل درب جلو</t>
  </si>
  <si>
    <t xml:space="preserve">پیش مونتاژ  توپی قفل درب جلو چپ روی دستگیره   </t>
  </si>
  <si>
    <t>مجموعه قفل درب عقب چپ</t>
  </si>
  <si>
    <t>نصب مجموعه قفل درب عقب چپ</t>
  </si>
  <si>
    <t>مجموعه قفل درب جلو چپ</t>
  </si>
  <si>
    <t>نصب مجموعه قفل درب جلو چپ</t>
  </si>
  <si>
    <t>براکت دستگیره بیرونی درب عقب - چپ</t>
  </si>
  <si>
    <t>SX5-6205225</t>
    <phoneticPr fontId="2" type="noConversion"/>
  </si>
  <si>
    <t>براکت دستگیره بیرونی درب جلو - چپ</t>
  </si>
  <si>
    <t>SX5-6105225</t>
    <phoneticPr fontId="2" type="noConversion"/>
  </si>
  <si>
    <t>مجموعه دستگیره بیرونی درب عقب - چپ</t>
  </si>
  <si>
    <t>مجموعه دستگیره بیرونی درب جلو - چپ</t>
  </si>
  <si>
    <t>مونتاژ دستگیره بیرونی دربهای جانبی چپ</t>
  </si>
  <si>
    <t>P30</t>
  </si>
  <si>
    <t>SX5-6209-2</t>
  </si>
  <si>
    <t>مونتاژ استپر عقب چپ به بدنه</t>
  </si>
  <si>
    <t>پیچ نصب استپر به درب</t>
  </si>
  <si>
    <t>مجموعه استپر درب عقب چپ</t>
  </si>
  <si>
    <t xml:space="preserve">مونتاژ استپر عقب به درب عقب چپ  </t>
  </si>
  <si>
    <t>SX5-6109-2</t>
  </si>
  <si>
    <t>مونتاژ استپر جلو چپ به بدنه</t>
  </si>
  <si>
    <t>مجموعه استپر درب جلو چپ</t>
  </si>
  <si>
    <t>BM3-6109010</t>
    <phoneticPr fontId="2" type="noConversion"/>
  </si>
  <si>
    <t>مونتاژ استپر جلو به درب جلو چپ</t>
  </si>
  <si>
    <t>مونتاژ استپر عقب راست به بدنه</t>
  </si>
  <si>
    <t>مجموعه استپر درب عقب راست</t>
  </si>
  <si>
    <t xml:space="preserve">مونتاژ استپر عقب به درب عقب راست  </t>
  </si>
  <si>
    <t>مونتاژ استپر جلو راست به بدنه</t>
  </si>
  <si>
    <t>مجموعه استپر درب جلو راست</t>
  </si>
  <si>
    <t>مونتاژ استپر جلو به درب جلو راست</t>
  </si>
  <si>
    <t>P29</t>
  </si>
  <si>
    <t>باز کردن بسته بندی دستگیره های بیرونی</t>
  </si>
  <si>
    <t>مجموعه کاور سمت راست داشبورد</t>
  </si>
  <si>
    <t>نصب کاور سمت راست داشبورد</t>
  </si>
  <si>
    <t>Q2540510F38</t>
    <phoneticPr fontId="2" type="noConversion"/>
  </si>
  <si>
    <t>زه استیل بالای درب عقب راست</t>
  </si>
  <si>
    <t>SX5-6203210</t>
    <phoneticPr fontId="2" type="noConversion"/>
  </si>
  <si>
    <t>زه استیل بالای درب جلو راست</t>
  </si>
  <si>
    <t>SX5-6103-3
SX5-6203-4</t>
  </si>
  <si>
    <t xml:space="preserve"> نصب زه استیل بالای درب جلو و عقب راست</t>
  </si>
  <si>
    <t xml:space="preserve">نوار آب بند دور درب عقب راست </t>
  </si>
  <si>
    <t>SX5-6207-1
SX5-6107-2</t>
  </si>
  <si>
    <t xml:space="preserve">  مونتاژ نوار آب بندی درب جلو و عقب راست</t>
  </si>
  <si>
    <t>P28</t>
  </si>
  <si>
    <t>مجموعه کاور سمت چپ داشبورد</t>
  </si>
  <si>
    <t>SX5F-5306370B-Y1</t>
    <phoneticPr fontId="2" type="noConversion"/>
  </si>
  <si>
    <t>نصب کاور سمت چپ داشبورد</t>
  </si>
  <si>
    <t>زه استیل بالای درب عقب چپ</t>
  </si>
  <si>
    <t>SX5-6203211</t>
    <phoneticPr fontId="2" type="noConversion"/>
  </si>
  <si>
    <t>زه استیل بالای درب جلو چپ</t>
  </si>
  <si>
    <t xml:space="preserve"> نصب زه استیل بالای درب جلو و عقب چپ</t>
  </si>
  <si>
    <t xml:space="preserve">نوار آب بند دور درب عقب چپ </t>
  </si>
  <si>
    <t xml:space="preserve">نوار آب بند دور درب جلو چپ </t>
  </si>
  <si>
    <t xml:space="preserve">  مونتاژ نوار آب بندی درب جلو و عقب چپ</t>
  </si>
  <si>
    <t>P27</t>
  </si>
  <si>
    <t>Q1840616F38</t>
    <phoneticPr fontId="2" type="noConversion"/>
  </si>
  <si>
    <t>Q2204816F38</t>
    <phoneticPr fontId="2" type="noConversion"/>
  </si>
  <si>
    <t>کانال هوای عقب</t>
  </si>
  <si>
    <t>SX5-5305120C</t>
    <phoneticPr fontId="2" type="noConversion"/>
  </si>
  <si>
    <t>T16</t>
  </si>
  <si>
    <t>براکت پلاستیکی نصب کنسول</t>
  </si>
  <si>
    <t>مونتاژ براکت پلاستیکی زیر کنسول</t>
  </si>
  <si>
    <t>واسطه داکت کانال هوای عقب</t>
  </si>
  <si>
    <t>SX5-5305110</t>
    <phoneticPr fontId="2" type="noConversion"/>
  </si>
  <si>
    <t>ترک و مارک مکانیزم تعویض دنده</t>
  </si>
  <si>
    <t>ترک و مارک مجموعه ایربگ پرده اي</t>
  </si>
  <si>
    <t>کنترل گشتاور مهره درب ها</t>
  </si>
  <si>
    <t>SX5F-5306-1L</t>
  </si>
  <si>
    <t>ترک و مارک براکت پایه داشبورد چپ</t>
  </si>
  <si>
    <t>پیچ  سر شش گوش واشردار</t>
  </si>
  <si>
    <t>SX7E-5306-1L</t>
  </si>
  <si>
    <t xml:space="preserve">ترک و مارک اتصالات دسته سيم داشبورد چپ </t>
  </si>
  <si>
    <t>پیچ و واشر ترکیبی M8</t>
  </si>
  <si>
    <t>ترک و مارک داشبورد</t>
  </si>
  <si>
    <t>مهره نصب درب ها به بدنه</t>
  </si>
  <si>
    <t>ترک و مارک براکت پایه داشبورد راست</t>
  </si>
  <si>
    <t>SX7E-5306-1R</t>
  </si>
  <si>
    <t xml:space="preserve">ترک و مارک اتصالات دسته سيم داشبورد راست </t>
  </si>
  <si>
    <t>مهره فلنچ دار</t>
  </si>
  <si>
    <t>براکت نگهدارنده دسته سیم</t>
  </si>
  <si>
    <t>SX5-3508016</t>
  </si>
  <si>
    <t>SX7E-5305-4</t>
  </si>
  <si>
    <t>مهره فلنجی شش گوش</t>
  </si>
  <si>
    <t>براکت فلزی نصب کانال</t>
  </si>
  <si>
    <t>SX7E-5305-3</t>
  </si>
  <si>
    <t>مونتاژ براکت نصب کانال هوای عقب</t>
  </si>
  <si>
    <t>P26</t>
  </si>
  <si>
    <t>دستگیره سقف راست</t>
  </si>
  <si>
    <t>دستگیره سقف چپ</t>
  </si>
  <si>
    <t>نصب دستگیره های سقف</t>
  </si>
  <si>
    <t>T12</t>
  </si>
  <si>
    <t>آفتابگیر سمت راست</t>
  </si>
  <si>
    <t>آفتابگیر سمت چپ</t>
  </si>
  <si>
    <t>قلاب نگهدارنده آفتابگیر</t>
  </si>
  <si>
    <t xml:space="preserve"> نصب آفتابگیرهای دو طرف</t>
  </si>
  <si>
    <t>خار دکمه ای</t>
  </si>
  <si>
    <t>مجموعه عایق سقف</t>
  </si>
  <si>
    <t>نصب مجموعه عایق سقف</t>
  </si>
  <si>
    <t>SX5F-7903320L1</t>
    <phoneticPr fontId="2" type="noConversion"/>
  </si>
  <si>
    <t>SX5-7903-2</t>
  </si>
  <si>
    <t xml:space="preserve"> مونتاژ سیم آنتن به بدنه  </t>
  </si>
  <si>
    <t>T14</t>
  </si>
  <si>
    <t>P25</t>
  </si>
  <si>
    <t>نصب کورکن های داخل صندوق</t>
  </si>
  <si>
    <t>--</t>
  </si>
  <si>
    <t>کمک به حمل و نصب عایق سقف</t>
  </si>
  <si>
    <t>SX5-5820-2</t>
  </si>
  <si>
    <t xml:space="preserve">  چك و مارك سوكت هاي ايربگ پرده اي</t>
  </si>
  <si>
    <t>T09</t>
  </si>
  <si>
    <t>P24</t>
  </si>
  <si>
    <t>برچسب هشدار ایربگ</t>
  </si>
  <si>
    <t>SX5-LAAL01</t>
  </si>
  <si>
    <t>SX5-3903-2</t>
  </si>
  <si>
    <t>نصب برچسب هشدار ایربگ</t>
  </si>
  <si>
    <t xml:space="preserve"> قاب بیرونی درب عقب راست</t>
  </si>
  <si>
    <t>SX5-6202-1R</t>
  </si>
  <si>
    <t>نصب زه بیرونی درب عقب راست</t>
  </si>
  <si>
    <t xml:space="preserve"> قاب بیرونی درب جلو راست</t>
  </si>
  <si>
    <t>SX5F-6102420</t>
  </si>
  <si>
    <t>SX5-6102-1R</t>
  </si>
  <si>
    <t>نصب زه بیرونی درب جلو راست</t>
  </si>
  <si>
    <t xml:space="preserve"> قاب بیرونی درب عقب چپ ساب شده</t>
  </si>
  <si>
    <t>SX5-6202-1L</t>
  </si>
  <si>
    <t>نصب زه بیرونی درب عقب چپ</t>
  </si>
  <si>
    <t xml:space="preserve"> قاب بیرونی درب جلو چپ ساب شده</t>
  </si>
  <si>
    <t>SX5-6102-1L</t>
  </si>
  <si>
    <t>نصب زه بیرونی درب جلو چپ</t>
  </si>
  <si>
    <t xml:space="preserve">مهره فلنجی شش گوش </t>
  </si>
  <si>
    <t xml:space="preserve">براکت اهرم تعویض دنده </t>
  </si>
  <si>
    <t>نصب براکت زیر مکانیزم تعویض دنده</t>
  </si>
  <si>
    <t>مجموعه ایربگ جانبی - سمت شاگرد</t>
  </si>
  <si>
    <t>مجموعه ایربگ جانبی - سمت راننده</t>
  </si>
  <si>
    <t>مونتاژ مجموعه ایربگ پرده اي</t>
  </si>
  <si>
    <t>کمک به حمل و نصب داشبورد</t>
  </si>
  <si>
    <t>P22</t>
  </si>
  <si>
    <t>SX5G-8263121</t>
    <phoneticPr fontId="2" type="noConversion"/>
  </si>
  <si>
    <t>نصب کورکن های داخل رکاب</t>
  </si>
  <si>
    <t>T10</t>
  </si>
  <si>
    <t>براکت وسط چپ (پایه داشبورد)</t>
  </si>
  <si>
    <t>نصب براکت پایه داشبورد چپ</t>
  </si>
  <si>
    <t>T13</t>
  </si>
  <si>
    <t xml:space="preserve">مونتاژ دسته سيم داشبورد چپ </t>
  </si>
  <si>
    <t>Q18608150F38</t>
    <phoneticPr fontId="2" type="noConversion"/>
  </si>
  <si>
    <t>Q1860820F38</t>
    <phoneticPr fontId="2" type="noConversion"/>
  </si>
  <si>
    <t>مجموعه داشبورد</t>
  </si>
  <si>
    <t>مونتاژ داشبورد</t>
  </si>
  <si>
    <t>P21</t>
  </si>
  <si>
    <t>آنتن داخلی</t>
  </si>
  <si>
    <t xml:space="preserve">مونتاژ آنتن داخل خودرو </t>
  </si>
  <si>
    <t>کمک به باز و بست کردن دربها</t>
  </si>
  <si>
    <t>واشر آب بندی شیلنگ تخلیه بخاری</t>
  </si>
  <si>
    <t xml:space="preserve">نصب واشر آب بندی شیلنگ تخلیه بخاری  </t>
  </si>
  <si>
    <t>براکت وسط راست (پایه داشبورد)</t>
  </si>
  <si>
    <t>نصب براکت پایه داشبورد راست</t>
  </si>
  <si>
    <t xml:space="preserve">مونتاژ دسته سيم داشبورد راست </t>
  </si>
  <si>
    <t>B-6106056A1</t>
  </si>
  <si>
    <t>SX5-6100-2C</t>
  </si>
  <si>
    <t>تعویض مهره های درب عقب  راست</t>
  </si>
  <si>
    <t>B-6106056A1</t>
    <phoneticPr fontId="9" type="noConversion"/>
  </si>
  <si>
    <t>SX5-6100-2B</t>
  </si>
  <si>
    <t>مونتاژ مجدد درب جلو راست به بدنه</t>
  </si>
  <si>
    <t>مجموعه لوله سوخت</t>
  </si>
  <si>
    <t>نصب مجموعه لوله سوخت</t>
  </si>
  <si>
    <t>SX5-6100-2A</t>
  </si>
  <si>
    <t xml:space="preserve"> بازکردن درب جلو راست</t>
  </si>
  <si>
    <t>Q2300512F38</t>
    <phoneticPr fontId="8" type="noConversion"/>
  </si>
  <si>
    <t>براکت درب پرکن سوخت</t>
  </si>
  <si>
    <t>SX5-5401090</t>
  </si>
  <si>
    <t>SX5-5401-1</t>
  </si>
  <si>
    <t>مونتاژ درب باك</t>
  </si>
  <si>
    <t>صفحه فنری درب باک</t>
  </si>
  <si>
    <t>نصب صفحه فنری درب باک</t>
  </si>
  <si>
    <t>ضربه گیر لاستیکی درب باک</t>
  </si>
  <si>
    <t>نصب ضربه گیر لاستیکی درب باک</t>
  </si>
  <si>
    <t>P19</t>
  </si>
  <si>
    <t>پیچ های اتصال ستون به بدنه</t>
  </si>
  <si>
    <t>به گشتاور رساندن پیچ های ستون وسط</t>
  </si>
  <si>
    <t>ترک و مارک پدال ترمز</t>
  </si>
  <si>
    <t>ترک و مارک براکت مدولاتور</t>
  </si>
  <si>
    <t>مجموعه بوستر ترمز</t>
  </si>
  <si>
    <t>ترک و مارک بوستر ترمز</t>
  </si>
  <si>
    <t>مجموعه پدال گاز الکترونیکی</t>
  </si>
  <si>
    <t>ترک و مارک پدال گاز</t>
  </si>
  <si>
    <t>مجموعه زبانه درب صندوق عقب</t>
  </si>
  <si>
    <t>ترک و مارک زبانه قفل درب صندوق</t>
  </si>
  <si>
    <t>کنترل و به گشتاور رساندن کمربند ایمنی جلو و عقب</t>
  </si>
  <si>
    <t>پیچ اتصال بدنه</t>
  </si>
  <si>
    <t>ترک و مارک اتصالات سیم کشی محفظه موتور</t>
  </si>
  <si>
    <t>ترک و مارک مجموعه قفل برقی درب صندوق</t>
  </si>
  <si>
    <t>SX5-1001-3</t>
  </si>
  <si>
    <t>ترک و مارک دسته موتور چپ</t>
  </si>
  <si>
    <t>ترک و مارک دسته موتور راست</t>
  </si>
  <si>
    <t>SX7-6309-5</t>
  </si>
  <si>
    <t>ترک و مارک جک های برقی درب صندوق</t>
  </si>
  <si>
    <t>ترک و مارک ECU ایربگ</t>
  </si>
  <si>
    <t>پیچ سر کروی</t>
  </si>
  <si>
    <t>ترک و مارک جک های گازی درب موتور</t>
  </si>
  <si>
    <t>ترک و مارک سنسور ضربه جانبی</t>
  </si>
  <si>
    <t>P18</t>
  </si>
  <si>
    <t>آنتن صندوق عقب</t>
  </si>
  <si>
    <t>مونتاژ آنتن صندوق عقب</t>
  </si>
  <si>
    <t>Q33006F38</t>
    <phoneticPr fontId="2" type="noConversion"/>
  </si>
  <si>
    <t>لوله رفت و برگشت گاز کولر</t>
  </si>
  <si>
    <t>نصب لوله گاز کولر</t>
  </si>
  <si>
    <t>تعویض مهره های درب عقب چپ</t>
  </si>
  <si>
    <t>SX5-6100-2</t>
  </si>
  <si>
    <t xml:space="preserve">مونتاژ مجدد درب جلو چپ به بدنه  </t>
  </si>
  <si>
    <t xml:space="preserve">  بازکردن درب جلو چپ</t>
  </si>
  <si>
    <t>P17</t>
  </si>
  <si>
    <t>نصب براکت جعبه فیوز داخل اتاق</t>
  </si>
  <si>
    <t>T11</t>
  </si>
  <si>
    <t>مدولاتور ترمز ساب شده</t>
  </si>
  <si>
    <t>نصب مدولاتور ترمز</t>
  </si>
  <si>
    <t>براکت نصب مدولاتور ترمز</t>
  </si>
  <si>
    <t xml:space="preserve">  ساب براکت مدولاتور</t>
  </si>
  <si>
    <t>سوئیچ چراغ خطر عقب</t>
  </si>
  <si>
    <t>نصب سوئیچ چراغ ترمز روی پدال ترمز</t>
  </si>
  <si>
    <t>P16</t>
  </si>
  <si>
    <t>پایه نگهدارنده اهرم باز کننده درب موتور</t>
  </si>
  <si>
    <t>نصب پایه اهرم باز کننده درب موتور</t>
  </si>
  <si>
    <t xml:space="preserve">  نصب پدال گاز</t>
  </si>
  <si>
    <t>مجموعه پدال ترمز</t>
  </si>
  <si>
    <t>نصب پدال ترمز</t>
  </si>
  <si>
    <t>سنسور خلا بوستر</t>
  </si>
  <si>
    <t>SX5A-3630-1</t>
  </si>
  <si>
    <t xml:space="preserve">  نصب سنسور خلا بوستر</t>
  </si>
  <si>
    <t>SX5-3540700B</t>
    <phoneticPr fontId="2" type="noConversion"/>
  </si>
  <si>
    <t xml:space="preserve"> نصب بوستر ترمز</t>
  </si>
  <si>
    <t>کورکن پلاستیکی مربعی زیر درب</t>
  </si>
  <si>
    <t>SX5-8200-8-A</t>
  </si>
  <si>
    <t>نصب کورکن های زیر درب</t>
  </si>
  <si>
    <t>نصب کورکن های بیرون اتاق</t>
  </si>
  <si>
    <t>P15</t>
  </si>
  <si>
    <t>مجموعه دسته سیم درب جلو - چپ</t>
  </si>
  <si>
    <t>SX5-4002-2L</t>
  </si>
  <si>
    <t xml:space="preserve"> مونتاژ دسته سیم درب جلو چپ</t>
  </si>
  <si>
    <t>مجموعه دسته سیم درب جلو - راست</t>
  </si>
  <si>
    <t>SX5-4002-2R</t>
  </si>
  <si>
    <t xml:space="preserve"> مونتاژ دسته سیم درب جلو راست</t>
  </si>
  <si>
    <t xml:space="preserve"> ESP لوله ترمز MP</t>
  </si>
  <si>
    <t xml:space="preserve"> ESP لوله ترمز MS</t>
  </si>
  <si>
    <t xml:space="preserve">بست لوله دو خانه  </t>
  </si>
  <si>
    <t xml:space="preserve">بست لوله دوطرفه - پنج خانه  </t>
  </si>
  <si>
    <t>بست لوله پیچی سه خانه</t>
  </si>
  <si>
    <t xml:space="preserve">بست لوله پیچی چهار خانه </t>
  </si>
  <si>
    <t>35MA-06086</t>
    <phoneticPr fontId="2" type="noConversion"/>
  </si>
  <si>
    <t>بخش جلویی لوله ترمز عقب - راست</t>
  </si>
  <si>
    <t>لوله ترمز ESP  جلو - چپ</t>
  </si>
  <si>
    <t>لوله ترمز ESP  جلو - راست</t>
  </si>
  <si>
    <t>بخش جلویی لوله ترمز عقب - چپ</t>
  </si>
  <si>
    <t>مجموعه مدولاتور ترمز ESP</t>
  </si>
  <si>
    <t>پیش مونتاژ مدولاتور ترمز</t>
  </si>
  <si>
    <t>قاب مثلثی بالای درب جلو - راست</t>
  </si>
  <si>
    <t>قاب مثلثی بالای درب جلو - چپ</t>
  </si>
  <si>
    <t xml:space="preserve">نصب قاب مثلثی داخلی بالای درب های جلو </t>
  </si>
  <si>
    <t>قاب مثلثی بالای درب عقب (عقب) - راست</t>
  </si>
  <si>
    <t xml:space="preserve">قاب مثلثی بالای درب عقب (عقب) - چپ </t>
  </si>
  <si>
    <t>SX5-6202053</t>
  </si>
  <si>
    <t xml:space="preserve">نصب قاب مثلثی داخلی بالای درب های عقب  </t>
  </si>
  <si>
    <t>قاب مثلثی بالای درب عقب (وسط) - راست</t>
  </si>
  <si>
    <t>SX5-6202052</t>
  </si>
  <si>
    <t xml:space="preserve">قاب مثلثی بالای درب عقب (وسط) - چپ </t>
  </si>
  <si>
    <t>SX5-6202051</t>
    <phoneticPr fontId="2" type="noConversion"/>
  </si>
  <si>
    <t>نصب قاب مثلثی داخلی بالای درب های عقب  (وسط)</t>
  </si>
  <si>
    <t>برچسب روی کلاف عقبی ستون درب عقب چپ</t>
  </si>
  <si>
    <t>برچسب روی کلاف جلویی ستون درب عقب چپ</t>
  </si>
  <si>
    <t>SX5-6202-07</t>
  </si>
  <si>
    <t>نصب برچسب روی کلاف ستون درب عقب چپ</t>
  </si>
  <si>
    <t>برچسب روی کلاف ستون درب جلو چپ</t>
  </si>
  <si>
    <t>SX5-6202-06</t>
  </si>
  <si>
    <t>نصب برچسب روی کلاف ستون درب جلو چپ</t>
  </si>
  <si>
    <t>برچسب روی کلاف عقبی ستون درب عقب راست</t>
  </si>
  <si>
    <t>برچسب روی کلاف جلویی ستون درب عقب راست</t>
  </si>
  <si>
    <t>SX5-6202-05</t>
  </si>
  <si>
    <t>نصب برچسب روی کلاف ستون درب عقب راست</t>
  </si>
  <si>
    <t>برچسب روی کلاف ستون درب جلو راست</t>
  </si>
  <si>
    <t>SX5-6202-04</t>
  </si>
  <si>
    <t>نصب برچسب روی کلاف ستون درب جلو راست</t>
  </si>
  <si>
    <t>P13</t>
  </si>
  <si>
    <t xml:space="preserve"> عایق حرارتی داخلی سینه داشبورد</t>
  </si>
  <si>
    <t xml:space="preserve"> نصب عایق حرارتی داخلی سینه داشبورد  </t>
  </si>
  <si>
    <t>نصب کورکن های کف اتاق</t>
  </si>
  <si>
    <t>واحد کنترل الکترونیکی درب صندوق</t>
  </si>
  <si>
    <t xml:space="preserve"> درب صندوق ECU نصب</t>
  </si>
  <si>
    <t>SX5F-5207070</t>
  </si>
  <si>
    <t>SX5-5207-3</t>
  </si>
  <si>
    <t xml:space="preserve"> نصب لوله آبپاش شیشه عقب</t>
  </si>
  <si>
    <t xml:space="preserve">مجموعه دسته سیم دربهای عقب </t>
  </si>
  <si>
    <t>بست با سوراخ مربعی شکل</t>
  </si>
  <si>
    <t>براکت نصب سپر عقب - راست</t>
  </si>
  <si>
    <t>براکت نصب سپر عقب - چپ</t>
  </si>
  <si>
    <t>مونتاژ براکتهای نصب سپر عقب</t>
  </si>
  <si>
    <t>براكت پدال گاز</t>
  </si>
  <si>
    <t>مونتاژ براکت پدال گاز</t>
  </si>
  <si>
    <t>T08</t>
  </si>
  <si>
    <t>مجموعه کابل درب باک</t>
  </si>
  <si>
    <t>SX5-8210070</t>
  </si>
  <si>
    <t xml:space="preserve">نصب کابل درب باک  </t>
  </si>
  <si>
    <t xml:space="preserve">دریچه تنظیم فشار </t>
  </si>
  <si>
    <t>SX5-8104010</t>
    <phoneticPr fontId="2" type="noConversion"/>
  </si>
  <si>
    <t xml:space="preserve">نصب دریچه تنظیم فشار </t>
  </si>
  <si>
    <t>کابل باز کننده درب محفظه موتور</t>
  </si>
  <si>
    <t>SX5-8402630</t>
  </si>
  <si>
    <t xml:space="preserve">  نصب کابل درب موتور</t>
  </si>
  <si>
    <t xml:space="preserve">نصب کورکن های لاستیکی کناره داشبورد  </t>
  </si>
  <si>
    <t>T07</t>
  </si>
  <si>
    <t>نصب کورکن های لاستیکی سینه داشبورد</t>
  </si>
  <si>
    <t>عایق صداگیر داخل بدنه - راست</t>
  </si>
  <si>
    <t>SX5F-5410114</t>
    <phoneticPr fontId="4" type="noConversion"/>
  </si>
  <si>
    <t>عایق صداگیر داخل بدنه - چپ</t>
  </si>
  <si>
    <t>SX5F-5410113</t>
    <phoneticPr fontId="4" type="noConversion"/>
  </si>
  <si>
    <t>نصب عایقهای صداگیر در قسمت عقب</t>
  </si>
  <si>
    <t>مجموعه آنتن کوسه ای</t>
  </si>
  <si>
    <t xml:space="preserve">  نصب آنتن کوسه ای</t>
  </si>
  <si>
    <t>P11</t>
  </si>
  <si>
    <t xml:space="preserve"> نمد روی زبانه نصب داشبورد</t>
  </si>
  <si>
    <t>BS3-5306134B</t>
    <phoneticPr fontId="4" type="noConversion"/>
  </si>
  <si>
    <t>SX7-5306-1</t>
  </si>
  <si>
    <t xml:space="preserve">چسباندن نمد روی لبه محفظه موتور    </t>
  </si>
  <si>
    <t>BS3-5306134B</t>
    <phoneticPr fontId="2" type="noConversion"/>
  </si>
  <si>
    <t xml:space="preserve"> چسباندن نمد روی زبانه محل نصب داشبورد  </t>
  </si>
  <si>
    <t>کشویی تنظیم ارتفاع کمربند ایمنی جلو</t>
  </si>
  <si>
    <t>SX5-5810-2</t>
  </si>
  <si>
    <t xml:space="preserve">مونتاژ کشویی تنظیم ارتفاع کمربند جلو   </t>
  </si>
  <si>
    <t>توپی کمربند ایمنی جلو - راست</t>
  </si>
  <si>
    <t>توپی کمربند ایمنی جلو - چپ</t>
  </si>
  <si>
    <t>SX5-5810-1</t>
  </si>
  <si>
    <t>مجموعه مونتاژ کمربند ایمنی جلو</t>
  </si>
  <si>
    <t>Q1860620F38</t>
    <phoneticPr fontId="2" type="noConversion"/>
  </si>
  <si>
    <t>سنسور ضربه جانبی</t>
  </si>
  <si>
    <t xml:space="preserve">مونتاژ سنسور ضربه جانبی </t>
  </si>
  <si>
    <t>توپی کمربند ایمنی عقب - راست</t>
  </si>
  <si>
    <t>BS3-5810060C1</t>
  </si>
  <si>
    <t>توپی کمربند ایمنی عقب - چپ</t>
  </si>
  <si>
    <t>BS3-5810050C1</t>
  </si>
  <si>
    <t>مجموعه مونتاژ کمربند ایمنی عقب</t>
  </si>
  <si>
    <t>P10</t>
  </si>
  <si>
    <t>برچسب هشدار گاز کولر  HFC134a</t>
  </si>
  <si>
    <t>SX5-8111-1</t>
  </si>
  <si>
    <t xml:space="preserve">نصب برچسب گاز کولر  </t>
  </si>
  <si>
    <t xml:space="preserve">نصب کورکن های لاستیکی زیر گلگیر   </t>
  </si>
  <si>
    <t>عایق صداگیر گلگیر عقب - راست</t>
  </si>
  <si>
    <t>عایق صداگیر گلگیر عقب - چپ</t>
  </si>
  <si>
    <t>SX5-5109511</t>
  </si>
  <si>
    <t>نصب عایق صداگیر گلگیر عقب</t>
  </si>
  <si>
    <t>واسطه لوله آب پاش عقب</t>
  </si>
  <si>
    <t xml:space="preserve"> مونتاژ واسطه لوله آب پاش عقب</t>
  </si>
  <si>
    <t>SX3A-5207050</t>
  </si>
  <si>
    <t>نصب شیلنگ آبپاش عقب</t>
  </si>
  <si>
    <t>دسته سیم کف - راست</t>
  </si>
  <si>
    <t>سیم کشی سمت راست بدنه</t>
  </si>
  <si>
    <t>کمک به حمل و نصب سقف پانوراما</t>
  </si>
  <si>
    <t>P09</t>
  </si>
  <si>
    <t>ضربه گیر های درب صندوق عقب</t>
  </si>
  <si>
    <t xml:space="preserve">مونتاژ ضربه گیرهای درب صندوق </t>
  </si>
  <si>
    <t>دسته سیم کف - چپ</t>
  </si>
  <si>
    <t>سیم کشی سمت چپ بدنه</t>
  </si>
  <si>
    <t>P08</t>
  </si>
  <si>
    <t xml:space="preserve">زبانه قفل درب های جانبی </t>
  </si>
  <si>
    <t>نصب زبانه قفل درب های جانبی</t>
  </si>
  <si>
    <t>قاب تزئینی بیرونی پایین درب صندوق</t>
  </si>
  <si>
    <t>مونتاژ قاب نمره درب صندوق</t>
  </si>
  <si>
    <t>T05</t>
  </si>
  <si>
    <t>مجموعه لوله و زانویی شیلنگ تخلیه عقب</t>
  </si>
  <si>
    <t>بست شیلنگ تخلیه سانروف</t>
  </si>
  <si>
    <t>SX5-5703412</t>
    <phoneticPr fontId="2" type="noConversion"/>
  </si>
  <si>
    <t>نصب شیلنگ تخلیه عقب سانروف</t>
  </si>
  <si>
    <t>P07</t>
  </si>
  <si>
    <t>بادگیر پشت گلگیر جلو - راست</t>
  </si>
  <si>
    <t>بادگیر پشت گلگیر جلو - چپ</t>
  </si>
  <si>
    <t>مونتاژ بادگیرهای پشت گلگیر جلو</t>
  </si>
  <si>
    <t>T06</t>
  </si>
  <si>
    <t>سیم کشی محفظه موتور</t>
  </si>
  <si>
    <t>P06</t>
  </si>
  <si>
    <t>ضربه گبر کوچک درب محفظه موتور</t>
  </si>
  <si>
    <t>نصب ضربه گیر کوچک کاپوت</t>
  </si>
  <si>
    <t>زانویی پایین شیلنگ تخلیه سانروف</t>
  </si>
  <si>
    <t xml:space="preserve">نصب زانویی پایین شیلنگ تخلیه سانروف  </t>
  </si>
  <si>
    <t>T04</t>
  </si>
  <si>
    <t>شیلنگ تخلیه جلو سانروف</t>
  </si>
  <si>
    <t>نصب شیلنگ تخلیه جلو سانروف</t>
  </si>
  <si>
    <t>نوار آب بند سقف</t>
  </si>
  <si>
    <t>مونتاژ نوار آب بند لاستیکی پانوراما (سانروف)</t>
  </si>
  <si>
    <t>LQ140B0616F38A1</t>
    <phoneticPr fontId="2" type="noConversion"/>
  </si>
  <si>
    <t>مونتاژ سقف پانوراما</t>
  </si>
  <si>
    <t>P05</t>
  </si>
  <si>
    <t>کورکن محل نصب پلاک</t>
  </si>
  <si>
    <t>نوار اب بند جلوی درب محفظه موتور</t>
  </si>
  <si>
    <t xml:space="preserve">مونتاژ نوار آب بندی جلوی درب موتور   </t>
  </si>
  <si>
    <t>باربند سمت راست</t>
  </si>
  <si>
    <t>باربند سمت چپ</t>
  </si>
  <si>
    <t>نصب باربندهای تزئینی سقف</t>
  </si>
  <si>
    <t>SX7-6305310</t>
    <phoneticPr fontId="2" type="noConversion"/>
  </si>
  <si>
    <t>مونتاژ زبانه قفل درب صندوق</t>
  </si>
  <si>
    <t xml:space="preserve"> عایق حرارتی خارجی داشبورد</t>
  </si>
  <si>
    <t xml:space="preserve"> نصب عایق حرارتی بیرونی سینه داشبورد</t>
  </si>
  <si>
    <t>پین فشاری</t>
  </si>
  <si>
    <t>عایق حرارتی درب محفظه موتور</t>
  </si>
  <si>
    <t>SX3-8402611</t>
    <phoneticPr fontId="4" type="noConversion"/>
  </si>
  <si>
    <t>نصب عایق حرارتی زیر کاپوت</t>
  </si>
  <si>
    <t>T02</t>
  </si>
  <si>
    <t>P04</t>
  </si>
  <si>
    <t>مجموعه قفل برقی درب صندوق عقب</t>
  </si>
  <si>
    <t>SX7-6305020</t>
    <phoneticPr fontId="2" type="noConversion"/>
  </si>
  <si>
    <t>نصب مجموعه قفل برقی درب صندوق</t>
  </si>
  <si>
    <t>T03</t>
  </si>
  <si>
    <t>پمپ و مخزن شیشه شوی</t>
  </si>
  <si>
    <t>مونتاژ پمپ و مخزن شیشه شوی</t>
  </si>
  <si>
    <t>چراغ وسط درب صندوق</t>
  </si>
  <si>
    <t>مونتاژ چراغ وسط درب صندوق</t>
  </si>
  <si>
    <t>LQ321M608</t>
    <phoneticPr fontId="2" type="noConversion"/>
  </si>
  <si>
    <t>چراغ عقب B - راست</t>
  </si>
  <si>
    <t>چراغ عقب B - چپ</t>
  </si>
  <si>
    <t>مونتاژ چراغ عقب روی درب صندوق</t>
  </si>
  <si>
    <t>P03</t>
  </si>
  <si>
    <t xml:space="preserve">ضربه گیر لاستیکی درب </t>
  </si>
  <si>
    <t>61MA-08029B</t>
    <phoneticPr fontId="2" type="noConversion"/>
  </si>
  <si>
    <t>نصب ضربه گیر درب های جلو</t>
  </si>
  <si>
    <t>SX5-6200-1</t>
  </si>
  <si>
    <t>نصب ضربه گیر درب عقب چپ و راست</t>
  </si>
  <si>
    <t>T02</t>
    <phoneticPr fontId="2" type="noConversion"/>
  </si>
  <si>
    <t>چسباندن کاور محافظ روی گلگیرها و دربهای سمت چپ</t>
  </si>
  <si>
    <t xml:space="preserve">چسب لاکتایت </t>
  </si>
  <si>
    <t>دسته موتور - چپ</t>
  </si>
  <si>
    <t>نصب دسته موتور چپ با چسب لاکتایت</t>
  </si>
  <si>
    <t>دسته موتور - راست</t>
  </si>
  <si>
    <t xml:space="preserve">نصب دسته موتور راست با چسب لاکتایت  </t>
  </si>
  <si>
    <t xml:space="preserve">جک گازی درب موتور - راست </t>
  </si>
  <si>
    <t>SX7-8402710B</t>
  </si>
  <si>
    <t xml:space="preserve">جک گازی درب موتور - چپ </t>
  </si>
  <si>
    <t>SX7-8402711B</t>
  </si>
  <si>
    <t>نصب جک های گازی درب موتور</t>
  </si>
  <si>
    <t>تیرک بالای رادياتور</t>
  </si>
  <si>
    <t>SX5-1300-5</t>
  </si>
  <si>
    <t>دمونتاژ تیرک بالای رادياتور</t>
  </si>
  <si>
    <t>P02</t>
  </si>
  <si>
    <t>وارد کردن کیتینگ</t>
  </si>
  <si>
    <t>مجموعه پیچ سر شش گوش با واشر</t>
  </si>
  <si>
    <t>براکت نصب دسته سیم</t>
  </si>
  <si>
    <t xml:space="preserve">  نصب کورکن های درب صندوق</t>
  </si>
  <si>
    <t>مجموعه دسته سیم درب صندوق عقب</t>
  </si>
  <si>
    <t>SX5F-4002820A</t>
  </si>
  <si>
    <t>مونتاژ دسته سیم درب صندوق</t>
  </si>
  <si>
    <t>ضربه گیر درب صندوق</t>
  </si>
  <si>
    <t>SX5-6305620</t>
    <phoneticPr fontId="2" type="noConversion"/>
  </si>
  <si>
    <t xml:space="preserve">نصب ضربه گیر روی درب صندوق </t>
  </si>
  <si>
    <t>چسباندن کاور محافظ روی گلگیرها و دربهای سمت راست</t>
  </si>
  <si>
    <t>Q2580820F38</t>
  </si>
  <si>
    <t>براکت پایین نصب میل جک - راست</t>
  </si>
  <si>
    <t>براکت پایین نصب میل جک - چپ</t>
  </si>
  <si>
    <t>براکت بالایی نصب میل جک - راست</t>
  </si>
  <si>
    <t>براکت بالایی نصب میل جک - چپ</t>
  </si>
  <si>
    <t>جک برقی درب صندوق عقب - راست</t>
  </si>
  <si>
    <t>جک برقی درب صندوق عقب - چپ</t>
  </si>
  <si>
    <t>مونتاژ جک های برقی درب صندوق</t>
  </si>
  <si>
    <t>واحد کنترل الکترونیکی ایربگ</t>
  </si>
  <si>
    <t>نصب ECU ایربگ</t>
  </si>
  <si>
    <t>P01</t>
  </si>
  <si>
    <t>ضریب مصرف</t>
  </si>
  <si>
    <t>نام قطعه</t>
  </si>
  <si>
    <t>شماره فنی جایگزین</t>
  </si>
  <si>
    <t>شماره فنی</t>
  </si>
  <si>
    <t>شماره پروسه</t>
  </si>
  <si>
    <t>نام پروسه</t>
  </si>
  <si>
    <t>ایستگاه</t>
  </si>
  <si>
    <t>پست کاری</t>
  </si>
  <si>
    <t>工程作业表名称</t>
  </si>
  <si>
    <t>Job Sheet Name</t>
  </si>
  <si>
    <t>零件名称</t>
    <phoneticPr fontId="2" type="noConversion"/>
  </si>
  <si>
    <t>Part name</t>
  </si>
  <si>
    <t>DST</t>
    <phoneticPr fontId="2" type="noConversion"/>
  </si>
  <si>
    <t>车身VIN码拓印</t>
    <phoneticPr fontId="2" type="noConversion"/>
  </si>
  <si>
    <t>VIN code stamping</t>
  </si>
  <si>
    <t>车身代码拓印纸组件</t>
  </si>
  <si>
    <t>Body code stamping paper kit</t>
  </si>
  <si>
    <t>柔性标签粘贴</t>
  </si>
  <si>
    <t>Flexible label attachment</t>
  </si>
  <si>
    <t>柔性VIN码标签</t>
  </si>
  <si>
    <t>Flexible VIN code label</t>
  </si>
  <si>
    <t>Flexible label</t>
  </si>
  <si>
    <t>柔性标牌</t>
  </si>
  <si>
    <t>Flexible signage</t>
  </si>
  <si>
    <t xml:space="preserve">风行T5标识粘贴 </t>
  </si>
  <si>
    <t xml:space="preserve">Fengxing T5 logo paste </t>
  </si>
  <si>
    <t>风行T5标识</t>
  </si>
  <si>
    <t>Fengxing T5 logo</t>
  </si>
  <si>
    <t>前商标粘贴</t>
    <phoneticPr fontId="2" type="noConversion"/>
  </si>
  <si>
    <t>Front logo sticker</t>
  </si>
  <si>
    <t>劲狮前标识</t>
  </si>
  <si>
    <t>Lion logo</t>
  </si>
  <si>
    <t>蓄电池正极线支架装配</t>
    <phoneticPr fontId="4" type="noConversion"/>
  </si>
  <si>
    <t>Battery positive terminal bracket assembly</t>
  </si>
  <si>
    <t>蓄电池正极线支架</t>
    <phoneticPr fontId="4" type="noConversion"/>
  </si>
  <si>
    <t>battery positive terminal bracket</t>
  </si>
  <si>
    <t>六角法兰面螺栓</t>
    <phoneticPr fontId="4" type="noConversion"/>
  </si>
  <si>
    <t>Hexagon flange bolts</t>
  </si>
  <si>
    <t>标识警告牌装配</t>
  </si>
  <si>
    <t>Warning sign assembly</t>
  </si>
  <si>
    <t>标识警告牌</t>
  </si>
  <si>
    <t>Warning signs</t>
  </si>
  <si>
    <t>锁芯及钥匙组件分装</t>
  </si>
  <si>
    <t>Lock cylinder and key assembly are packaged separately</t>
  </si>
  <si>
    <t>锁芯及钥匙组件</t>
  </si>
  <si>
    <t>lock cylinder and key assembly</t>
  </si>
  <si>
    <t>Lock cylinder and key assembly subassembly</t>
  </si>
  <si>
    <t>限位环</t>
  </si>
  <si>
    <t>stop ring</t>
  </si>
  <si>
    <t>智能钥匙总成</t>
  </si>
  <si>
    <t>Smart key assembly</t>
  </si>
  <si>
    <t>前组合灯总成装配</t>
  </si>
  <si>
    <t>Front combination lamp assembly</t>
  </si>
  <si>
    <t>左前组合灯总成</t>
  </si>
  <si>
    <t>Left front combination lamp assembly</t>
  </si>
  <si>
    <t>右前组合灯总成</t>
  </si>
  <si>
    <t>Right front combination lamp assembly</t>
  </si>
  <si>
    <t>内六角花形盘头螺钉与平垫圈组合件</t>
  </si>
  <si>
    <t>hexalobular socket head cap screw and flat washer assembly</t>
  </si>
  <si>
    <t>后组合灯总成B装配</t>
  </si>
  <si>
    <t>Rear combination lamp assembly B</t>
  </si>
  <si>
    <t>左后组合灯总成B</t>
  </si>
  <si>
    <t>Left rear combination lamp assembly B</t>
  </si>
  <si>
    <t>Rear combination lamp assembly B assembly</t>
  </si>
  <si>
    <t>右后组合灯总成B</t>
  </si>
  <si>
    <t>Right rear combination lamp assembly B</t>
  </si>
  <si>
    <t>六角法兰面螺母</t>
  </si>
  <si>
    <t>hexagonal flange nut</t>
  </si>
  <si>
    <t>后组合灯总成C装配</t>
  </si>
  <si>
    <t>Rear combination lamp assembly C</t>
  </si>
  <si>
    <t>后组合灯总成C</t>
  </si>
  <si>
    <t>Rear combination lamp assembly C assembly</t>
  </si>
  <si>
    <t>短定位销套组件</t>
  </si>
  <si>
    <t>Short locating pin sleeve assembly</t>
  </si>
  <si>
    <t>左后组合灯总成（A灯）装配</t>
  </si>
  <si>
    <t>Left rear combination lamp assembly (A lamp) assembly</t>
  </si>
  <si>
    <t>下卡扣组件</t>
  </si>
  <si>
    <t>lower snap-in assembly</t>
  </si>
  <si>
    <t>后组合灯定位卡扣</t>
  </si>
  <si>
    <t>rear combination lamp positioning clip</t>
  </si>
  <si>
    <t>左后组合灯总成A</t>
  </si>
  <si>
    <t>Left rear combination lamp assembly A</t>
  </si>
  <si>
    <t>Left rear combination lamp assembly (lamp A) assembly</t>
  </si>
  <si>
    <t>右后组合灯总成A</t>
  </si>
  <si>
    <t>Right rear combination lamp assembly A</t>
  </si>
  <si>
    <t>hexagon socket button head screw and flat washer assembly</t>
  </si>
  <si>
    <t>门灯开关装配</t>
  </si>
  <si>
    <t>Door light switch assembly</t>
  </si>
  <si>
    <t>门灯开关</t>
  </si>
  <si>
    <t>door light switch</t>
  </si>
  <si>
    <t>十字槽盘头自攻螺钉</t>
  </si>
  <si>
    <t>Phillips pan head self-tapping screw</t>
  </si>
  <si>
    <t>ESP焊接支架装配</t>
  </si>
  <si>
    <t>ESP welding bracket assembly</t>
  </si>
  <si>
    <t>ESP焊接支架总成</t>
  </si>
  <si>
    <t>液压控制单元模块分装</t>
  </si>
  <si>
    <t>Hydraulic control unit module subassembly</t>
  </si>
  <si>
    <t>ESP液控单元</t>
  </si>
  <si>
    <t>ESP hydraulic control unit</t>
  </si>
  <si>
    <t>hydraulic control unit module subassembly</t>
  </si>
  <si>
    <t>ESP制动钢管RL前段</t>
  </si>
  <si>
    <t>ESP brake pipe RL front section</t>
  </si>
  <si>
    <t>ESP制动钢管FR</t>
  </si>
  <si>
    <t>ESP Brake pipe FR</t>
  </si>
  <si>
    <t>ESP制动钢管FL</t>
  </si>
  <si>
    <t>ESP brake pipe FL</t>
  </si>
  <si>
    <t>ESP制动钢管RR前段</t>
  </si>
  <si>
    <t>ESP brake pipe RR front section</t>
  </si>
  <si>
    <t>液压控制单元模块分装</t>
    <phoneticPr fontId="2" type="noConversion"/>
  </si>
  <si>
    <t>三管卡</t>
  </si>
  <si>
    <t>three-pipe card</t>
  </si>
  <si>
    <t>四孔管夹</t>
  </si>
  <si>
    <t>four-hole pipe clamp</t>
  </si>
  <si>
    <t>三孔管夹</t>
  </si>
  <si>
    <t>three-hole pipe clamp</t>
  </si>
  <si>
    <t>双层管夹</t>
  </si>
  <si>
    <t>double pipe clamp</t>
  </si>
  <si>
    <t>双管卡</t>
  </si>
  <si>
    <t>dual-tube card</t>
  </si>
  <si>
    <t>ESP制动钢管MS</t>
  </si>
  <si>
    <t>ESP brake pipe MS</t>
  </si>
  <si>
    <t>ESP制动钢管MP</t>
  </si>
  <si>
    <t>ESP brake pipe MP</t>
  </si>
  <si>
    <t>ESP组合模块</t>
    <phoneticPr fontId="2" type="noConversion"/>
  </si>
  <si>
    <t>ESP combination module</t>
  </si>
  <si>
    <t>制动连接钢管装配</t>
  </si>
  <si>
    <t>Brake connection pipe assembly</t>
  </si>
  <si>
    <t>制动连接钢管</t>
  </si>
  <si>
    <t>brake connection steel pipe</t>
  </si>
  <si>
    <t>Brake connection steel pipe assembly</t>
  </si>
  <si>
    <t>单管夹</t>
  </si>
  <si>
    <t>Single pipe clamp</t>
  </si>
  <si>
    <t>brake connection steel pipe assembly</t>
  </si>
  <si>
    <t>管夹</t>
  </si>
  <si>
    <t>pipe clamp</t>
  </si>
  <si>
    <t>六角法兰面螺栓</t>
  </si>
  <si>
    <t>单管卡</t>
  </si>
  <si>
    <t>制动连接钢管2</t>
  </si>
  <si>
    <t>Brake connection steel pipe 2</t>
  </si>
  <si>
    <t>制动连接钢管1</t>
  </si>
  <si>
    <t>Brake connection steel pipe 1</t>
  </si>
  <si>
    <t>软管卡片</t>
  </si>
  <si>
    <t>Hose card</t>
  </si>
  <si>
    <t>Brake connection Steel pipe assembly</t>
  </si>
  <si>
    <t>Double pipe clamp</t>
  </si>
  <si>
    <t>压差传感器组合模块分装</t>
  </si>
  <si>
    <t>Differential pressure sensor combination module subassembly</t>
  </si>
  <si>
    <t>压差传感器支架</t>
    <phoneticPr fontId="4" type="noConversion"/>
  </si>
  <si>
    <t>Pressure difference sensor bracket</t>
  </si>
  <si>
    <t>压差传感器</t>
    <phoneticPr fontId="4" type="noConversion"/>
  </si>
  <si>
    <t>differential pressure sensor</t>
  </si>
  <si>
    <t>Differential pressure sensor combined module subassembly</t>
  </si>
  <si>
    <t>Differential pressure sensor assembly module subassembly</t>
  </si>
  <si>
    <t>压差传感器组合模块</t>
  </si>
  <si>
    <t>differential pressure sensor combination module</t>
  </si>
  <si>
    <t>压差传感器组合模块装配</t>
    <phoneticPr fontId="4" type="noConversion"/>
  </si>
  <si>
    <t>Differential pressure sensor combination module assembly</t>
  </si>
  <si>
    <t>Differential pressure sensor combination module</t>
  </si>
  <si>
    <t>Differential pressure sensor assembly</t>
  </si>
  <si>
    <t>六角法兰螺栓</t>
    <phoneticPr fontId="2" type="noConversion"/>
  </si>
  <si>
    <t>Hexagonal flange bolts</t>
  </si>
  <si>
    <t>前支柱模块分装</t>
  </si>
  <si>
    <t>Front strut module subassembly</t>
  </si>
  <si>
    <t>前支柱连接转向节螺栓</t>
  </si>
  <si>
    <t>Front strut connecting knuckle bolt</t>
  </si>
  <si>
    <t>Front pillar module subassembly</t>
  </si>
  <si>
    <t>前支柱连接转向节螺母</t>
  </si>
  <si>
    <t>Front strut connecting knuckle nut</t>
  </si>
  <si>
    <t>左前轴带卡钳总成</t>
    <phoneticPr fontId="4" type="noConversion"/>
  </si>
  <si>
    <t>Left front axle with caliper assembly</t>
  </si>
  <si>
    <t>左前悬架支柱总成</t>
  </si>
  <si>
    <t>left front suspension strut assembly</t>
  </si>
  <si>
    <t>左前支柱线边模块</t>
    <phoneticPr fontId="4" type="noConversion"/>
  </si>
  <si>
    <t>left front pillar side module</t>
  </si>
  <si>
    <t>右前轴带卡钳总成</t>
    <phoneticPr fontId="4" type="noConversion"/>
  </si>
  <si>
    <t>right front axle with caliper assembly</t>
  </si>
  <si>
    <t>右前悬架支柱总成</t>
  </si>
  <si>
    <t>Right front suspension member assembly</t>
  </si>
  <si>
    <t>右前支柱线边模块</t>
    <phoneticPr fontId="4" type="noConversion"/>
  </si>
  <si>
    <t>Right front pillar side module</t>
  </si>
  <si>
    <t>前支柱模块装配</t>
  </si>
  <si>
    <t>Front pillar module assembly</t>
  </si>
  <si>
    <t>左前支柱组合模块</t>
    <phoneticPr fontId="4" type="noConversion"/>
  </si>
  <si>
    <t>Left front pillar module</t>
  </si>
  <si>
    <t>右前支柱组合模块</t>
    <phoneticPr fontId="4" type="noConversion"/>
  </si>
  <si>
    <t>Right front pillar assembly</t>
  </si>
  <si>
    <t>Front strut module assembly</t>
  </si>
  <si>
    <t>前悬架支柱安装螺栓</t>
    <phoneticPr fontId="4" type="noConversion"/>
  </si>
  <si>
    <t>Front suspension strut mounting bolts</t>
  </si>
  <si>
    <t>软管卡片</t>
    <phoneticPr fontId="4" type="noConversion"/>
  </si>
  <si>
    <t>前挡风玻璃模块组合</t>
  </si>
  <si>
    <t>Front windshield module assembly</t>
  </si>
  <si>
    <t>前挡风玻璃总成</t>
    <phoneticPr fontId="4" type="noConversion"/>
  </si>
  <si>
    <t>front windshield assembly</t>
  </si>
  <si>
    <t>前挡风玻璃总成</t>
  </si>
  <si>
    <t>Front windshield module combination</t>
  </si>
  <si>
    <t>驾驶辅助多功能摄像头</t>
  </si>
  <si>
    <t>Driver assistance Multi-function camera</t>
  </si>
  <si>
    <t>雨量光雾气传感器</t>
  </si>
  <si>
    <t>Rainlight sensor</t>
  </si>
  <si>
    <t>行车记录仪</t>
  </si>
  <si>
    <t>dashcam</t>
  </si>
  <si>
    <t>前挡风玻璃压条</t>
  </si>
  <si>
    <t>front windshield molding</t>
  </si>
  <si>
    <t>前挡风玻璃组合模块</t>
    <phoneticPr fontId="4" type="noConversion"/>
  </si>
  <si>
    <t>前挡风玻璃模块装配</t>
  </si>
  <si>
    <t>front windshield module assembly</t>
  </si>
  <si>
    <t>内后视镜模块装配</t>
  </si>
  <si>
    <t>Interior rear-view mirror module assembly</t>
  </si>
  <si>
    <t>内后视镜总成</t>
    <phoneticPr fontId="4" type="noConversion"/>
  </si>
  <si>
    <t>inner rear-view mirror assembly</t>
  </si>
  <si>
    <t>Interior rearview mirror module assembly</t>
  </si>
  <si>
    <t>Inner rear-view mirror module assembly</t>
  </si>
  <si>
    <t>内后视镜盖板</t>
  </si>
  <si>
    <t>inner rear-view mirror cover</t>
  </si>
  <si>
    <t>盖板堵盖</t>
  </si>
  <si>
    <t>cover plate cover</t>
  </si>
  <si>
    <t>后侧三角窗玻璃总成装配</t>
  </si>
  <si>
    <t>Rear triangular window glass assembly</t>
  </si>
  <si>
    <t>左后三角窗玻璃总成(有亮条)</t>
  </si>
  <si>
    <t>Left rear triangular window glass assembly (with bright strip)</t>
  </si>
  <si>
    <t>Rear side triangle window glass assembly</t>
  </si>
  <si>
    <t>左后三角窗玻璃总成</t>
    <phoneticPr fontId="4" type="noConversion"/>
  </si>
  <si>
    <t>Left rear triangular window glass assembly</t>
  </si>
  <si>
    <t>rear side triangular window glass assembly</t>
  </si>
  <si>
    <t>右后三角窗玻璃总成(有亮条)</t>
  </si>
  <si>
    <t>Right rear triangular window glass assembly (with bright strip)</t>
  </si>
  <si>
    <t>右后三角窗玻璃总成</t>
  </si>
  <si>
    <t>Right rear triangular window glass assembly</t>
  </si>
  <si>
    <t>后雨刮玻璃密封圈装配</t>
  </si>
  <si>
    <t>Rear wiper glass seal assembly</t>
  </si>
  <si>
    <t>后雨刮玻璃密封圈</t>
  </si>
  <si>
    <t>Rear wiper glass seal</t>
  </si>
  <si>
    <t>后挡玻璃装配</t>
  </si>
  <si>
    <t>rear windshield assembly</t>
  </si>
  <si>
    <t>后挡风玻璃总成</t>
    <phoneticPr fontId="4" type="noConversion"/>
  </si>
  <si>
    <t>后挡风玻璃总成</t>
  </si>
  <si>
    <t>前风窗玻璃下挡条</t>
  </si>
  <si>
    <t>Front windshield lower molding</t>
  </si>
  <si>
    <t>rear window assembly</t>
  </si>
  <si>
    <t>后挡风玻璃线边模块</t>
    <phoneticPr fontId="4" type="noConversion"/>
  </si>
  <si>
    <t>rear windshield line edge module</t>
  </si>
  <si>
    <t>前车门玻璃总成装配</t>
  </si>
  <si>
    <t>Front door glass assembly</t>
  </si>
  <si>
    <t>左前车门玻璃总成（绿玻）</t>
  </si>
  <si>
    <t>Left front door glass assembly (green glass)</t>
  </si>
  <si>
    <t>右前车门玻璃总成（绿玻）</t>
  </si>
  <si>
    <t>Right front door glass assembly (green glass)</t>
  </si>
  <si>
    <t>后车门玻璃总成装配</t>
  </si>
  <si>
    <t>rear door glass assembly</t>
  </si>
  <si>
    <t>左后车门玻璃总成</t>
    <phoneticPr fontId="2" type="noConversion"/>
  </si>
  <si>
    <t>Left rear door glass assembly</t>
  </si>
  <si>
    <t>Rear door glass assembly</t>
  </si>
  <si>
    <t>右后车门玻璃总成</t>
    <phoneticPr fontId="2" type="noConversion"/>
  </si>
  <si>
    <t>Right rear door glass assembly</t>
  </si>
  <si>
    <t>前舱流水槽模块分装</t>
  </si>
  <si>
    <t>Front compartment sink module subassembly</t>
  </si>
  <si>
    <t>前舱流水槽总成</t>
  </si>
  <si>
    <t>front compartment sink assembly</t>
  </si>
  <si>
    <t>前围外上隔热垫</t>
  </si>
  <si>
    <t>insulation pad on the outer front wall</t>
  </si>
  <si>
    <t>Front compartment water trough module subassembly</t>
  </si>
  <si>
    <t>塑料螺母</t>
  </si>
  <si>
    <t>plastic nuts</t>
  </si>
  <si>
    <t>流水槽组合模块（一）</t>
  </si>
  <si>
    <t>sink module (1)</t>
  </si>
  <si>
    <t>前舱流水槽模块装配</t>
  </si>
  <si>
    <t>Front compartment sink module assembly</t>
  </si>
  <si>
    <t>Sink module (1)</t>
  </si>
  <si>
    <t>Front compartment water trough module assembly</t>
  </si>
  <si>
    <t>前主雨刮臂模块分装</t>
  </si>
  <si>
    <t>Front main wiper arm module subassembly</t>
  </si>
  <si>
    <t>前雨刮主刮片总成</t>
  </si>
  <si>
    <t>Front wiper main blade assembly</t>
  </si>
  <si>
    <t>前雨刮主刮臂总成</t>
  </si>
  <si>
    <t>Front wiper main arm assembly</t>
  </si>
  <si>
    <t>前主雨刮臂模块（二）</t>
  </si>
  <si>
    <t>Front main wiper arm module (2)</t>
  </si>
  <si>
    <t>前副雨刮臂模块分装</t>
  </si>
  <si>
    <t>Front secondary wiper arm module subassembly</t>
  </si>
  <si>
    <t>前雨刮副刮片总成</t>
  </si>
  <si>
    <t>front wiper blade assembly</t>
  </si>
  <si>
    <t>Front wiper arm module subassembly</t>
  </si>
  <si>
    <t>前雨刮副刮臂总成</t>
  </si>
  <si>
    <t>Front wiper arm assembly</t>
  </si>
  <si>
    <t>前副雨刮臂模块（二）</t>
  </si>
  <si>
    <t>front wiper arm module (2)</t>
  </si>
  <si>
    <t>前雨刮臂模块装配</t>
  </si>
  <si>
    <t>Front wiper arm module assembly</t>
  </si>
  <si>
    <t>Front wiper arm module (2)</t>
  </si>
  <si>
    <t>雨刮臂紧固螺母</t>
  </si>
  <si>
    <t>wiper arm fastening nut</t>
  </si>
  <si>
    <t>装饰罩</t>
  </si>
  <si>
    <t>decorative cover</t>
  </si>
  <si>
    <t>前雨刮连杆机构总成装配</t>
  </si>
  <si>
    <t>Front wiper linkage assembly</t>
  </si>
  <si>
    <t>前雨刮连杆机构总成</t>
  </si>
  <si>
    <t>六角组合螺栓</t>
  </si>
  <si>
    <t>Hexagon combination bolt</t>
  </si>
  <si>
    <t>后雨刮电机总成（带支架）装配</t>
  </si>
  <si>
    <t>Rear wiper motor assembly (with bracket) assembly</t>
  </si>
  <si>
    <t>后雨刮电机总成（带支架）</t>
  </si>
  <si>
    <t>Rear wiper motor assembly (with bracket)</t>
  </si>
  <si>
    <t>Rear wiper motor assembly (with bracket) Assembly</t>
  </si>
  <si>
    <t>后雨刮刮臂总成装配</t>
  </si>
  <si>
    <t>Rear wiper blade assembly</t>
  </si>
  <si>
    <t>后雨刮刮臂及刮片总成</t>
  </si>
  <si>
    <t>Rear wiper arm and blade assembly</t>
  </si>
  <si>
    <t>Rear wiper arm assembly</t>
  </si>
  <si>
    <t>雨刮盖板模块分装</t>
  </si>
  <si>
    <t>Wiper cover module subassembly</t>
  </si>
  <si>
    <t>洗涤器前喷嘴</t>
  </si>
  <si>
    <t>Washer front nozzle</t>
  </si>
  <si>
    <t>雨刮装饰盖板总成</t>
  </si>
  <si>
    <t>wiper decorative cover assembly</t>
  </si>
  <si>
    <t>前洗涤器喷水管总成</t>
  </si>
  <si>
    <t>Front washer nozzle assembly</t>
  </si>
  <si>
    <t>Wiper blade module subassembly</t>
  </si>
  <si>
    <t>雨刮盖板组合模块(一)</t>
  </si>
  <si>
    <t>Wiper cover module (1)</t>
  </si>
  <si>
    <t>雨刮盖板组合模块装配</t>
  </si>
  <si>
    <t>Wiper blade module assembly</t>
  </si>
  <si>
    <t>Wiper cover assembly module</t>
  </si>
  <si>
    <t>子母扣</t>
  </si>
  <si>
    <t>Snap fasteners</t>
  </si>
  <si>
    <t>雨刮盖板左右上装饰块装配</t>
  </si>
  <si>
    <t>Wiper cover upper left and right decorative blocks Assembly</t>
  </si>
  <si>
    <t>雨刮盖板左上装饰块</t>
  </si>
  <si>
    <t>wiper cover left upper decorative block</t>
  </si>
  <si>
    <t>Wiper cover left and right upper trim assembly</t>
  </si>
  <si>
    <t>雨刮盖板右上装饰块</t>
  </si>
  <si>
    <t>Wiper cover upper right decorative block</t>
  </si>
  <si>
    <t>挡气块装配</t>
  </si>
  <si>
    <t>Air dam assembly</t>
  </si>
  <si>
    <t>机舱左挡气块总成</t>
  </si>
  <si>
    <t>cabin left baffle assembly</t>
  </si>
  <si>
    <t>机舱右挡气块总成</t>
  </si>
  <si>
    <t>Right air dam assembly</t>
  </si>
  <si>
    <t>蓄电池拉杆组合</t>
  </si>
  <si>
    <t>Battery tie rod assembly</t>
  </si>
  <si>
    <t>蓄电池固定拉杆</t>
  </si>
  <si>
    <t>battery retaining rod</t>
  </si>
  <si>
    <t>Battery rod combination</t>
  </si>
  <si>
    <t>Hexagonal flange nut</t>
  </si>
  <si>
    <t>battery rod combination</t>
  </si>
  <si>
    <t>蓄电池拉杆与螺母组合模块（一）</t>
  </si>
  <si>
    <t>Battery rod and nut combination module (1)</t>
  </si>
  <si>
    <t>蓄电池安装</t>
  </si>
  <si>
    <t>Battery installation</t>
  </si>
  <si>
    <t>蓄电池</t>
  </si>
  <si>
    <t>battery</t>
  </si>
  <si>
    <t>Battery mounting</t>
  </si>
  <si>
    <t>蓄电池压板</t>
  </si>
  <si>
    <t>battery clamps</t>
  </si>
  <si>
    <t>蓄电池隔热罩装配</t>
  </si>
  <si>
    <t>Battery thermal shield assembly</t>
  </si>
  <si>
    <t>蓄电池隔热罩</t>
  </si>
  <si>
    <t>battery thermal shield</t>
  </si>
  <si>
    <t>背门牌照装饰板模块装配</t>
  </si>
  <si>
    <t>Back door license plate trim module assembly</t>
  </si>
  <si>
    <t>后牌照饰板总成模块</t>
    <phoneticPr fontId="4" type="noConversion"/>
  </si>
  <si>
    <t>Rear license plate trim module</t>
  </si>
  <si>
    <t>Hex flange nut</t>
  </si>
  <si>
    <t>Back door nameplate trim module assembly</t>
  </si>
  <si>
    <t>十字槽盘头自攻螺钉和大垫圈组合件</t>
  </si>
  <si>
    <t>Cross recessed pan head self-tapping screw and large washer assembly</t>
  </si>
  <si>
    <t>顶棚模块总成装配</t>
  </si>
  <si>
    <t>Ceiling module assembly</t>
  </si>
  <si>
    <t>蘑菇搭扣4</t>
  </si>
  <si>
    <t>Velcro 4</t>
  </si>
  <si>
    <t>ceiling module assembly</t>
  </si>
  <si>
    <t>顶棚组合模块</t>
    <phoneticPr fontId="4" type="noConversion"/>
  </si>
  <si>
    <t xml:space="preserve">塑料螺母 </t>
  </si>
  <si>
    <t xml:space="preserve">plastic nut </t>
  </si>
  <si>
    <t>叶片型卡扣</t>
  </si>
  <si>
    <t>blade-type snap</t>
  </si>
  <si>
    <t>十字槽大半圆头自攻螺钉</t>
  </si>
  <si>
    <t>Cross recessed large pan head tapping screw</t>
  </si>
  <si>
    <t>全景天窗顶棚总成装配</t>
  </si>
  <si>
    <t>Panoramic sunroof ceiling assembly</t>
  </si>
  <si>
    <t>ceiling module</t>
  </si>
  <si>
    <t>Panoramic skylight ceiling assembly</t>
  </si>
  <si>
    <t>Blade-type snap</t>
  </si>
  <si>
    <t>Phillips pan head self-tapping screws</t>
  </si>
  <si>
    <t>遮阳板总成装配</t>
  </si>
  <si>
    <t>Sun visor assembly</t>
  </si>
  <si>
    <t>遮阳板挂钩</t>
  </si>
  <si>
    <t>sun visor hook</t>
  </si>
  <si>
    <t>sun visor assembly</t>
  </si>
  <si>
    <t>左遮阳板总成</t>
  </si>
  <si>
    <t>Left sun visor assembly</t>
  </si>
  <si>
    <t>右遮阳板总成</t>
  </si>
  <si>
    <t>Right sun visor assembly</t>
  </si>
  <si>
    <t>Phillips head self-tapping screws with large half-round head</t>
  </si>
  <si>
    <t>车顶拉手装配</t>
  </si>
  <si>
    <t>Roof handle assembly</t>
  </si>
  <si>
    <t>车顶拉手</t>
  </si>
  <si>
    <t>roof handle</t>
  </si>
  <si>
    <t>前保险杠模块装配</t>
  </si>
  <si>
    <t>Front bumper module assembly</t>
  </si>
  <si>
    <t>前保险杠总成组合模块</t>
    <phoneticPr fontId="4" type="noConversion"/>
  </si>
  <si>
    <t>Front bumper assembly combination module</t>
  </si>
  <si>
    <t>六角头螺栓、弹簧垫圈和平垫圈组合件</t>
  </si>
  <si>
    <t>hexagon head bolt, spring washer and flat washer assembly</t>
  </si>
  <si>
    <t>M6螺母</t>
  </si>
  <si>
    <t>M6 nuts</t>
  </si>
  <si>
    <t>后保险杠模块装配</t>
  </si>
  <si>
    <t>rear bumper module assembly</t>
  </si>
  <si>
    <t>后保险杠总成组合模块</t>
    <phoneticPr fontId="4" type="noConversion"/>
  </si>
  <si>
    <t>rear bumper assembly combined module</t>
  </si>
  <si>
    <t>Rear bumper module assembly</t>
  </si>
  <si>
    <t>塑料螺钉座</t>
  </si>
  <si>
    <t>plastic screw holder</t>
  </si>
  <si>
    <t>十字槽大半圆头自攻钉</t>
  </si>
  <si>
    <t>cross recessed large head tapping screw</t>
  </si>
  <si>
    <t>后保险杠螺钉堵盖</t>
  </si>
  <si>
    <t>rear bumper screw plug</t>
  </si>
  <si>
    <t>后保险杠侧围支架装配</t>
  </si>
  <si>
    <t>rear bumper side member bracket assembly</t>
  </si>
  <si>
    <t>后保险杠左侧围支架</t>
  </si>
  <si>
    <t>Left rear bumper side member</t>
  </si>
  <si>
    <t>rear bumper side panel bracket assembly</t>
  </si>
  <si>
    <t>后保险杠右侧围支架</t>
  </si>
  <si>
    <t>Right side panel of rear bumper</t>
  </si>
  <si>
    <t>rear bumper side wall bracket assembly</t>
  </si>
  <si>
    <t>A柱上护板总成装配</t>
  </si>
  <si>
    <t>A-pillar upper cover assembly</t>
  </si>
  <si>
    <t>左A柱上护板扬声器模块</t>
    <phoneticPr fontId="4" type="noConversion"/>
  </si>
  <si>
    <t>Left A-pillar speaker module</t>
  </si>
  <si>
    <t>右A柱上护板扬声器模块</t>
    <phoneticPr fontId="4" type="noConversion"/>
  </si>
  <si>
    <t>Right A-pillar speaker module</t>
  </si>
  <si>
    <t>A-pillar trim assembly</t>
  </si>
  <si>
    <t>Right A-pillar upper shield Speaker module</t>
  </si>
  <si>
    <t>左A柱下护板总成装配</t>
  </si>
  <si>
    <t>Left A-pillar lower shield assembly</t>
  </si>
  <si>
    <t>左A柱下护板总成</t>
  </si>
  <si>
    <t>右A柱下护板总成装配</t>
  </si>
  <si>
    <t>Right A-pillar lower shield assembly</t>
  </si>
  <si>
    <t>右A柱下护板总成</t>
  </si>
  <si>
    <t>plastic nut</t>
  </si>
  <si>
    <t>高调器过渡滑板装配</t>
  </si>
  <si>
    <t>transducer transition slide assembly</t>
  </si>
  <si>
    <t>高调器过渡滑板</t>
  </si>
  <si>
    <t>Tuner transition skateboard</t>
  </si>
  <si>
    <t>B柱上护板总成装配</t>
  </si>
  <si>
    <t>B-pillar upper guard assembly</t>
  </si>
  <si>
    <t>B-pillar upper shield assembly</t>
  </si>
  <si>
    <t>左B柱上护板总成</t>
  </si>
  <si>
    <t>Left B-pillar upper shield assembly</t>
  </si>
  <si>
    <t>右B柱上护板总成</t>
  </si>
  <si>
    <t>Right B-pillar upper shield assembly</t>
  </si>
  <si>
    <t>B-pillar upper cover assembly</t>
  </si>
  <si>
    <t>Cross recessed large head tapping screw</t>
  </si>
  <si>
    <t>B柱上护板堵盖装配</t>
  </si>
  <si>
    <t>左B柱上护板堵盖</t>
  </si>
  <si>
    <t>Left B-pillar upper cover</t>
  </si>
  <si>
    <t>左B柱上护板堵盖</t>
    <phoneticPr fontId="4" type="noConversion"/>
  </si>
  <si>
    <t>Cover for left B-pillar upper shield</t>
  </si>
  <si>
    <t>右B柱上护板堵盖</t>
  </si>
  <si>
    <t>Right B-pillar upper cover</t>
  </si>
  <si>
    <t>B柱下护板总成装配</t>
  </si>
  <si>
    <t>B-pillar lower shield assembly</t>
  </si>
  <si>
    <t>左B柱下护板总成</t>
  </si>
  <si>
    <t>Left B-pillar lower shield assembly</t>
  </si>
  <si>
    <t>右B柱下护板总成</t>
  </si>
  <si>
    <t>Right-hand lower B-pillar trim assembly</t>
  </si>
  <si>
    <t>C柱上护板总成装配</t>
  </si>
  <si>
    <t>C-pillar upper shield assembly</t>
  </si>
  <si>
    <t>左C柱上护板总成</t>
  </si>
  <si>
    <t>Left C-pillar upper shield assembly</t>
  </si>
  <si>
    <t>右C柱上护板总成</t>
  </si>
  <si>
    <t>Right C-pillar upper shield assembly</t>
  </si>
  <si>
    <t>C-pillar upper cover assembly</t>
  </si>
  <si>
    <t>左C柱上护板堵盖</t>
  </si>
  <si>
    <t>Left C-pillar upper cover plug</t>
  </si>
  <si>
    <t>左C柱上护板堵盖</t>
    <phoneticPr fontId="4" type="noConversion"/>
  </si>
  <si>
    <t>右C柱上护板堵盖</t>
  </si>
  <si>
    <t>Right C-pillar upper cover plug</t>
  </si>
  <si>
    <t>C柱下护板总成装配</t>
  </si>
  <si>
    <t>C-pillar lower shield assembly</t>
  </si>
  <si>
    <t>右C柱下护板总成</t>
  </si>
  <si>
    <t>Right-hand lower C-pillar trim</t>
  </si>
  <si>
    <t>左C柱下护板组合模块</t>
    <phoneticPr fontId="4" type="noConversion"/>
  </si>
  <si>
    <t>Left C-pillar lower shield assembly module</t>
  </si>
  <si>
    <t>十字槽盘头螺钉</t>
  </si>
  <si>
    <t>Phillips pan head screw</t>
  </si>
  <si>
    <t>C柱座椅盖板装配</t>
  </si>
  <si>
    <t>C-pillar seat cover assembly</t>
  </si>
  <si>
    <t>左C柱座椅盖板</t>
  </si>
  <si>
    <t>Left C-pillar seat cover</t>
  </si>
  <si>
    <t>右C柱座椅盖板</t>
  </si>
  <si>
    <t>Right C-pillar seat cover</t>
  </si>
  <si>
    <t>座椅锁钩盖板装配</t>
  </si>
  <si>
    <t>Seat lock hook cover assembly</t>
  </si>
  <si>
    <t>左C柱锁扣盖板</t>
    <phoneticPr fontId="4" type="noConversion"/>
  </si>
  <si>
    <t>Left C-pillar lock cover</t>
  </si>
  <si>
    <t>右C柱锁扣盖板</t>
  </si>
  <si>
    <t>Right C-pillar lock cover</t>
  </si>
  <si>
    <t>C柱后储物盒装配</t>
  </si>
  <si>
    <t>C-pillar rear storage box assembly</t>
  </si>
  <si>
    <t>左C柱后储物盒</t>
  </si>
  <si>
    <t>Left C-pillar rear storage box</t>
  </si>
  <si>
    <t>右C柱后储物盒</t>
  </si>
  <si>
    <t>Right-hand rear C-pillar storage box</t>
  </si>
  <si>
    <t>前门护板组合模块装配</t>
    <phoneticPr fontId="2" type="noConversion"/>
  </si>
  <si>
    <t>Front door guard assembly module</t>
  </si>
  <si>
    <t>前门护板组合模块装配</t>
  </si>
  <si>
    <t>Front door guard assembly</t>
  </si>
  <si>
    <t>左前门护板组合模块</t>
    <phoneticPr fontId="4" type="noConversion"/>
  </si>
  <si>
    <t>Left front door guard combination module</t>
  </si>
  <si>
    <t>右前门护板组合模块</t>
    <phoneticPr fontId="4" type="noConversion"/>
  </si>
  <si>
    <t>Right front door guard module</t>
  </si>
  <si>
    <t>Front door guard module assembly</t>
  </si>
  <si>
    <t>十字槽盘头螺钉和平垫圈组合件</t>
  </si>
  <si>
    <t>Cross recessed pan head screw and flat washer assembly</t>
  </si>
  <si>
    <t>Phillips head screws with large round head</t>
  </si>
  <si>
    <t>前门拉手下安装点堵盖</t>
  </si>
  <si>
    <t>Cover for the mounting point under the front door pull</t>
  </si>
  <si>
    <t>后门护板组合模块装配</t>
  </si>
  <si>
    <t>Rear panel assembly module</t>
  </si>
  <si>
    <t>rear door panel assembly</t>
  </si>
  <si>
    <t>左后门护板组合模块</t>
    <phoneticPr fontId="4" type="noConversion"/>
  </si>
  <si>
    <t>Left rear door panel assembly</t>
  </si>
  <si>
    <t>Rear door guard assembly</t>
  </si>
  <si>
    <t>右后门护板组合模块</t>
    <phoneticPr fontId="4" type="noConversion"/>
  </si>
  <si>
    <t>Right rear door panel assembly</t>
  </si>
  <si>
    <t>Rear door guard assembly module</t>
  </si>
  <si>
    <t>左后门拉手下安装点堵盖</t>
  </si>
  <si>
    <t>Left rear door pull-down installation point cover</t>
  </si>
  <si>
    <t>右后门拉手下安装点堵盖</t>
  </si>
  <si>
    <t>Right rear door handle lower mounting point cover</t>
  </si>
  <si>
    <t>车门拉手外盖板装配</t>
  </si>
  <si>
    <t>Cover for door handle assembly</t>
  </si>
  <si>
    <t>左前门拉手外盖板</t>
  </si>
  <si>
    <t>left front door handle cover</t>
  </si>
  <si>
    <t>Door handle cover assembly</t>
  </si>
  <si>
    <t>右前门拉手外盖板</t>
  </si>
  <si>
    <t>Right front door handle cover</t>
  </si>
  <si>
    <t>左后门拉手外盖板</t>
  </si>
  <si>
    <t>Left rear door handle cover</t>
  </si>
  <si>
    <t>右后门拉手外盖板</t>
  </si>
  <si>
    <t>Right rear door handle cover</t>
  </si>
  <si>
    <t>车身裙板装配</t>
  </si>
  <si>
    <t>Body side panel assembly</t>
  </si>
  <si>
    <t>方形塑料螺钉座</t>
  </si>
  <si>
    <t>square plastic screw holder</t>
  </si>
  <si>
    <t>左车身裙板总成</t>
    <phoneticPr fontId="4" type="noConversion"/>
  </si>
  <si>
    <t>left body side panel assembly</t>
  </si>
  <si>
    <t>右车身裙板总成</t>
  </si>
  <si>
    <t>Right body side panel assembly</t>
  </si>
  <si>
    <t>自攻钉</t>
  </si>
  <si>
    <t>with self-tapping screws</t>
  </si>
  <si>
    <t>前门外装饰板装配</t>
  </si>
  <si>
    <t>assembly of front door outer trim</t>
  </si>
  <si>
    <t>左前门外装饰板</t>
  </si>
  <si>
    <t>left front door outer trim</t>
  </si>
  <si>
    <t>Front door outer trim assembly</t>
  </si>
  <si>
    <t>右前门外装饰板</t>
  </si>
  <si>
    <t>Right front door outer trim</t>
  </si>
  <si>
    <t>后门外装饰板装配</t>
  </si>
  <si>
    <t>Rear door trim panel assembly</t>
  </si>
  <si>
    <t>左后门外装饰板</t>
  </si>
  <si>
    <t>Left rear outer door trim</t>
  </si>
  <si>
    <t>Rear door trim assembly</t>
  </si>
  <si>
    <t>右后门外装饰板</t>
  </si>
  <si>
    <t>Decorative panel on the right rear door</t>
  </si>
  <si>
    <t>前门槛护板装配</t>
  </si>
  <si>
    <t>Front sill guard assembly</t>
  </si>
  <si>
    <t>左前门门槛总成</t>
  </si>
  <si>
    <t>Left front door sill assembly</t>
  </si>
  <si>
    <t>右前门门槛总成</t>
  </si>
  <si>
    <t>Right front door sill assembly</t>
  </si>
  <si>
    <t>后门槛护板装配</t>
  </si>
  <si>
    <t>Rear sill guard assembly</t>
  </si>
  <si>
    <t>左后门门槛总成</t>
  </si>
  <si>
    <t>Left rear door sill assembly</t>
  </si>
  <si>
    <t>右后门门槛总成</t>
  </si>
  <si>
    <t>Right rear door sill assembly</t>
  </si>
  <si>
    <t>后背门槛护板总成装配</t>
  </si>
  <si>
    <t>Rear sill trim assembly</t>
  </si>
  <si>
    <t>尾门门槛总成</t>
  </si>
  <si>
    <t>Tailgate sill assembly</t>
  </si>
  <si>
    <t>Snap fastener</t>
  </si>
  <si>
    <t>后背门上侧护板总成装配</t>
  </si>
  <si>
    <t>Upper back door side panel assembly</t>
  </si>
  <si>
    <t>后背门上侧护板总成</t>
    <phoneticPr fontId="2" type="noConversion"/>
  </si>
  <si>
    <t>Upper rear door side panel assembly</t>
  </si>
  <si>
    <t>后背门侧护板总成装配</t>
  </si>
  <si>
    <t>Back door side panel assembly</t>
  </si>
  <si>
    <t>后背门左侧护板总成</t>
  </si>
  <si>
    <t>rear door left side panel assembly</t>
  </si>
  <si>
    <t>后背门右侧护板总成</t>
  </si>
  <si>
    <t>Right-hand side panel assembly for the back door</t>
  </si>
  <si>
    <t>塑料螺母</t>
    <phoneticPr fontId="4" type="noConversion"/>
  </si>
  <si>
    <t>rear door side panel assembly</t>
  </si>
  <si>
    <t>十字槽大半圆头自攻螺钉</t>
    <phoneticPr fontId="4" type="noConversion"/>
  </si>
  <si>
    <t>后背门下护板总成装配</t>
  </si>
  <si>
    <t>Back door lower guard plate assembly</t>
  </si>
  <si>
    <t>后背门护下板总成</t>
  </si>
  <si>
    <t>Lower back door guard assembly</t>
  </si>
  <si>
    <t>Back door lower guard assembly</t>
  </si>
  <si>
    <t>尾门拉手盒总成装配</t>
  </si>
  <si>
    <t>Tailgate handle box assembly</t>
  </si>
  <si>
    <t>尾门拉手盒模块（一）</t>
  </si>
  <si>
    <t>Tailgate handle module (1)</t>
  </si>
  <si>
    <t>前轮眉装饰板装配</t>
    <phoneticPr fontId="4" type="noConversion"/>
  </si>
  <si>
    <t>Front wheel arch trim assembly</t>
  </si>
  <si>
    <t>左前轮眉装饰板</t>
    <phoneticPr fontId="4" type="noConversion"/>
  </si>
  <si>
    <t>left front wheel arch trim</t>
  </si>
  <si>
    <t>右前轮眉装饰板</t>
    <phoneticPr fontId="4" type="noConversion"/>
  </si>
  <si>
    <t>Right front wheel arch trim</t>
  </si>
  <si>
    <t>后轮眉装饰板装配</t>
  </si>
  <si>
    <t>Rear wheel arch trim assembly</t>
  </si>
  <si>
    <t>左后轮眉装饰板</t>
  </si>
  <si>
    <t>left rear wheel arch trim</t>
  </si>
  <si>
    <t>右后轮眉装饰板</t>
  </si>
  <si>
    <t>right rear wheel arch trim</t>
  </si>
  <si>
    <t>前轮挡泥轮罩装配</t>
    <phoneticPr fontId="4" type="noConversion"/>
  </si>
  <si>
    <t>Front wheel fender wheel cover assembly</t>
  </si>
  <si>
    <t>左前轮挡泥轮罩总成</t>
    <phoneticPr fontId="4" type="noConversion"/>
  </si>
  <si>
    <t>left front wheel fender wheel cover assembly</t>
  </si>
  <si>
    <t>右前轮挡泥轮罩总成</t>
    <phoneticPr fontId="4" type="noConversion"/>
  </si>
  <si>
    <t>Right front wheel fender assembly</t>
  </si>
  <si>
    <t>Front wheel mudguard assembly</t>
  </si>
  <si>
    <t>子母扣</t>
    <phoneticPr fontId="4" type="noConversion"/>
  </si>
  <si>
    <t>后轮挡泥轮罩总成装配</t>
  </si>
  <si>
    <t>Rear wheel mudguard assembly</t>
  </si>
  <si>
    <t>左后轮挡泥轮罩总成</t>
  </si>
  <si>
    <t>Left rear wheel fender wheel cover assembly</t>
  </si>
  <si>
    <t>Rear wheel fender wheel cover assembly</t>
  </si>
  <si>
    <t>右后轮挡泥轮罩总成</t>
  </si>
  <si>
    <t>Right rear wheel fender wheel cover assembly</t>
  </si>
  <si>
    <t>螺母</t>
  </si>
  <si>
    <t>nut</t>
  </si>
  <si>
    <t>rear wheel mudguard assembly</t>
  </si>
  <si>
    <t>snap fastener</t>
  </si>
  <si>
    <t>油管防护罩装配</t>
  </si>
  <si>
    <t>Fitting of the oil pipe protective cover</t>
  </si>
  <si>
    <t>油管防护罩</t>
  </si>
  <si>
    <t>oil pipe protective cover</t>
  </si>
  <si>
    <t>Oil pipe protective cover assembly</t>
  </si>
  <si>
    <t>hex flange nut</t>
  </si>
  <si>
    <t>前挡泥板总成装配</t>
  </si>
  <si>
    <t>Front mudguard assembly</t>
  </si>
  <si>
    <t>左前挡泥板总成</t>
    <phoneticPr fontId="4" type="noConversion"/>
  </si>
  <si>
    <t>left front fender assembly</t>
  </si>
  <si>
    <t>Front fender assembly</t>
  </si>
  <si>
    <t>右前挡泥板总成</t>
  </si>
  <si>
    <t>right front fender assembly</t>
  </si>
  <si>
    <t>self-tapping screw</t>
  </si>
  <si>
    <t>后挡泥板总成装配</t>
  </si>
  <si>
    <t>rear fender assembly assembly</t>
  </si>
  <si>
    <t>左后挡泥板总成</t>
  </si>
  <si>
    <t>left rear fender assembly</t>
  </si>
  <si>
    <t>Rear fender assembly</t>
  </si>
  <si>
    <t>右后挡泥板总成</t>
  </si>
  <si>
    <t>right rear fender assembly</t>
  </si>
  <si>
    <t>rear mudguard assembly</t>
  </si>
  <si>
    <t>发动机下挡泥板装配</t>
    <phoneticPr fontId="4" type="noConversion"/>
  </si>
  <si>
    <t>Engine Underhood Fender Assembly</t>
  </si>
  <si>
    <t>发动机下挡泥板总成</t>
    <phoneticPr fontId="4" type="noConversion"/>
  </si>
  <si>
    <t>Engine under-fender assembly</t>
  </si>
  <si>
    <t>Engine under fender assembly</t>
  </si>
  <si>
    <t>snap fasteners</t>
  </si>
  <si>
    <t>六角头螺栓、弹簧垫圈和平垫圈组合件</t>
    <phoneticPr fontId="4" type="noConversion"/>
  </si>
  <si>
    <t>Hexagon head bolt, spring washer and flat washer assembly</t>
  </si>
  <si>
    <t>自攻钉</t>
    <phoneticPr fontId="4" type="noConversion"/>
  </si>
  <si>
    <t>self-tapping screws</t>
  </si>
  <si>
    <t>左机舱装饰盖板装配</t>
    <phoneticPr fontId="4" type="noConversion"/>
  </si>
  <si>
    <t>Left engine compartment decorative cover assembly</t>
  </si>
  <si>
    <t>左机舱装饰盖板总成</t>
  </si>
  <si>
    <t>法兰面螺栓</t>
  </si>
  <si>
    <t>flange surface bolts</t>
  </si>
  <si>
    <t>Left engine compartment trim cover assembly</t>
  </si>
  <si>
    <t>右机舱装饰盖板装配</t>
    <phoneticPr fontId="4" type="noConversion"/>
  </si>
  <si>
    <t>Right cabin decorative cover assembly</t>
  </si>
  <si>
    <t>右机舱装饰盖板总成</t>
  </si>
  <si>
    <t>with snap fasteners</t>
  </si>
  <si>
    <t>Flange surface bolts</t>
  </si>
  <si>
    <t>中机舱装饰盖板装配</t>
    <phoneticPr fontId="4" type="noConversion"/>
  </si>
  <si>
    <t>Middle cabin decorative cover plate assembly</t>
  </si>
  <si>
    <t>中机舱装饰盖板总成</t>
  </si>
  <si>
    <t>Center cabin decorative cover assembly</t>
  </si>
  <si>
    <t>换挡软轴密封盖板总成装配</t>
    <phoneticPr fontId="4" type="noConversion"/>
  </si>
  <si>
    <t>Shift flexible shaft seal cover assembly</t>
  </si>
  <si>
    <t>换挡软轴密封盖板总成</t>
    <phoneticPr fontId="4" type="noConversion"/>
  </si>
  <si>
    <t>六角螺母和锥形弹性垫圈组合件</t>
    <phoneticPr fontId="4" type="noConversion"/>
  </si>
  <si>
    <t>assembly of hex nut and conical spring washer</t>
  </si>
  <si>
    <t>电子换挡器总成装配</t>
    <phoneticPr fontId="4" type="noConversion"/>
  </si>
  <si>
    <t>Electronic shifter assembly</t>
  </si>
  <si>
    <t>电子换挡器本体总成</t>
  </si>
  <si>
    <t>Electronic shifter body assembly</t>
  </si>
  <si>
    <t>Hex nut and conical spring washer assembly</t>
  </si>
  <si>
    <t>换挡手球面板总成装配</t>
  </si>
  <si>
    <t>Shift knob panel assembly</t>
  </si>
  <si>
    <t>换挡皮套面板总成</t>
    <phoneticPr fontId="2" type="noConversion"/>
  </si>
  <si>
    <t>Shift leather sleeve panel assembly</t>
  </si>
  <si>
    <t>换挡手球装配</t>
    <phoneticPr fontId="4" type="noConversion"/>
  </si>
  <si>
    <t>Shift knob assembly</t>
  </si>
  <si>
    <t>换挡手球总成</t>
  </si>
  <si>
    <t>倒车雷达主机装配</t>
  </si>
  <si>
    <t>Parking sensor assembly</t>
  </si>
  <si>
    <t>倒车雷达主机</t>
  </si>
  <si>
    <t>reverse radar host</t>
  </si>
  <si>
    <t>reverse radar host assembly</t>
  </si>
  <si>
    <t>空调进水管与空调HVAC总成连接</t>
    <phoneticPr fontId="2" type="noConversion"/>
  </si>
  <si>
    <t>Air conditioner inlet pipe connects with air conditioner HVAC assembly</t>
  </si>
  <si>
    <t>空调进水管合件</t>
    <phoneticPr fontId="28" type="noConversion"/>
  </si>
  <si>
    <t>Air conditioner inlet pipe assembly</t>
  </si>
  <si>
    <t>Air conditioner inlet pipe connected to air conditioner HVAC assembly</t>
  </si>
  <si>
    <t>钢带环箍</t>
  </si>
  <si>
    <t>steel band hoop</t>
  </si>
  <si>
    <t>膨胀水箱模块分装</t>
    <phoneticPr fontId="4" type="noConversion"/>
  </si>
  <si>
    <t>Expansion tank module subassembly</t>
  </si>
  <si>
    <t>膨胀水箱</t>
    <phoneticPr fontId="4" type="noConversion"/>
  </si>
  <si>
    <t>expansion tank</t>
  </si>
  <si>
    <t>发动机补水管总成</t>
  </si>
  <si>
    <t>Engine water filler pipe assembly</t>
  </si>
  <si>
    <t>空调出水管</t>
    <phoneticPr fontId="2" type="noConversion"/>
  </si>
  <si>
    <t>air conditioning outlet pipe</t>
  </si>
  <si>
    <t>空调出水管(发动机端)</t>
    <phoneticPr fontId="28" type="noConversion"/>
  </si>
  <si>
    <t>Air conditioning outlet pipe (engine end)</t>
  </si>
  <si>
    <t>钢带式弹性软管夹箍</t>
    <phoneticPr fontId="4" type="noConversion"/>
  </si>
  <si>
    <t>steel band type flexible hose clamp</t>
  </si>
  <si>
    <t>steel band flexible hose clamp</t>
  </si>
  <si>
    <t>膨胀水箱模块</t>
    <phoneticPr fontId="2" type="noConversion"/>
  </si>
  <si>
    <t>expansion tank module</t>
  </si>
  <si>
    <t>排温传感器装配</t>
  </si>
  <si>
    <t>Exhaust temperature sensor assembly</t>
  </si>
  <si>
    <t>排气温度传感器</t>
  </si>
  <si>
    <t>Exhaust temperature sensor</t>
  </si>
  <si>
    <t>排气温度传感器装配</t>
    <phoneticPr fontId="4" type="noConversion"/>
  </si>
  <si>
    <t>排气温度传感器</t>
    <phoneticPr fontId="5" type="noConversion"/>
  </si>
  <si>
    <t>氧传感器装配</t>
    <phoneticPr fontId="2" type="noConversion"/>
  </si>
  <si>
    <t>Oxygen sensor assembly</t>
  </si>
  <si>
    <t>氧传感器线支架</t>
    <phoneticPr fontId="2" type="noConversion"/>
  </si>
  <si>
    <t>Oxygen sensor cable bracket</t>
  </si>
  <si>
    <t>Hexagon flange surface bolt</t>
  </si>
  <si>
    <t>前氧传感器</t>
    <phoneticPr fontId="2" type="noConversion"/>
  </si>
  <si>
    <t>Front oxygen sensor</t>
  </si>
  <si>
    <t>oxygen sensor assembly</t>
  </si>
  <si>
    <t>后氧传感器</t>
    <phoneticPr fontId="2" type="noConversion"/>
  </si>
  <si>
    <t>After oxygen sensor</t>
  </si>
  <si>
    <t>排气温度传感器支架装配</t>
    <phoneticPr fontId="2" type="noConversion"/>
  </si>
  <si>
    <t>Exhaust temperature sensor bracket assembly</t>
  </si>
  <si>
    <t>排气温度传感器支架</t>
  </si>
  <si>
    <t>Exhaust temperature sensor bracket</t>
  </si>
  <si>
    <t>前氧线支架装配</t>
  </si>
  <si>
    <t>Front oxygen line bracket assembly</t>
  </si>
  <si>
    <t>前氧线支架</t>
  </si>
  <si>
    <t>Front oxygen line bracket</t>
  </si>
  <si>
    <t>压缩机排气管总成装配</t>
    <phoneticPr fontId="2" type="noConversion"/>
  </si>
  <si>
    <t>Compressor exhaust manifold assembly</t>
  </si>
  <si>
    <t>压缩机排气管总成</t>
    <phoneticPr fontId="4" type="noConversion"/>
  </si>
  <si>
    <t>compressor exhaust pipe assembly</t>
  </si>
  <si>
    <t>Compressor exhaust pipe assembly</t>
  </si>
  <si>
    <t xml:space="preserve"> 压缩机吸气管总成装配</t>
    <phoneticPr fontId="4" type="noConversion"/>
  </si>
  <si>
    <t xml:space="preserve"> Compressor suction pipe assembly</t>
  </si>
  <si>
    <t>压缩机吸气管总成</t>
    <phoneticPr fontId="4" type="noConversion"/>
  </si>
  <si>
    <t>compressor suction pipe assembly</t>
  </si>
  <si>
    <t>六角法兰面螺母</t>
    <phoneticPr fontId="4" type="noConversion"/>
  </si>
  <si>
    <t>高低压管总成装配(C15TD)</t>
    <phoneticPr fontId="2" type="noConversion"/>
  </si>
  <si>
    <t>High and low pressure pipe assembly (C15TD)</t>
  </si>
  <si>
    <t>高低压管总成</t>
    <phoneticPr fontId="4" type="noConversion"/>
  </si>
  <si>
    <t>High and low pressure pipe assembly</t>
  </si>
  <si>
    <t>压缩机总成装配</t>
  </si>
  <si>
    <t>Compressor assembly</t>
  </si>
  <si>
    <t>压缩机总成</t>
  </si>
  <si>
    <t>compressor assembly</t>
  </si>
  <si>
    <t>Hexagon head bolts, spring washers and flat washers assembly</t>
  </si>
  <si>
    <t>真空泵支架模块分装</t>
    <phoneticPr fontId="4" type="noConversion"/>
  </si>
  <si>
    <t>Vacuum pump bracket module subassembly</t>
  </si>
  <si>
    <t>真空泵支架总成</t>
    <phoneticPr fontId="4" type="noConversion"/>
  </si>
  <si>
    <t>vacuum pump bracket assembly</t>
  </si>
  <si>
    <t>变速器水管合件安装支架</t>
    <phoneticPr fontId="4" type="noConversion"/>
  </si>
  <si>
    <t>Transmission water pipe assembly bracket</t>
  </si>
  <si>
    <t>single pipe clamp</t>
  </si>
  <si>
    <t>真空泵支架模块</t>
    <phoneticPr fontId="2" type="noConversion"/>
  </si>
  <si>
    <t>vacuum pump bracket module</t>
  </si>
  <si>
    <t>真空泵装配</t>
  </si>
  <si>
    <t>Vacuum pump assembly</t>
  </si>
  <si>
    <t>真空泵组合模块</t>
    <phoneticPr fontId="2" type="noConversion"/>
  </si>
  <si>
    <t>vacuum pump assembly</t>
  </si>
  <si>
    <t>真空泵分装</t>
  </si>
  <si>
    <t>Vacuum pump subassembly</t>
  </si>
  <si>
    <t>电动真空泵总成</t>
  </si>
  <si>
    <t>electric vacuum pump assembly</t>
  </si>
  <si>
    <t>分离管夹</t>
  </si>
  <si>
    <t>Separating pipe clamp</t>
  </si>
  <si>
    <t>vacuum pump combination module</t>
  </si>
  <si>
    <t>真空软管总成装配</t>
    <phoneticPr fontId="4" type="noConversion"/>
  </si>
  <si>
    <t>Vacuum hose assembly</t>
  </si>
  <si>
    <t>真空软管总成</t>
    <phoneticPr fontId="4" type="noConversion"/>
  </si>
  <si>
    <t>双层钢带弹性环箍</t>
  </si>
  <si>
    <t>Double-layer steel band elastic hoop</t>
  </si>
  <si>
    <t>暖风管安装支架装配</t>
    <phoneticPr fontId="2" type="noConversion"/>
  </si>
  <si>
    <t>Duct mounting bracket assembly</t>
  </si>
  <si>
    <t>暖风管安装支架</t>
  </si>
  <si>
    <t>Duct mounting bracket</t>
  </si>
  <si>
    <t>中冷补偿水管安装支架装配</t>
    <phoneticPr fontId="2" type="noConversion"/>
  </si>
  <si>
    <t>intercooler compensation water pipe mounting bracket assembly</t>
  </si>
  <si>
    <t>中冷补偿水管安装支架</t>
  </si>
  <si>
    <t>intercooler compensation water pipe mounting bracket</t>
  </si>
  <si>
    <t>Mounting bracket for charge air compensation pipe assembly</t>
  </si>
  <si>
    <t>4通管安装支架装配</t>
    <phoneticPr fontId="4" type="noConversion"/>
  </si>
  <si>
    <t>4-way pipe mounting bracket assembly</t>
  </si>
  <si>
    <t>4通管安装支架</t>
    <phoneticPr fontId="4" type="noConversion"/>
  </si>
  <si>
    <t>4-way pipe mounting bracket</t>
  </si>
  <si>
    <t>空滤模块分装</t>
    <phoneticPr fontId="4" type="noConversion"/>
  </si>
  <si>
    <t>Air filter module subassembly</t>
  </si>
  <si>
    <t>空滤器总成</t>
    <phoneticPr fontId="4" type="noConversion"/>
  </si>
  <si>
    <t>air filter assembly</t>
  </si>
  <si>
    <t>空滤器出气管总成</t>
    <phoneticPr fontId="4" type="noConversion"/>
  </si>
  <si>
    <t>air filter exhaust pipe assembly</t>
  </si>
  <si>
    <t>空滤器进气管总成</t>
    <phoneticPr fontId="4" type="noConversion"/>
  </si>
  <si>
    <t>air filter intake pipe assembly</t>
  </si>
  <si>
    <t>曲轴箱通风管</t>
    <phoneticPr fontId="4" type="noConversion"/>
  </si>
  <si>
    <t>crankcase ventilation pipe</t>
  </si>
  <si>
    <t>air filter module subassembly</t>
  </si>
  <si>
    <t>空滤模块</t>
    <phoneticPr fontId="4" type="noConversion"/>
  </si>
  <si>
    <t>air filter module</t>
  </si>
  <si>
    <t>空滤模块装配</t>
    <phoneticPr fontId="4" type="noConversion"/>
  </si>
  <si>
    <t>Air filter module assembly</t>
  </si>
  <si>
    <t>六角组合螺栓</t>
    <phoneticPr fontId="4" type="noConversion"/>
  </si>
  <si>
    <t>空滤支架装配</t>
  </si>
  <si>
    <t>Air filter bracket assembly</t>
  </si>
  <si>
    <t>支架</t>
  </si>
  <si>
    <t>bracket</t>
  </si>
  <si>
    <t>支架装配</t>
  </si>
  <si>
    <t>Bracket assembly</t>
  </si>
  <si>
    <t>撑杆装配</t>
  </si>
  <si>
    <t>发动机后部线束固定支架</t>
  </si>
  <si>
    <t>Engine rear wiring harness fixing bracket</t>
  </si>
  <si>
    <t>Bracket for strut assembly</t>
  </si>
  <si>
    <t>撑杆</t>
  </si>
  <si>
    <t>strut</t>
  </si>
  <si>
    <t>减振垫装配</t>
  </si>
  <si>
    <t>shock absorber assembly</t>
  </si>
  <si>
    <t>减振垫</t>
  </si>
  <si>
    <t>vibration-damping pads</t>
  </si>
  <si>
    <t xml:space="preserve">高低压脱附管模块分装 </t>
    <phoneticPr fontId="4" type="noConversion"/>
  </si>
  <si>
    <t xml:space="preserve">high- and low-pressure desorption tube module subassembly </t>
  </si>
  <si>
    <t>高压脱附管</t>
    <phoneticPr fontId="4" type="noConversion"/>
  </si>
  <si>
    <t>high-pressure desorption tube</t>
  </si>
  <si>
    <t xml:space="preserve">high and low pressure desorption tube module subassembly </t>
  </si>
  <si>
    <t>低压脱附管</t>
    <phoneticPr fontId="4" type="noConversion"/>
  </si>
  <si>
    <t>low-pressure desorption tube</t>
  </si>
  <si>
    <t>燃油管路支架1</t>
    <phoneticPr fontId="4" type="noConversion"/>
  </si>
  <si>
    <t>fuel line bracket 1</t>
  </si>
  <si>
    <t>Hexagon head bolts, spring washers and flat washers</t>
  </si>
  <si>
    <t xml:space="preserve">High and low pressure desorption tube module subassembly </t>
  </si>
  <si>
    <t>碳罐电磁阀（随发动机带）</t>
    <phoneticPr fontId="4" type="noConversion"/>
  </si>
  <si>
    <t>carbon canister solenoid valve (included with engine)</t>
  </si>
  <si>
    <t>炭罐脱附压力传感器</t>
    <phoneticPr fontId="4" type="noConversion"/>
  </si>
  <si>
    <t>Pressure sensor for desorption of the charcoal can</t>
  </si>
  <si>
    <t>双孔管夹</t>
    <phoneticPr fontId="4" type="noConversion"/>
  </si>
  <si>
    <t>double-hole pipe clamp</t>
  </si>
  <si>
    <r>
      <t>SX7H-1130026</t>
    </r>
    <r>
      <rPr>
        <sz val="11"/>
        <color indexed="8"/>
        <rFont val="宋体"/>
        <family val="3"/>
        <charset val="134"/>
      </rPr>
      <t/>
    </r>
  </si>
  <si>
    <t>燃油蒸汽管总成（电磁阀端）</t>
    <phoneticPr fontId="4" type="noConversion"/>
  </si>
  <si>
    <t>fuel vapor tube assembly (solenoid valve end)</t>
  </si>
  <si>
    <t>高低压脱附管组合模块</t>
    <phoneticPr fontId="4" type="noConversion"/>
  </si>
  <si>
    <t>high and low pressure desorption tube combination module</t>
  </si>
  <si>
    <t>高低压脱附管模块装配</t>
    <phoneticPr fontId="4" type="noConversion"/>
  </si>
  <si>
    <t>High and low pressure desorption tube module assembly</t>
  </si>
  <si>
    <t>Double-hole pipe clamp</t>
  </si>
  <si>
    <t>单孔管夹</t>
    <phoneticPr fontId="4" type="noConversion"/>
  </si>
  <si>
    <t>Single-hole pipe clamp</t>
  </si>
  <si>
    <t>燃油管模块分装</t>
    <phoneticPr fontId="4" type="noConversion"/>
  </si>
  <si>
    <t>Fuel line module subassembly</t>
  </si>
  <si>
    <t>燃油蒸汽管总成（管夹-机舱）</t>
    <phoneticPr fontId="4" type="noConversion"/>
  </si>
  <si>
    <t>fuel vapor pipe assembly (clamp-cabin)</t>
  </si>
  <si>
    <t>输油管总成（管夹-机舱）</t>
    <phoneticPr fontId="4" type="noConversion"/>
  </si>
  <si>
    <t>fuel line assembly (clamp-engine compartment)</t>
  </si>
  <si>
    <t>五孔管夹</t>
    <phoneticPr fontId="4" type="noConversion"/>
  </si>
  <si>
    <t>five-hole pipe clamp</t>
  </si>
  <si>
    <t>fuel line module subassembly</t>
  </si>
  <si>
    <t>两孔管夹</t>
    <phoneticPr fontId="4" type="noConversion"/>
  </si>
  <si>
    <t>two-hole pipe clamp</t>
  </si>
  <si>
    <t>燃油管模块</t>
    <phoneticPr fontId="2" type="noConversion"/>
  </si>
  <si>
    <t>fuel line module</t>
  </si>
  <si>
    <t>燃油管模块装配</t>
    <phoneticPr fontId="4" type="noConversion"/>
  </si>
  <si>
    <t>Fuel line module assembly</t>
  </si>
  <si>
    <t>fuel line module assembly</t>
  </si>
  <si>
    <t>发动机线束固定支架装配</t>
    <phoneticPr fontId="2" type="noConversion"/>
  </si>
  <si>
    <t>Engine wiring harness mounting bracket assembly</t>
  </si>
  <si>
    <t>发动机线束固定支架</t>
  </si>
  <si>
    <t>Engine wiring harness mounting bracket</t>
  </si>
  <si>
    <t>散热器出水管（中冷）与发动机连接</t>
    <phoneticPr fontId="4" type="noConversion"/>
  </si>
  <si>
    <t>Radiator outlet pipe (intercooler) to engine</t>
  </si>
  <si>
    <t>散热器出水管（中冷）</t>
    <phoneticPr fontId="28" type="noConversion"/>
  </si>
  <si>
    <t>Radiator outlet pipe (intercooler)</t>
  </si>
  <si>
    <t>钢带式弹性软管夹箍</t>
  </si>
  <si>
    <t>冷却模块组合模块分装</t>
    <phoneticPr fontId="2" type="noConversion"/>
  </si>
  <si>
    <t>Cooling module assembly module subassembly</t>
  </si>
  <si>
    <t>冷却模块总成</t>
    <phoneticPr fontId="2" type="noConversion"/>
  </si>
  <si>
    <t>Cooling module assembly</t>
  </si>
  <si>
    <t>冷却模块组合模块分装</t>
  </si>
  <si>
    <t>Cooling module assembly subassembly</t>
  </si>
  <si>
    <t>冷凝器</t>
  </si>
  <si>
    <t>Condenser</t>
  </si>
  <si>
    <t>cooling module combination module subassembly</t>
  </si>
  <si>
    <t>六角法兰面螺栓/垫圈组合件</t>
  </si>
  <si>
    <t>Hexagon flange surface bolt/washer assembly</t>
  </si>
  <si>
    <t>冷凝器支架</t>
  </si>
  <si>
    <t>condenser bracket</t>
  </si>
  <si>
    <t>Cooling module Combined module subassembly</t>
  </si>
  <si>
    <t>电子扇总成</t>
  </si>
  <si>
    <t>Electronic fan assembly</t>
  </si>
  <si>
    <t>Cooling module Assembly module subassembly</t>
  </si>
  <si>
    <t>六角头螺栓</t>
  </si>
  <si>
    <t>hexagon head bolt</t>
  </si>
  <si>
    <t>散热器进水管(发动机)</t>
    <phoneticPr fontId="2" type="noConversion"/>
  </si>
  <si>
    <t>Radiator inlet pipe (engine)</t>
  </si>
  <si>
    <t>钢带式软管夹箍</t>
    <phoneticPr fontId="2" type="noConversion"/>
  </si>
  <si>
    <t>Steel hose clamp</t>
  </si>
  <si>
    <t>Cooling module Combination module subassembly</t>
  </si>
  <si>
    <t>散热器出水管(发动机)</t>
  </si>
  <si>
    <t>Radiator outlet pipe (engine)</t>
  </si>
  <si>
    <t>水温传感器</t>
    <phoneticPr fontId="2" type="noConversion"/>
  </si>
  <si>
    <t>Water temperature sensor</t>
  </si>
  <si>
    <t>散热器除气管总成</t>
    <phoneticPr fontId="4" type="noConversion"/>
  </si>
  <si>
    <t>radiator exhaust pipe assembly</t>
  </si>
  <si>
    <t>单耳无极环箍</t>
    <phoneticPr fontId="4" type="noConversion"/>
  </si>
  <si>
    <t>Single-ear non-polar hoop</t>
  </si>
  <si>
    <t>Cooling module Combination module Subassembly</t>
  </si>
  <si>
    <t>增压器出水管</t>
    <phoneticPr fontId="28" type="noConversion"/>
  </si>
  <si>
    <t>Pressure intensifier Outlet pipe</t>
  </si>
  <si>
    <t>散热器进水管（中冷）</t>
    <phoneticPr fontId="4" type="noConversion"/>
  </si>
  <si>
    <t>Radiator inlet pipe (intercooler)</t>
  </si>
  <si>
    <t>中冷排气管</t>
    <phoneticPr fontId="4" type="noConversion"/>
  </si>
  <si>
    <t>intercooler exhaust pipe</t>
  </si>
  <si>
    <t>四通管</t>
    <phoneticPr fontId="4" type="noConversion"/>
  </si>
  <si>
    <t>four-way pipe</t>
  </si>
  <si>
    <t>发动机进水管</t>
    <phoneticPr fontId="4" type="noConversion"/>
  </si>
  <si>
    <t>Engine water intake pipe</t>
  </si>
  <si>
    <t>冷却模块组合模块</t>
    <phoneticPr fontId="2" type="noConversion"/>
  </si>
  <si>
    <t>Cooling module assembly module</t>
  </si>
  <si>
    <t>散热器模块装配</t>
    <phoneticPr fontId="2" type="noConversion"/>
  </si>
  <si>
    <t>Radiator module assembly</t>
  </si>
  <si>
    <t>冷却模块组合模块</t>
  </si>
  <si>
    <t>cooling module combination module</t>
  </si>
  <si>
    <t>散热器上悬置</t>
  </si>
  <si>
    <t>Radiator mounting</t>
  </si>
  <si>
    <t>radiator module assembly</t>
  </si>
  <si>
    <t>海绵条</t>
  </si>
  <si>
    <t>sponge strip</t>
  </si>
  <si>
    <t>Hexagon head bolts</t>
  </si>
  <si>
    <t>输油管总成（油泵-管夹）装配</t>
    <phoneticPr fontId="4" type="noConversion"/>
  </si>
  <si>
    <t>assembly of fuel line assembly (pump-clamp)</t>
  </si>
  <si>
    <r>
      <t>SX7H-1104026</t>
    </r>
    <r>
      <rPr>
        <sz val="11"/>
        <color indexed="8"/>
        <rFont val="宋体"/>
        <family val="3"/>
        <charset val="134"/>
      </rPr>
      <t/>
    </r>
  </si>
  <si>
    <t>进油管总成（油轨端）</t>
    <phoneticPr fontId="4" type="noConversion"/>
  </si>
  <si>
    <t>Fuel rail assembly (fuel rail end)</t>
  </si>
  <si>
    <t>变速器与发动机连接（DCT）</t>
    <phoneticPr fontId="4" type="noConversion"/>
  </si>
  <si>
    <t>Transmission connected to engine (DCT)</t>
  </si>
  <si>
    <t>发动机总成</t>
    <phoneticPr fontId="4" type="noConversion"/>
  </si>
  <si>
    <t>Engine assembly</t>
  </si>
  <si>
    <t>7DCT300变速器总成</t>
    <phoneticPr fontId="4" type="noConversion"/>
  </si>
  <si>
    <t>7DCT300 transmission assembly</t>
  </si>
  <si>
    <t>发动机隔音罩装配</t>
  </si>
  <si>
    <t>Engine sound insulation cover assembly</t>
  </si>
  <si>
    <t>隔音罩A</t>
  </si>
  <si>
    <t>Sound insulation cover A</t>
  </si>
  <si>
    <t>隔音罩B</t>
  </si>
  <si>
    <t>Soundproofing cover B</t>
  </si>
  <si>
    <t>皮带装配(CT)</t>
    <phoneticPr fontId="2" type="noConversion"/>
  </si>
  <si>
    <t>Belt assembly (CT)</t>
  </si>
  <si>
    <t>附件皮带
（随发动机带）</t>
    <phoneticPr fontId="4" type="noConversion"/>
  </si>
  <si>
    <t>Accessory belt (with engine belt)</t>
  </si>
  <si>
    <t>点火线圈线束固定支架装配</t>
    <phoneticPr fontId="2" type="noConversion"/>
  </si>
  <si>
    <t>Ignition coil harness mounting bracket assembly</t>
  </si>
  <si>
    <t>点火线圈线束固定支架</t>
  </si>
  <si>
    <t>ignition coil wiring harness fixing bracket</t>
  </si>
  <si>
    <t>Ignition coil wiring harness mounting bracket assembly</t>
  </si>
  <si>
    <t>发电机线束固定支架装配</t>
    <phoneticPr fontId="2" type="noConversion"/>
  </si>
  <si>
    <t>assembly of generator wiring harness mounting bracket</t>
  </si>
  <si>
    <t>发电机线束固定支架</t>
    <phoneticPr fontId="4" type="noConversion"/>
  </si>
  <si>
    <t>generator wiring harness mounting bracket</t>
  </si>
  <si>
    <t>Generator wiring harness mounting bracket assembly</t>
  </si>
  <si>
    <t>中冷补偿水管装配</t>
  </si>
  <si>
    <t>intercooler compensation water pipe assembly</t>
  </si>
  <si>
    <t>发动机线束固定支架2</t>
  </si>
  <si>
    <t>Engine wiring harness mounting bracket 2</t>
  </si>
  <si>
    <t>机舱线束支架装配</t>
    <phoneticPr fontId="4" type="noConversion"/>
  </si>
  <si>
    <t>Engine compartment wiring harness bracket assembly</t>
  </si>
  <si>
    <t>机舱线束支架</t>
    <phoneticPr fontId="4" type="noConversion"/>
  </si>
  <si>
    <t>cabin wiring harness bracket</t>
  </si>
  <si>
    <t>机舱线束固定支架装配</t>
    <phoneticPr fontId="2" type="noConversion"/>
  </si>
  <si>
    <t>Engine compartment wiring harness mounting bracket assembly</t>
  </si>
  <si>
    <t>机舱线束固定支架</t>
    <phoneticPr fontId="4" type="noConversion"/>
  </si>
  <si>
    <t>cabin wiring harness fixing bracket</t>
  </si>
  <si>
    <t>Bracket for securing the cabin wiring harness</t>
  </si>
  <si>
    <t>进气歧管线束固定支架装配</t>
    <phoneticPr fontId="2" type="noConversion"/>
  </si>
  <si>
    <t>Intake manifold bracket assembly</t>
  </si>
  <si>
    <t>进气歧管线束固定支架</t>
  </si>
  <si>
    <t>Intake manifold bracket</t>
  </si>
  <si>
    <t>左悬置线束安装支架装配</t>
    <phoneticPr fontId="2" type="noConversion"/>
  </si>
  <si>
    <t>Left-hand mounting bracket for wiring harness assembly</t>
  </si>
  <si>
    <t>左悬置处线束安装支架</t>
    <phoneticPr fontId="2" type="noConversion"/>
  </si>
  <si>
    <t>Left suspension harness mounting bracket</t>
  </si>
  <si>
    <t>Left suspension wiring harness mounting bracket assembly</t>
  </si>
  <si>
    <t>六角法兰面螺栓</t>
    <phoneticPr fontId="2" type="noConversion"/>
  </si>
  <si>
    <t>背门缓冲块支撑组件装配</t>
  </si>
  <si>
    <t>Back door buffer block support assembly</t>
  </si>
  <si>
    <t>背门缓冲块支撑组件</t>
  </si>
  <si>
    <t>back door buffer block support assembly</t>
  </si>
  <si>
    <t>手柄安装底座总成装配</t>
  </si>
  <si>
    <t>Handle mounting base assembly</t>
  </si>
  <si>
    <t>手柄安装底座总成</t>
  </si>
  <si>
    <t>发动机罩气撑杆总成装配</t>
  </si>
  <si>
    <t>Hood Gas Strut Assembly</t>
  </si>
  <si>
    <t>发动机罩气撑杆-左</t>
  </si>
  <si>
    <t>Hood Gas Strut - Left</t>
  </si>
  <si>
    <t>发动机罩气撑杆-右</t>
  </si>
  <si>
    <t>Hood Gas Strut - Right</t>
  </si>
  <si>
    <t>球头螺栓</t>
  </si>
  <si>
    <t>ball stud</t>
  </si>
  <si>
    <t>仪表台前围无纺布装配</t>
  </si>
  <si>
    <t>Instrument panel front non-woven fabric assembly</t>
  </si>
  <si>
    <t>前围无纺布</t>
  </si>
  <si>
    <t>Non-woven fabric for the front wall</t>
  </si>
  <si>
    <t>发动机罩下隔热垫装配</t>
  </si>
  <si>
    <t>Underhood insulation kit</t>
  </si>
  <si>
    <t>发动机罩下隔热垫</t>
  </si>
  <si>
    <t>underhood insulation</t>
  </si>
  <si>
    <t>Under-hood insulation assembly</t>
  </si>
  <si>
    <t>卡扣</t>
  </si>
  <si>
    <t>前围内隔热垫总成装配</t>
  </si>
  <si>
    <t>assembly of the inner cowling heat insulation pad</t>
  </si>
  <si>
    <t>前围内隔热垫总成</t>
  </si>
  <si>
    <t>Inner cowling heat insulation pad assembly</t>
  </si>
  <si>
    <t>Inner cowl insulation pad assembly</t>
  </si>
  <si>
    <t>前围外隔热垫总成装配</t>
  </si>
  <si>
    <t>assembly of outer cowling insulation pad</t>
  </si>
  <si>
    <t>前围外隔热垫总成</t>
  </si>
  <si>
    <t>front wall insulation pad assembly</t>
  </si>
  <si>
    <t>Front outer insulation pad assembly</t>
  </si>
  <si>
    <t>翼子板阻隔件装配</t>
  </si>
  <si>
    <t>Fender barrier assembly</t>
  </si>
  <si>
    <t>左翼子板阻隔垫</t>
  </si>
  <si>
    <t>left fender spacer</t>
  </si>
  <si>
    <t>Fender blocking assembly</t>
  </si>
  <si>
    <t>右翼子板阻隔垫</t>
  </si>
  <si>
    <t>Right-hand fender liner</t>
  </si>
  <si>
    <t>后侧围吸音棉装配</t>
  </si>
  <si>
    <t>Rear side panel sound-absorbing cotton assembly</t>
  </si>
  <si>
    <t>左后侧围吸音棉一</t>
  </si>
  <si>
    <t>Left rear side wall sound-absorbing cotton 1</t>
  </si>
  <si>
    <t>rear side sound-absorbing cotton assembly</t>
  </si>
  <si>
    <t>左后侧围吸音棉二</t>
  </si>
  <si>
    <t>Left rear side wall sound-absorbing cotton 2</t>
  </si>
  <si>
    <t>Rear side sound-absorbing cotton assembly</t>
  </si>
  <si>
    <t>右后侧围吸音棉</t>
  </si>
  <si>
    <t>sound-absorbing cotton on the right rear side panel</t>
  </si>
  <si>
    <t>后轮包吸音垫</t>
  </si>
  <si>
    <t>Rear wheel cover sound-absorbing pad</t>
  </si>
  <si>
    <t>左后轮包吸音垫</t>
  </si>
  <si>
    <t>Left rear wheel cover sound-absorbing pad</t>
  </si>
  <si>
    <t>Rear wheel sound-absorbing pad</t>
  </si>
  <si>
    <t>右后轮包吸音垫</t>
  </si>
  <si>
    <t>Right rear wheel sound-absorbing pad</t>
  </si>
  <si>
    <t>Rear wheel cover with sound-absorbing pad</t>
  </si>
  <si>
    <t>螺母盖</t>
  </si>
  <si>
    <t>nut cover</t>
  </si>
  <si>
    <t>前地毯吸音垫装配</t>
  </si>
  <si>
    <t>Front carpet sound-absorbing mat assembly</t>
  </si>
  <si>
    <t>前地毯吸音垫</t>
  </si>
  <si>
    <t>Front carpet sound-absorbing mat</t>
  </si>
  <si>
    <t>前地毯总成装配</t>
  </si>
  <si>
    <t>Front carpet assembly</t>
  </si>
  <si>
    <t>前地毯总成</t>
  </si>
  <si>
    <t>snap</t>
  </si>
  <si>
    <t>后地毯中部支撑件装配</t>
  </si>
  <si>
    <t>Rear carpet central support assembly</t>
  </si>
  <si>
    <t>后地毯中部支撑件</t>
    <phoneticPr fontId="2" type="noConversion"/>
  </si>
  <si>
    <t>rear carpet middle support</t>
  </si>
  <si>
    <t>后地毯总成装配</t>
  </si>
  <si>
    <t>Rear carpet assembly</t>
  </si>
  <si>
    <t>后地毯地毯总成</t>
  </si>
  <si>
    <t>Rear carpet carpet assembly</t>
  </si>
  <si>
    <t>主驾驶侧前部地毯支撑件装配</t>
  </si>
  <si>
    <t>Front carpet support assembly, driver's side</t>
  </si>
  <si>
    <t>主驾驶侧前部地毯支撑件</t>
  </si>
  <si>
    <t>Front carpet support on the driver's side</t>
  </si>
  <si>
    <t>副驾驶侧前部地毯支撑件装配</t>
  </si>
  <si>
    <t>Front passenger side carpet support assembly</t>
  </si>
  <si>
    <t>副驾驶侧前部地毯支撑件</t>
  </si>
  <si>
    <t>Front passenger side front carpet support</t>
  </si>
  <si>
    <t>主驾驶侧后部地毯支撑件装配</t>
  </si>
  <si>
    <t>Driver's side rear carpet support assembly</t>
  </si>
  <si>
    <t>主驾驶侧后部地毯支撑件</t>
  </si>
  <si>
    <t>Rear carpet support on the driver's side</t>
  </si>
  <si>
    <t>副驾驶侧后部地毯支撑件装配</t>
  </si>
  <si>
    <t>Passenger side rear carpet support assembly</t>
  </si>
  <si>
    <t>副驾驶侧后部地毯支撑件</t>
  </si>
  <si>
    <t>passenger-side rear carpet support</t>
  </si>
  <si>
    <t>后座椅左下部地毯支撑件装配</t>
  </si>
  <si>
    <t>Lower left rear carpet support for rear seat assembly</t>
  </si>
  <si>
    <t>后座椅左下部地毯支撑件</t>
  </si>
  <si>
    <t>Lower left rear carpet support</t>
  </si>
  <si>
    <t>后座椅右下部地毯支撑件装配</t>
  </si>
  <si>
    <t>Lower right rear carpet support assembly</t>
  </si>
  <si>
    <t>后座椅右下部地毯支撑件</t>
  </si>
  <si>
    <t>Lower right rear carpet support</t>
  </si>
  <si>
    <t>天窗安装支架装配</t>
  </si>
  <si>
    <t>Sunroof mounting bracket assembly</t>
  </si>
  <si>
    <t>天窗左安装支架</t>
  </si>
  <si>
    <t>sunroof left mounting bracket</t>
  </si>
  <si>
    <t>天窗右安装支架</t>
  </si>
  <si>
    <t>Right sunroof mounting bracket</t>
  </si>
  <si>
    <t>电动天窗总成装配</t>
  </si>
  <si>
    <t>Power sunroof assembly</t>
  </si>
  <si>
    <t>电动天窗总成</t>
  </si>
  <si>
    <t>六角螺母和标准型形弹性垫圈组合件</t>
  </si>
  <si>
    <t>Hex nut and standard-type spring washer assembly</t>
  </si>
  <si>
    <t>全景天窗总成装配</t>
  </si>
  <si>
    <t>Panorama roof assembly</t>
  </si>
  <si>
    <t>全景天窗总成</t>
  </si>
  <si>
    <t>Panoramic sunroof assembly</t>
  </si>
  <si>
    <t>天窗前排水管装配</t>
  </si>
  <si>
    <t>Sunroof front drainpipe assembly</t>
  </si>
  <si>
    <t>天窗排水管卡扣</t>
  </si>
  <si>
    <t>Sunroof drain pipe clip</t>
  </si>
  <si>
    <t>Front roof drain assembly</t>
  </si>
  <si>
    <t>天窗前排水管</t>
  </si>
  <si>
    <t>drainpipe in front of the sunroof</t>
  </si>
  <si>
    <t>Drainpipe assembly in front of the skylight</t>
  </si>
  <si>
    <t>天窗前排水弯管装配</t>
  </si>
  <si>
    <t>drainage elbow assembly in front of the skylight</t>
  </si>
  <si>
    <t>天窗排水管弯管</t>
  </si>
  <si>
    <t>skylight drain pipe elbow</t>
  </si>
  <si>
    <t>天窗后排水管组合</t>
  </si>
  <si>
    <t>combination of rear roof drain pipes</t>
  </si>
  <si>
    <t>天窗后排水管</t>
  </si>
  <si>
    <t>drainpipe behind the skylight</t>
  </si>
  <si>
    <t>combination of roof window rear drainpipe</t>
  </si>
  <si>
    <t>combination of roof window and drainpipe</t>
  </si>
  <si>
    <t>天窗排水管尾管</t>
  </si>
  <si>
    <t>skylight drain tailpipe</t>
  </si>
  <si>
    <t>天窗后排水管组合</t>
    <phoneticPr fontId="2" type="noConversion"/>
  </si>
  <si>
    <t>combination of the rear roof drain and the rear roof drain</t>
  </si>
  <si>
    <t>天窗后排水管与天窗排水弯管组合模块</t>
    <phoneticPr fontId="4" type="noConversion"/>
  </si>
  <si>
    <t>Combination module of the rear roof drain and the roof drain elbow</t>
  </si>
  <si>
    <t>combination of the rear roof drain</t>
  </si>
  <si>
    <t>天窗后排水管与天窗排水弯管组合模块</t>
    <phoneticPr fontId="2" type="noConversion"/>
  </si>
  <si>
    <t>天窗后排水管模块装配</t>
  </si>
  <si>
    <t>Skylight rear drain pipe module assembly</t>
  </si>
  <si>
    <t>combination module of the rear roof drain and the roof drain elbow</t>
  </si>
  <si>
    <t>Module for assembly of the rear roof drain</t>
  </si>
  <si>
    <t>Module combining the rear roof drain pipe and the roof drain elbow</t>
  </si>
  <si>
    <t>机舱仪表对接件固定支架装配</t>
  </si>
  <si>
    <t>Instrument panel docking fixture mounting bracket assembly</t>
  </si>
  <si>
    <t>机舱-仪表对接固定支架</t>
  </si>
  <si>
    <t>Cabin-instrument docking fixed bracket</t>
  </si>
  <si>
    <t>Bracket for securing the cabin instrument docking assembly</t>
  </si>
  <si>
    <t>六角头螺栓和弹簧垫圈组合件</t>
  </si>
  <si>
    <t>Hexagon head bolt and spring washer assembly</t>
  </si>
  <si>
    <t>膨胀水箱模块装配</t>
    <phoneticPr fontId="4" type="noConversion"/>
  </si>
  <si>
    <t>Expansion tank module assembly</t>
  </si>
  <si>
    <t>膨胀箱垫</t>
    <phoneticPr fontId="4" type="noConversion"/>
  </si>
  <si>
    <t>expansion tank mat</t>
  </si>
  <si>
    <t>expansion tank module assembly</t>
  </si>
  <si>
    <t>膨胀水箱组合模块</t>
    <phoneticPr fontId="2" type="noConversion"/>
  </si>
  <si>
    <t>expansion tank assembly module</t>
  </si>
  <si>
    <t>全金属六角法兰面锁紧螺母</t>
    <phoneticPr fontId="4" type="noConversion"/>
  </si>
  <si>
    <t>all-metal hexagonal flange surface lock nut</t>
  </si>
  <si>
    <t>钢带式弹性软管夹箍</t>
    <phoneticPr fontId="2" type="noConversion"/>
  </si>
  <si>
    <t>Flexible steel hose clamp</t>
  </si>
  <si>
    <t>洗涤管贴片装配</t>
  </si>
  <si>
    <t>Washer tube patch assembly</t>
  </si>
  <si>
    <t>洗涤管固定贴片</t>
  </si>
  <si>
    <t>Washer tube fixing patch</t>
  </si>
  <si>
    <t>行李架总成装配</t>
  </si>
  <si>
    <t>Luggage rack assembly</t>
  </si>
  <si>
    <t>左行李架总成</t>
  </si>
  <si>
    <t>Left luggage rack assembly</t>
  </si>
  <si>
    <t>右行李架总成</t>
  </si>
  <si>
    <t>Right luggage rack assembly</t>
  </si>
  <si>
    <t>法兰面螺母</t>
  </si>
  <si>
    <t>flange nut</t>
  </si>
  <si>
    <t>侧安全气帘总成装配</t>
  </si>
  <si>
    <t>Side airbag assembly</t>
  </si>
  <si>
    <t>左侧安全气帘总成</t>
  </si>
  <si>
    <t>Left-side air curtain assembly</t>
  </si>
  <si>
    <t>Side air curtain assembly</t>
  </si>
  <si>
    <t>右侧安全气帘总成</t>
  </si>
  <si>
    <t>Right-side air curtain assembly</t>
  </si>
  <si>
    <t>hexagon head bolts</t>
  </si>
  <si>
    <t>侧面碰撞传感器总成装配</t>
  </si>
  <si>
    <t>Side impact sensor assembly</t>
  </si>
  <si>
    <t>侧面碰撞传感器总成</t>
  </si>
  <si>
    <t>六角螺栓</t>
  </si>
  <si>
    <t>Hexagon bolt</t>
  </si>
  <si>
    <t>安全气囊ECU总成装配</t>
  </si>
  <si>
    <t>Airbag ECU assembly</t>
  </si>
  <si>
    <t>安全气囊ECU总成</t>
  </si>
  <si>
    <t>Airbag ECU Assembly</t>
  </si>
  <si>
    <t>安全气囊总成装配</t>
  </si>
  <si>
    <t>Airbag assembly</t>
  </si>
  <si>
    <t>驾驶员正面气囊总成</t>
    <phoneticPr fontId="4" type="noConversion"/>
  </si>
  <si>
    <t>Driver's front airbag assembly</t>
  </si>
  <si>
    <t>发动机罩锁内开启拉索装配</t>
  </si>
  <si>
    <t>Hood lock inner opening cable assembly</t>
  </si>
  <si>
    <t>发动机罩锁内开启拉索</t>
    <phoneticPr fontId="2" type="noConversion"/>
  </si>
  <si>
    <t>Hood lock opening cable</t>
  </si>
  <si>
    <t>Hood lock release cable assembly</t>
  </si>
  <si>
    <t>发动机罩锁内开启拉索</t>
  </si>
  <si>
    <t>加油口盖开启拉索装配</t>
  </si>
  <si>
    <t>Fuel filler flap opening cable assembly</t>
  </si>
  <si>
    <t>加油口盖开启拉索总成</t>
    <phoneticPr fontId="4" type="noConversion"/>
  </si>
  <si>
    <t>油门踏板支架装配</t>
  </si>
  <si>
    <t>Throttle pedal bracket assembly</t>
  </si>
  <si>
    <t>油门踏板支架</t>
  </si>
  <si>
    <t>accelerator pedal bracket</t>
  </si>
  <si>
    <t>全金属六角法兰面锁紧螺母</t>
  </si>
  <si>
    <t>加油管总成装配</t>
  </si>
  <si>
    <t>Fuel filler pipe assembly</t>
  </si>
  <si>
    <t>加油管总成</t>
  </si>
  <si>
    <t>fuel filler pipe assembly</t>
  </si>
  <si>
    <t>六角螺母和锥形弹性垫圈组合件</t>
  </si>
  <si>
    <t>assembly of fuel filler pipe</t>
  </si>
  <si>
    <t>B型蜗杆传动式软管环箍</t>
  </si>
  <si>
    <t>Type B worm-drive hose hoop</t>
  </si>
  <si>
    <t>Fuel line assembly</t>
  </si>
  <si>
    <t>弹性环箍</t>
  </si>
  <si>
    <t>Flexible ring hoop</t>
  </si>
  <si>
    <t>制动踏板总成装配</t>
  </si>
  <si>
    <t>Brake pedal assembly assembly</t>
  </si>
  <si>
    <t>制动踏板总成</t>
  </si>
  <si>
    <t>brake pedal assembly</t>
  </si>
  <si>
    <t>Brake pedal assembly</t>
  </si>
  <si>
    <t>销轴</t>
  </si>
  <si>
    <t>pin</t>
  </si>
  <si>
    <t>锁销</t>
  </si>
  <si>
    <t>Locking pin</t>
  </si>
  <si>
    <t>挡圈</t>
  </si>
  <si>
    <t>retaining ring</t>
  </si>
  <si>
    <t>制动灯开关2装配</t>
  </si>
  <si>
    <t>Brake light switch 2 assembly</t>
  </si>
  <si>
    <t>制动灯开关</t>
  </si>
  <si>
    <t>brake light switch</t>
  </si>
  <si>
    <t>制动真空度传感器装配</t>
  </si>
  <si>
    <t>Brake vacuum sensor assembly</t>
  </si>
  <si>
    <t>制动真空度传感器</t>
  </si>
  <si>
    <t>Brake vacuum sensor</t>
  </si>
  <si>
    <t>电子油门踏板总成装配</t>
  </si>
  <si>
    <t>Electronic accelerator pedal assembly</t>
  </si>
  <si>
    <t>电子油门踏板总成</t>
  </si>
  <si>
    <t>Hex head bolt, spring washer and flat washer assembly</t>
  </si>
  <si>
    <t>洗涤器总成-双向泵装配</t>
  </si>
  <si>
    <t>Washer assembly - two-way pump assembly</t>
  </si>
  <si>
    <t>洗涤器总成-双向泵</t>
  </si>
  <si>
    <t>Scrubber assembly - two-way pump</t>
  </si>
  <si>
    <t>/ (SX7HCT does not require the installation of part C)</t>
  </si>
  <si>
    <t>车内天线装配</t>
  </si>
  <si>
    <t>Antenna assembly in the vehicle</t>
  </si>
  <si>
    <t>车内天线</t>
    <phoneticPr fontId="4" type="noConversion"/>
  </si>
  <si>
    <t>car antenna</t>
  </si>
  <si>
    <t>车内天线装配</t>
    <phoneticPr fontId="2" type="noConversion"/>
  </si>
  <si>
    <t>Antenna assembly in the car</t>
  </si>
  <si>
    <t>后背门天线装配</t>
  </si>
  <si>
    <t>Back door antenna assembly</t>
  </si>
  <si>
    <t>后背门天线</t>
  </si>
  <si>
    <t>back door antenna</t>
  </si>
  <si>
    <t>rear door antenna assembly</t>
  </si>
  <si>
    <t>鱼鳍天线总成装配</t>
  </si>
  <si>
    <t>Fish-Antenna Assembly</t>
  </si>
  <si>
    <t>鱼鳍天线总成</t>
  </si>
  <si>
    <t>Fish-fin antenna assembly</t>
  </si>
  <si>
    <t>右侧支架组合模块分装</t>
  </si>
  <si>
    <t>Right bracket assembly module subassembly</t>
  </si>
  <si>
    <t>右侧支架总成</t>
  </si>
  <si>
    <t>right bracket assembly</t>
  </si>
  <si>
    <t>仪表板管梁搭铁线总成</t>
  </si>
  <si>
    <t>dashboard pipe beam grounding wire assembly</t>
  </si>
  <si>
    <t>Right-hand bracket subassembly</t>
  </si>
  <si>
    <t>六角头螺栓和大平垫圈组合件</t>
  </si>
  <si>
    <t>hexagon head bolts and large flat washers</t>
  </si>
  <si>
    <t>右侧支架组合模块（二）</t>
  </si>
  <si>
    <t>right bracket assembly (2)</t>
  </si>
  <si>
    <t>左右侧支架总成装配</t>
  </si>
  <si>
    <t>Left and right bracket assembly</t>
  </si>
  <si>
    <t>左侧支架总成</t>
  </si>
  <si>
    <t>Left bracket assembly</t>
  </si>
  <si>
    <t>Left and right side bracket assembly</t>
  </si>
  <si>
    <t>Right bracket assembly module (2)</t>
  </si>
  <si>
    <t>加油口盖缓冲块装配</t>
  </si>
  <si>
    <t>Fuel filler cap buffer block assembly</t>
  </si>
  <si>
    <t>加油口盖缓冲块</t>
  </si>
  <si>
    <t>Fuel filler flap buffer</t>
  </si>
  <si>
    <t>加油口盖弹簧板装配</t>
  </si>
  <si>
    <t>Fuel filler flap spring plate assembly</t>
  </si>
  <si>
    <t>加油口盖弹簧板</t>
  </si>
  <si>
    <t>Fuel filler cap spring plate</t>
  </si>
  <si>
    <t>发动机罩锁总成装配</t>
  </si>
  <si>
    <t>Engine hood lock assembly</t>
  </si>
  <si>
    <t>发动机罩锁总成</t>
  </si>
  <si>
    <t>Hood lock assembly</t>
  </si>
  <si>
    <t>发动机罩锁拉索挡板</t>
  </si>
  <si>
    <t>Hood lock cable baffle</t>
  </si>
  <si>
    <t>侧门锁扣总成装配</t>
  </si>
  <si>
    <t>Side door latch assembly</t>
  </si>
  <si>
    <t>侧门锁扣总成</t>
  </si>
  <si>
    <t>side door latch assembly</t>
  </si>
  <si>
    <t>内六角花型沉头螺钉</t>
  </si>
  <si>
    <t>Hexagon socket countersunk head screw</t>
  </si>
  <si>
    <t>后背门锁扣总成装配</t>
  </si>
  <si>
    <t>Back door latch assembly</t>
  </si>
  <si>
    <t>背门锁扣总成</t>
  </si>
  <si>
    <t>back door latch assembly</t>
  </si>
  <si>
    <t>Back door lock assembly</t>
  </si>
  <si>
    <t>前侧车门锁体及闭锁器总成装配</t>
  </si>
  <si>
    <t>Front side door lock assembly</t>
  </si>
  <si>
    <t>左前侧车门锁体及闭锁器总成</t>
  </si>
  <si>
    <t>Left front door lock body and latch assembly</t>
  </si>
  <si>
    <t>Front door lock assembly</t>
  </si>
  <si>
    <t>右前侧车门锁体及闭锁器总成</t>
  </si>
  <si>
    <t>Right front door lock assembly</t>
  </si>
  <si>
    <t>Front door lock assembly and latch assembly</t>
  </si>
  <si>
    <t>十字槽大扁头螺栓</t>
  </si>
  <si>
    <t>cross recessed flat head bolts</t>
  </si>
  <si>
    <t>前车门缓冲块转配</t>
  </si>
  <si>
    <t>Front door buffer replacement</t>
  </si>
  <si>
    <t>车门缓冲块</t>
  </si>
  <si>
    <t>door buffer</t>
  </si>
  <si>
    <t>后侧车门锁体及闭锁器总成装配</t>
  </si>
  <si>
    <t>Rear side door lock assembly</t>
  </si>
  <si>
    <t>左后侧车门锁体及闭锁器总成</t>
  </si>
  <si>
    <t>Left rear door lock assembly</t>
  </si>
  <si>
    <t>Rear door lock assembly</t>
  </si>
  <si>
    <t>右后侧车门锁体及闭锁器总成</t>
  </si>
  <si>
    <t>Right rear door lock assembly</t>
  </si>
  <si>
    <t>Phillips pan head screws</t>
  </si>
  <si>
    <t>背门电动锁体总成装配</t>
  </si>
  <si>
    <t>Back door electric lock body assembly</t>
  </si>
  <si>
    <t>背门电动锁体总成</t>
  </si>
  <si>
    <t>electric lock body assembly for the back door</t>
  </si>
  <si>
    <t>背门电动吸合锁体总成装配</t>
  </si>
  <si>
    <t>Back door electric suction lock body assembly</t>
  </si>
  <si>
    <t>背门电动吸合锁体总成</t>
  </si>
  <si>
    <t>电动背门ECU装配</t>
  </si>
  <si>
    <t>Electric rear door ECU assembly</t>
  </si>
  <si>
    <t>电动背门ECU</t>
  </si>
  <si>
    <t>Electric back door ECU</t>
  </si>
  <si>
    <t>Cross recessed, large pan head, self-tapping screw</t>
  </si>
  <si>
    <t>背门导向块A预装配</t>
  </si>
  <si>
    <t>Back door guide A pre-assembled</t>
  </si>
  <si>
    <t>背门导向块A</t>
  </si>
  <si>
    <t>Back door guide A</t>
  </si>
  <si>
    <t>内六角花型盘头螺钉</t>
  </si>
  <si>
    <t>Hexalobular socket head cap screw</t>
  </si>
  <si>
    <t>背门导向块B预装配</t>
  </si>
  <si>
    <t>Back door guide B pre-assembled</t>
  </si>
  <si>
    <t>背门导向块B</t>
  </si>
  <si>
    <t>Back door guide B</t>
  </si>
  <si>
    <t>Hexagon-headed bolt, spring washer and flat washer assembly</t>
  </si>
  <si>
    <t>小缓冲块装配</t>
  </si>
  <si>
    <t>Small buffer block assembly</t>
  </si>
  <si>
    <t>小缓冲块</t>
  </si>
  <si>
    <t>small buffer</t>
  </si>
  <si>
    <t>蜗牛电喇叭装配</t>
  </si>
  <si>
    <t>Snail electric horn assembly</t>
  </si>
  <si>
    <t>蜗牛电喇叭(高音)</t>
  </si>
  <si>
    <t>snail electric trumpet (treble)</t>
  </si>
  <si>
    <t>蜗牛电喇叭(低音)</t>
  </si>
  <si>
    <t>snail electric horn (bass)</t>
  </si>
  <si>
    <t>泄压阀总成装配</t>
  </si>
  <si>
    <t>Pressure relief valve assembly</t>
  </si>
  <si>
    <t>泄压阀总成</t>
  </si>
  <si>
    <t>副仪表台下安装支架装配</t>
  </si>
  <si>
    <t>Sub-instrument panel lower mounting bracket assembly</t>
  </si>
  <si>
    <t>杂物盒安装支架</t>
  </si>
  <si>
    <t>Trash box mounting bracket</t>
  </si>
  <si>
    <t>副仪表台后风管装配</t>
  </si>
  <si>
    <t>Sub-instrument panel rear air duct assembly</t>
  </si>
  <si>
    <t>副仪表台后风管</t>
  </si>
  <si>
    <t>Air duct behind the passenger side dashboard</t>
  </si>
  <si>
    <t>Secondary instrument panel rear air duct assembly</t>
  </si>
  <si>
    <t>十字槽盘头自攻钉</t>
  </si>
  <si>
    <t>Phillips head self-tapping screws</t>
  </si>
  <si>
    <t>Hexagon flange surface bolts</t>
  </si>
  <si>
    <t>副仪表台前风管装配</t>
  </si>
  <si>
    <t>Front air duct assembly for instrument panel</t>
  </si>
  <si>
    <t>副仪表台风道-前</t>
  </si>
  <si>
    <t>Sub-instrument panel air duct - front</t>
  </si>
  <si>
    <t>副仪表台总成装配</t>
  </si>
  <si>
    <t>Sub-instrument panel assembly</t>
  </si>
  <si>
    <t>副仪表台本体总成</t>
  </si>
  <si>
    <t>Sub-instrument panel body assembly</t>
  </si>
  <si>
    <t>副仪表台堵盖装配</t>
  </si>
  <si>
    <t>Sub-instrument panel cover assembly</t>
  </si>
  <si>
    <t>副仪表台堵盖</t>
  </si>
  <si>
    <t>Sub-instrument panel cover</t>
  </si>
  <si>
    <t>延伸板总成装配</t>
    <phoneticPr fontId="4" type="noConversion"/>
  </si>
  <si>
    <t>Extension plate assembly</t>
  </si>
  <si>
    <t>左延伸板总成</t>
    <phoneticPr fontId="4" type="noConversion"/>
  </si>
  <si>
    <t>Left extension plate assembly</t>
  </si>
  <si>
    <t>右延伸板总成</t>
  </si>
  <si>
    <t>right extension plate assembly</t>
  </si>
  <si>
    <t>副仪表台安装支架装配</t>
    <phoneticPr fontId="1" type="noConversion"/>
  </si>
  <si>
    <t>Sub-instrument panel mounting bracket assembly</t>
  </si>
  <si>
    <t>副仪表台安装支架</t>
    <phoneticPr fontId="2" type="noConversion"/>
  </si>
  <si>
    <t>Sub-instrument panel mounting bracket</t>
  </si>
  <si>
    <t>六角法兰面螺母</t>
    <phoneticPr fontId="2" type="noConversion"/>
  </si>
  <si>
    <t>后端盖总成模块装配</t>
  </si>
  <si>
    <t>Rear end cover assembly module assembly</t>
  </si>
  <si>
    <t>后端盖总成组合模块</t>
  </si>
  <si>
    <t>Rear end cover assembly module</t>
  </si>
  <si>
    <t>线束固定支架装配</t>
    <phoneticPr fontId="1" type="noConversion"/>
  </si>
  <si>
    <t>Wiring harness fixing bracket assembly</t>
  </si>
  <si>
    <t>线束固定支架</t>
    <phoneticPr fontId="2" type="noConversion"/>
  </si>
  <si>
    <t>Harness fixing bracket</t>
  </si>
  <si>
    <t>Harness fixing bracket assembly</t>
  </si>
  <si>
    <t>上饰板总成模块装配</t>
  </si>
  <si>
    <t>Upper trim assembly module</t>
  </si>
  <si>
    <t>上饰板组合模块</t>
  </si>
  <si>
    <t>Upper trim module</t>
  </si>
  <si>
    <t>左右端盖总成装配</t>
  </si>
  <si>
    <t>Left and right end cover assembly</t>
  </si>
  <si>
    <t>左端盖板总成</t>
  </si>
  <si>
    <t>Left end cover assembly</t>
  </si>
  <si>
    <t>右端盖板总成</t>
  </si>
  <si>
    <t>Right end cover assembly</t>
  </si>
  <si>
    <t>空调排水管装配</t>
  </si>
  <si>
    <t>Air conditioning drain tube assembly</t>
  </si>
  <si>
    <t>排水密封圈</t>
  </si>
  <si>
    <t>drainage seal</t>
  </si>
  <si>
    <t>仪表台模块装配</t>
  </si>
  <si>
    <t>Instrument panel module assembly</t>
  </si>
  <si>
    <t>驾驶舱组合模块</t>
    <phoneticPr fontId="2" type="noConversion"/>
  </si>
  <si>
    <t>cockpit module</t>
  </si>
  <si>
    <t>cockpit module assembly</t>
  </si>
  <si>
    <t>M8大垫圈组合螺栓</t>
  </si>
  <si>
    <t>M8 large washer combination bolt</t>
  </si>
  <si>
    <t>M8大垫片</t>
  </si>
  <si>
    <t>M8 large washer</t>
  </si>
  <si>
    <t>散热器左导流板装配</t>
    <phoneticPr fontId="4" type="noConversion"/>
  </si>
  <si>
    <t>Radiator left deflector assembly</t>
  </si>
  <si>
    <t>散热器左导流板</t>
    <phoneticPr fontId="4" type="noConversion"/>
  </si>
  <si>
    <t>Radiator left deflector</t>
  </si>
  <si>
    <t>六角螺栓</t>
    <phoneticPr fontId="4" type="noConversion"/>
  </si>
  <si>
    <t>hexagonal bolt</t>
  </si>
  <si>
    <t>散热器右导流板装配</t>
    <phoneticPr fontId="4" type="noConversion"/>
  </si>
  <si>
    <t>radiator right deflector assembly</t>
  </si>
  <si>
    <t>散热器右导流板</t>
  </si>
  <si>
    <t>radiator right deflector</t>
  </si>
  <si>
    <t>Radiator right deflector assembly</t>
  </si>
  <si>
    <t>散热器下导流板装配</t>
    <phoneticPr fontId="4" type="noConversion"/>
  </si>
  <si>
    <t>Radiator lower deflector assembly</t>
  </si>
  <si>
    <t>散热器下导流板</t>
  </si>
  <si>
    <t>Radiator bottom deflector</t>
  </si>
  <si>
    <t>Radiator bottom deflector assembly</t>
  </si>
  <si>
    <t>CVT换档操纵机构安装支架装配</t>
  </si>
  <si>
    <t>CVT shift control mechanism mounting bracket assembly</t>
  </si>
  <si>
    <t>换挡机构支架总成</t>
  </si>
  <si>
    <t>Shift mechanism bracket assembly</t>
  </si>
  <si>
    <t>车外气温度传感器总成装配</t>
  </si>
  <si>
    <t>Outside air temperature sensor assembly</t>
  </si>
  <si>
    <t>车外温度传感器总成</t>
  </si>
  <si>
    <t>Outside temperature sensor assembly</t>
  </si>
  <si>
    <t>活性碳罐总成装配</t>
  </si>
  <si>
    <t>Activated carbon canister assembly</t>
  </si>
  <si>
    <t>活性碳罐总成</t>
  </si>
  <si>
    <t>activated carbon canister assembly</t>
  </si>
  <si>
    <t>燃油蒸汽管装配</t>
  </si>
  <si>
    <t>Fuel vapor pipe assembly</t>
  </si>
  <si>
    <t>燃油蒸汽管总成（炭罐-管夹）</t>
  </si>
  <si>
    <t>Fuel vapor pipe assembly (canister-clamp)</t>
  </si>
  <si>
    <t>驻车拉索安装支架装配</t>
  </si>
  <si>
    <t>Parking cable mounting bracket assembly</t>
  </si>
  <si>
    <t>驻车拉索安装支架(左)</t>
  </si>
  <si>
    <t>Parking cable mounting bracket (left)</t>
  </si>
  <si>
    <t>Parking brake cable mounting bracket assembly</t>
  </si>
  <si>
    <t>驻车拉索安装支架(右)</t>
  </si>
  <si>
    <t>Parking cable mounting bracket (right)</t>
  </si>
  <si>
    <t>后弹跳缓冲器总成装配</t>
  </si>
  <si>
    <t>Rear Bumper Assembly</t>
  </si>
  <si>
    <t>后弹跳缓冲器总成</t>
  </si>
  <si>
    <t>rear bumper assembly</t>
  </si>
  <si>
    <t>Rear Bounce Buffer Assembly</t>
  </si>
  <si>
    <t>后悬架弹跳缓冲器安装螺栓</t>
  </si>
  <si>
    <t>Rear suspension rebound damper mounting bolts</t>
  </si>
  <si>
    <t>前摆臂与前副车架连接</t>
  </si>
  <si>
    <t>Front suspension arm connects to front subframe</t>
  </si>
  <si>
    <t>左前摆臂总成</t>
  </si>
  <si>
    <t>left front suspension arm assembly</t>
  </si>
  <si>
    <t>Front suspension arm connected to front subframe</t>
  </si>
  <si>
    <t>右前摆臂总成</t>
  </si>
  <si>
    <t>right front suspension arm assembly</t>
  </si>
  <si>
    <t>Front suspension arm is connected to the front subframe</t>
  </si>
  <si>
    <t>施必牢六角法兰面防松螺母</t>
  </si>
  <si>
    <t>with a locknut with a hexagonal flange</t>
  </si>
  <si>
    <t>with hexagonal flange bolts</t>
  </si>
  <si>
    <t>前横向稳定杆与前副车架连接</t>
  </si>
  <si>
    <t>Front stabilizer bar connected to front subframe</t>
  </si>
  <si>
    <t>前横向稳定杆衬套</t>
    <phoneticPr fontId="2" type="noConversion"/>
  </si>
  <si>
    <t>Front stabilizer bar bushing</t>
  </si>
  <si>
    <t>Front stabilizer bar is connected to the front subframe</t>
  </si>
  <si>
    <t>前横向稳定杆垫块</t>
  </si>
  <si>
    <t>Front stabilizer bar spacer</t>
  </si>
  <si>
    <t>前横向稳定杆总成</t>
    <phoneticPr fontId="2" type="noConversion"/>
  </si>
  <si>
    <t>Front stabilizer bar assembly</t>
  </si>
  <si>
    <t>前横向稳定杆支架</t>
  </si>
  <si>
    <t>Front stabilizer bar bracket</t>
  </si>
  <si>
    <t>前稳定杆支架安装螺栓</t>
  </si>
  <si>
    <t>Front stabilizer bracket mounting bolts</t>
  </si>
  <si>
    <t>前副车架总成</t>
  </si>
  <si>
    <t>Front subframe assembly</t>
  </si>
  <si>
    <t>前悬架连杆总成装配</t>
  </si>
  <si>
    <t>Front suspension link assembly</t>
  </si>
  <si>
    <t>前悬架左连杆总成</t>
  </si>
  <si>
    <t>Front suspension left link assembly</t>
  </si>
  <si>
    <t>Front suspension rod assembly</t>
  </si>
  <si>
    <t>前悬架右连杆总成</t>
  </si>
  <si>
    <t>Front suspension right connecting rod assembly</t>
  </si>
  <si>
    <t>with a SPLI-LOCK hexagonal flange-face lock nut</t>
  </si>
  <si>
    <t>机械式方向机装配</t>
  </si>
  <si>
    <t>Mechanical steering gear assembly</t>
  </si>
  <si>
    <t>机械式转向器总成</t>
  </si>
  <si>
    <t>mechanical steering gear assembly</t>
  </si>
  <si>
    <t>转向机安装螺栓</t>
  </si>
  <si>
    <t>Steering gear mounting bolts</t>
  </si>
  <si>
    <t>a SFS locknut with a hexagonal flange</t>
  </si>
  <si>
    <t>前副车架模块与车身连接</t>
  </si>
  <si>
    <t>Front subframe module connected to the body</t>
  </si>
  <si>
    <t>前副车架模块（二）</t>
  </si>
  <si>
    <t>Front subframe module (2)</t>
  </si>
  <si>
    <t>前副车架后安装螺栓</t>
  </si>
  <si>
    <t>Rear mounting bolts of the front subframe</t>
  </si>
  <si>
    <t>Front subframe module connected to body</t>
  </si>
  <si>
    <t>副车架前大垫圈</t>
  </si>
  <si>
    <t>Front large washer of subframe</t>
  </si>
  <si>
    <t>副车架前安装螺栓</t>
  </si>
  <si>
    <t>Front subframe mounting bolts</t>
  </si>
  <si>
    <t>Front subframe module connects to the body</t>
  </si>
  <si>
    <t>副车架连接板后安装螺栓</t>
  </si>
  <si>
    <t>Subframe attachment plate Rear mounting bolts</t>
  </si>
  <si>
    <t>后副车架模块装配</t>
  </si>
  <si>
    <t>rear subframe module assembly</t>
  </si>
  <si>
    <t>后纵臂安装支架螺栓</t>
  </si>
  <si>
    <t>Rear longitudinal arm mounting bracket bolts</t>
  </si>
  <si>
    <t>Rear subframe module assembly</t>
  </si>
  <si>
    <t>后副车架安装螺栓</t>
  </si>
  <si>
    <t>rear subframe mounting bolts</t>
  </si>
  <si>
    <t>后副车架安装垫片</t>
  </si>
  <si>
    <t>rear subframe mounting shims</t>
  </si>
  <si>
    <t>后副车架模块</t>
    <phoneticPr fontId="4" type="noConversion"/>
  </si>
  <si>
    <t>rear subframe module</t>
  </si>
  <si>
    <t>后螺旋弹簧装配</t>
  </si>
  <si>
    <t>rear coil spring assembly</t>
  </si>
  <si>
    <t>后螺旋弹簧</t>
  </si>
  <si>
    <t>rear coil spring</t>
  </si>
  <si>
    <t>后螺旋弹簧上限位块</t>
  </si>
  <si>
    <t>upper limit block of rear coil spring</t>
  </si>
  <si>
    <t>纵臂安装支架撑杆总成装配</t>
  </si>
  <si>
    <t>Longitudinal arm mounting bracket strut assembly</t>
  </si>
  <si>
    <t>纵臂安装支架撑杆</t>
  </si>
  <si>
    <t>longitudinal arm mounting bracket strut</t>
  </si>
  <si>
    <t>后纵臂安装支架撑杆螺栓</t>
  </si>
  <si>
    <t>Rear longitudinal arm mounting bracket strut bolt</t>
  </si>
  <si>
    <t>前轮速传感器装配</t>
  </si>
  <si>
    <t>Front wheel speed sensor assembly</t>
  </si>
  <si>
    <t>前智能轮速传感器</t>
  </si>
  <si>
    <t>Front intelligent wheel speed sensor</t>
  </si>
  <si>
    <t>前隔热罩装配（EW10）</t>
  </si>
  <si>
    <t>Front insulation cover assembly (EW10)</t>
  </si>
  <si>
    <t>前隔热罩</t>
  </si>
  <si>
    <t>Front insulation cover</t>
  </si>
  <si>
    <t>中隔热罩装配</t>
  </si>
  <si>
    <t>insulation cover assembly</t>
  </si>
  <si>
    <t>中隔热罩</t>
  </si>
  <si>
    <t>insulating cover</t>
  </si>
  <si>
    <t>Thermal insulation cover assembly</t>
  </si>
  <si>
    <t>hex nut and conical spring washer assembly</t>
  </si>
  <si>
    <t>后级消声器装配</t>
  </si>
  <si>
    <t>Rear silencer assembly</t>
  </si>
  <si>
    <t>悬挂软垫</t>
    <phoneticPr fontId="4" type="noConversion"/>
  </si>
  <si>
    <t>suspended upholstery</t>
  </si>
  <si>
    <t>后级消声器</t>
  </si>
  <si>
    <t>back muffler</t>
  </si>
  <si>
    <t>Rear muffler assembly</t>
  </si>
  <si>
    <t>六角法兰面锁紧螺母</t>
  </si>
  <si>
    <t>hexagonal flange face lock nut</t>
  </si>
  <si>
    <t>衬垫</t>
    <phoneticPr fontId="4" type="noConversion"/>
  </si>
  <si>
    <t>gasket</t>
  </si>
  <si>
    <t>前级消声器总成装配</t>
  </si>
  <si>
    <t>Pre-muffler assembly</t>
  </si>
  <si>
    <t>前级消声器</t>
  </si>
  <si>
    <t>pre-stage muffler</t>
  </si>
  <si>
    <t>Front silencer assembly</t>
  </si>
  <si>
    <t>悬挂软垫</t>
  </si>
  <si>
    <t>suspension upholstery</t>
  </si>
  <si>
    <t>Front muffler assembly</t>
  </si>
  <si>
    <t>Hex flange face lock nut</t>
  </si>
  <si>
    <t>衬垫</t>
  </si>
  <si>
    <t>expansion tank module subassembly</t>
  </si>
  <si>
    <t>膨胀水箱安装支架</t>
    <phoneticPr fontId="4" type="noConversion"/>
  </si>
  <si>
    <t>expansion tank mounting bracket</t>
  </si>
  <si>
    <t>膨胀水箱组合模块二</t>
    <phoneticPr fontId="4" type="noConversion"/>
  </si>
  <si>
    <t>expansion tank combination module 2</t>
  </si>
  <si>
    <t>Expansion tank module 2</t>
  </si>
  <si>
    <t>Single-ear endless hoop</t>
  </si>
  <si>
    <t>车轮装配</t>
  </si>
  <si>
    <t>Wheel assembly</t>
  </si>
  <si>
    <t>车轮组合模块</t>
    <phoneticPr fontId="4" type="noConversion"/>
  </si>
  <si>
    <t>wheel assembly module</t>
  </si>
  <si>
    <t>wheel assembly</t>
  </si>
  <si>
    <t>车轮锥面螺母</t>
  </si>
  <si>
    <t>wheel cone nut</t>
  </si>
  <si>
    <t>车轮螺母装饰盖装配</t>
  </si>
  <si>
    <t>Wheel nut decorative cover assembly</t>
  </si>
  <si>
    <t>车轮螺母装饰盖</t>
  </si>
  <si>
    <t>wheel nut decorative cover</t>
  </si>
  <si>
    <t>备胎装配</t>
  </si>
  <si>
    <t>Spare wheel assembly</t>
  </si>
  <si>
    <t>备胎组合模块</t>
    <phoneticPr fontId="4" type="noConversion"/>
  </si>
  <si>
    <t>spare tire assembly</t>
  </si>
  <si>
    <t>Spare tire assembly</t>
  </si>
  <si>
    <t>备胎固定螺栓压板总成</t>
  </si>
  <si>
    <t>Spare tire fixing bolt lever assembly</t>
  </si>
  <si>
    <t>轮胎气压标牌装配</t>
  </si>
  <si>
    <t>Tire pressure label assembly</t>
  </si>
  <si>
    <t>轮胎气压标签</t>
  </si>
  <si>
    <t>Tire pressure label</t>
  </si>
  <si>
    <t>前车门框密封条装配</t>
  </si>
  <si>
    <t>Front door frame seal assembly</t>
  </si>
  <si>
    <t xml:space="preserve">左前车门框密封条 </t>
  </si>
  <si>
    <t xml:space="preserve">Left front door frame seal </t>
  </si>
  <si>
    <t xml:space="preserve">右前车门框密封条 </t>
  </si>
  <si>
    <t xml:space="preserve">Right front door frame seal </t>
  </si>
  <si>
    <t>后车门框密封条装配</t>
  </si>
  <si>
    <t>rear door frame seal assembly</t>
  </si>
  <si>
    <t xml:space="preserve">左后车门框密封条 </t>
  </si>
  <si>
    <t xml:space="preserve">Left rear door frame seal </t>
  </si>
  <si>
    <t xml:space="preserve">右后车门框密封条 </t>
  </si>
  <si>
    <t xml:space="preserve">Right rear door frame seal </t>
  </si>
  <si>
    <t>行李箱封条装配</t>
  </si>
  <si>
    <t>Trunk seal assembly</t>
  </si>
  <si>
    <t>后背门密封条</t>
  </si>
  <si>
    <t>rear door seal</t>
  </si>
  <si>
    <t>发动机罩后密封条装配</t>
  </si>
  <si>
    <t>Hood rear seal assembly</t>
  </si>
  <si>
    <t>发动机罩后密封条</t>
  </si>
  <si>
    <t>Hood rear seal</t>
  </si>
  <si>
    <t>发动机罩前密封条装配</t>
  </si>
  <si>
    <t>Hood front seal assembly</t>
  </si>
  <si>
    <t>发动机罩前密封条</t>
  </si>
  <si>
    <t>Hood front seal</t>
  </si>
  <si>
    <t>前车门外密封条装配</t>
  </si>
  <si>
    <t>Front outer door seal assembly</t>
  </si>
  <si>
    <t xml:space="preserve">左前车门外密封条 </t>
  </si>
  <si>
    <t xml:space="preserve">Left front outer door seal </t>
  </si>
  <si>
    <t xml:space="preserve">右前车门外密封条 </t>
  </si>
  <si>
    <t xml:space="preserve">Right front door outer seal </t>
  </si>
  <si>
    <t>后车门外密封条装配</t>
  </si>
  <si>
    <t>Rear door outer seal assembly</t>
  </si>
  <si>
    <t xml:space="preserve">左后车门外密封条  </t>
  </si>
  <si>
    <t xml:space="preserve">Left rear door outer seal  </t>
  </si>
  <si>
    <t xml:space="preserve">右后车门外密封条  </t>
  </si>
  <si>
    <t xml:space="preserve">Right rear door outer seal  </t>
  </si>
  <si>
    <t>Rear door seal assembly</t>
  </si>
  <si>
    <t>十字槽盘头自攻螺钉和大垫片组合</t>
  </si>
  <si>
    <t>Cross recessed pan head tapping screws with large washers</t>
  </si>
  <si>
    <t>机罩锁内开启手柄装配</t>
  </si>
  <si>
    <t>Hood lock internal opening handle assembly</t>
  </si>
  <si>
    <t>机罩锁内开启手柄</t>
  </si>
  <si>
    <t>Opening handle inside hood lock</t>
  </si>
  <si>
    <t>前排座椅总成装配</t>
  </si>
  <si>
    <t>Front seat assembly</t>
  </si>
  <si>
    <t>司机座椅总成</t>
    <phoneticPr fontId="4" type="noConversion"/>
  </si>
  <si>
    <t>driver seat assembly</t>
  </si>
  <si>
    <t>Front seat assembly assembly</t>
  </si>
  <si>
    <t>副司机座椅总成</t>
    <phoneticPr fontId="4" type="noConversion"/>
  </si>
  <si>
    <t>passenger seat assembly</t>
  </si>
  <si>
    <t>内六角花盘头螺栓组合件</t>
  </si>
  <si>
    <t>Hexagon socket head cap screw assembly</t>
  </si>
  <si>
    <t>后排座椅靠背总成-右装配</t>
  </si>
  <si>
    <t>Rear seat back assembly-right assembly</t>
  </si>
  <si>
    <t>后排四分靠背总成</t>
    <phoneticPr fontId="4" type="noConversion"/>
  </si>
  <si>
    <t>rear quarter backrest assembly</t>
  </si>
  <si>
    <t>Rear seat backrest assembly - right assembly</t>
  </si>
  <si>
    <t>后排座椅座垫总成装配</t>
  </si>
  <si>
    <t>rear seat cushion assembly assembly</t>
  </si>
  <si>
    <t>后排四分坐垫总成</t>
    <phoneticPr fontId="4" type="noConversion"/>
  </si>
  <si>
    <t>Rear Quarter Cushion Assembly</t>
  </si>
  <si>
    <t>Rear seat cushion assembly</t>
  </si>
  <si>
    <t>后排六分坐垫总成</t>
    <phoneticPr fontId="4" type="noConversion"/>
  </si>
  <si>
    <t>rear six-point seat cushion assembly</t>
  </si>
  <si>
    <t>Socket head cap screw combination</t>
  </si>
  <si>
    <t>后排座椅靠背总成-左装配</t>
  </si>
  <si>
    <t>Rear seat back assembly - left assembly</t>
  </si>
  <si>
    <t>后排六分靠背总成</t>
    <phoneticPr fontId="4" type="noConversion"/>
  </si>
  <si>
    <t>Rear six-point reclining seat back assembly</t>
  </si>
  <si>
    <t>Rear seat backrest assembly - left assembly</t>
  </si>
  <si>
    <t>后排座椅铰链支架合件装配</t>
  </si>
  <si>
    <t>Rear seat hinge bracket assembly</t>
  </si>
  <si>
    <t>铰链支架</t>
  </si>
  <si>
    <t>hinge bracket</t>
  </si>
  <si>
    <t>Socket head cap screw assembly</t>
  </si>
  <si>
    <t>后排座椅锁钩总成装配</t>
  </si>
  <si>
    <t>Rear seat lock hook assembly</t>
  </si>
  <si>
    <t>后排靠背锁干合件</t>
  </si>
  <si>
    <t>rear backrest lock dry assembly</t>
  </si>
  <si>
    <t>六角头带齿法兰面螺栓</t>
  </si>
  <si>
    <t>Hexagon head bolts with toothed flange</t>
  </si>
  <si>
    <t>安全带高度调节器总成装配</t>
  </si>
  <si>
    <t>Seat belt height adjuster assembly</t>
  </si>
  <si>
    <t>安全带高度调节器总成</t>
  </si>
  <si>
    <t>前排座椅安全带总成装配</t>
    <phoneticPr fontId="4" type="noConversion"/>
  </si>
  <si>
    <t>Front seat belt assembly</t>
  </si>
  <si>
    <t>驾驶员安全带总成</t>
    <phoneticPr fontId="4" type="noConversion"/>
  </si>
  <si>
    <t>driver's seat belt assembly</t>
  </si>
  <si>
    <t>Front seat belt assembly assembly</t>
  </si>
  <si>
    <t>乘员安全带总成</t>
    <phoneticPr fontId="2" type="noConversion"/>
  </si>
  <si>
    <t>occupant seat belt assembly</t>
  </si>
  <si>
    <t>自带螺栓</t>
    <phoneticPr fontId="4" type="noConversion"/>
  </si>
  <si>
    <t>with its own bolts</t>
  </si>
  <si>
    <t>安全带高调器盖帽</t>
    <phoneticPr fontId="4" type="noConversion"/>
  </si>
  <si>
    <t>Seat belt height adjuster cap</t>
  </si>
  <si>
    <t>螺栓头盖帽</t>
    <phoneticPr fontId="4" type="noConversion"/>
  </si>
  <si>
    <t>bolt head cap</t>
  </si>
  <si>
    <t>第二排安全带总成装配</t>
  </si>
  <si>
    <t>Second-row seat belt assembly</t>
  </si>
  <si>
    <t>第二排左侧安全带总成</t>
  </si>
  <si>
    <t>second row left seat belt assembly</t>
  </si>
  <si>
    <t>第二排右侧安全带总成</t>
  </si>
  <si>
    <t>second row right seat belt assembly</t>
  </si>
  <si>
    <t>导向环盖帽</t>
  </si>
  <si>
    <t>guide ring cap</t>
  </si>
  <si>
    <t>螺栓头盖帽</t>
  </si>
  <si>
    <t>第二排安全带右锁扣总成装配</t>
  </si>
  <si>
    <t>Second-row seat belt right latch assembly</t>
  </si>
  <si>
    <t>后排左侧安全带扣锁总成</t>
  </si>
  <si>
    <t>Rear left seat belt buckle assembly</t>
  </si>
  <si>
    <t>Second-row right seat belt buckle assembly</t>
  </si>
  <si>
    <t>第二排中间安全带锁扣总成</t>
  </si>
  <si>
    <t>Second-row center seat belt buckle assembly</t>
  </si>
  <si>
    <t>加油拧盖装配</t>
  </si>
  <si>
    <t>fuel filler cap assembly</t>
  </si>
  <si>
    <t>加油拧盖总成</t>
  </si>
  <si>
    <t>fuel cap assembly</t>
  </si>
  <si>
    <t>方向盘本体总成装配</t>
    <phoneticPr fontId="4" type="noConversion"/>
  </si>
  <si>
    <t>Steering wheel body assembly</t>
  </si>
  <si>
    <t>方向盘组合模块</t>
    <phoneticPr fontId="4" type="noConversion"/>
  </si>
  <si>
    <t>steering wheel assembly module</t>
  </si>
  <si>
    <t>steering wheel body assembly</t>
  </si>
  <si>
    <t>方向盘压紧螺母</t>
    <phoneticPr fontId="2" type="noConversion"/>
  </si>
  <si>
    <t>steering wheel compression nut</t>
  </si>
  <si>
    <t>前门防水薄膜装配</t>
  </si>
  <si>
    <t>Waterproofing film for front door</t>
  </si>
  <si>
    <t>左前门防水薄膜</t>
  </si>
  <si>
    <t>Left front door waterproof film</t>
  </si>
  <si>
    <t>Front door water-resistant film assembly</t>
  </si>
  <si>
    <t>右前门防水薄膜</t>
  </si>
  <si>
    <t>Right front door waterproof film</t>
  </si>
  <si>
    <t>后门防水薄膜装配</t>
  </si>
  <si>
    <t>Rear door waterproof film assembly</t>
  </si>
  <si>
    <t>左后门防水薄膜</t>
  </si>
  <si>
    <t>Left rear door waterproof film</t>
  </si>
  <si>
    <t>Rear door water barrier film assembly</t>
  </si>
  <si>
    <t>右后门防水薄膜</t>
  </si>
  <si>
    <t>Waterproof film for right rear door</t>
  </si>
  <si>
    <t>车门锁外开把手总成装配</t>
  </si>
  <si>
    <t>Door lock, outer-opening handle assembly</t>
  </si>
  <si>
    <t>左前车门把手手柄组件（智能型）</t>
    <phoneticPr fontId="4" type="noConversion"/>
  </si>
  <si>
    <t>Left front door handle assembly (smart type)</t>
  </si>
  <si>
    <t>Door lock outer opening handle assembly</t>
  </si>
  <si>
    <t>右前车门把手手柄组件</t>
  </si>
  <si>
    <t>Right front door handle assembly</t>
  </si>
  <si>
    <t>右后车门外把手手柄组件</t>
  </si>
  <si>
    <t>Handle assembly for the outside handle of the right rear door</t>
  </si>
  <si>
    <t>左后车门外把手手柄组件</t>
  </si>
  <si>
    <t>Left rear door outer handle handle assembly</t>
  </si>
  <si>
    <t>Door lock assembly for handle that opens outwards</t>
  </si>
  <si>
    <t>左前车门外把手底座组件</t>
  </si>
  <si>
    <t>Left front door outer handle base assembly</t>
  </si>
  <si>
    <t>右前车门把手底座组件</t>
  </si>
  <si>
    <t>Right front door handle base assembly</t>
  </si>
  <si>
    <t>左后车门外把手底座组件</t>
  </si>
  <si>
    <t>Left rear door outer handle base assembly</t>
  </si>
  <si>
    <t>右后车门外把手底座组件</t>
  </si>
  <si>
    <t>Right rear door outer handle base assembly</t>
  </si>
  <si>
    <t>前车门限位器总成装配</t>
  </si>
  <si>
    <t>Front door stopper assembly</t>
  </si>
  <si>
    <t>前车门限位器总成</t>
  </si>
  <si>
    <t>六角法兰面承面带齿螺栓</t>
  </si>
  <si>
    <t>Hexagonal flange surface bearing surface with toothed bolt</t>
  </si>
  <si>
    <t>后车门限位器总成装配</t>
  </si>
  <si>
    <t>Rear door stopper assembly</t>
  </si>
  <si>
    <t>后车门限位器总成</t>
  </si>
  <si>
    <t>Rear door stop assembly</t>
  </si>
  <si>
    <t>前车门玻璃导槽装配</t>
  </si>
  <si>
    <t>Front door glass guide assembly</t>
  </si>
  <si>
    <t>左前车门玻璃导槽</t>
  </si>
  <si>
    <t>Left front door glass guide</t>
  </si>
  <si>
    <t>右前车门玻璃导槽</t>
  </si>
  <si>
    <t>Right front door glass guide</t>
  </si>
  <si>
    <t>后车门玻璃导槽装配</t>
  </si>
  <si>
    <t>rear door glass guide assembly</t>
  </si>
  <si>
    <t xml:space="preserve">左后车门玻璃导槽  </t>
  </si>
  <si>
    <t xml:space="preserve">Left rear door glass guide  </t>
  </si>
  <si>
    <t xml:space="preserve">右后车门玻璃导槽  </t>
  </si>
  <si>
    <t xml:space="preserve">Right rear door glass guide  </t>
  </si>
  <si>
    <t>前门玻璃后下导轨总成装配</t>
  </si>
  <si>
    <t>Front door glass Rear lower rail assembly</t>
  </si>
  <si>
    <t>左前门玻璃后下导轨总成</t>
  </si>
  <si>
    <t>Left front door glass rear lower rail assembly</t>
  </si>
  <si>
    <t>Front door glass rear lower rail assembly</t>
  </si>
  <si>
    <t>右前门玻璃后下导轨总成</t>
  </si>
  <si>
    <t>Right front door glass rear lower rail assembly</t>
  </si>
  <si>
    <t>前门玻璃升降器总成装配</t>
  </si>
  <si>
    <t>Front door glass lifter assembly</t>
  </si>
  <si>
    <t>左前门玻璃升降器总成</t>
  </si>
  <si>
    <t>Left front door glass lifter assembly</t>
  </si>
  <si>
    <t>右前门玻璃升降器总成</t>
  </si>
  <si>
    <t>Right front door glass lifter assembly</t>
  </si>
  <si>
    <t>后门玻璃后下导轨总成装配</t>
  </si>
  <si>
    <t>Rear door glass rear lower rail assembly</t>
  </si>
  <si>
    <t>左后门玻璃后下导轨总成</t>
  </si>
  <si>
    <t>Left rear door glass rear lower rail assembly</t>
  </si>
  <si>
    <t>Rear lower guide rail assembly for rear door glass</t>
  </si>
  <si>
    <t>右后门玻璃后下导轨总成</t>
  </si>
  <si>
    <t>Right rear door glass lower rear rail assembly</t>
  </si>
  <si>
    <t>Rear door glass lower rear rail assembly</t>
  </si>
  <si>
    <t>后门三角块总成装配</t>
  </si>
  <si>
    <t>Rear door triangle assembly</t>
  </si>
  <si>
    <t>左后门三角块总成</t>
  </si>
  <si>
    <t>Left rear door triangle block assembly</t>
  </si>
  <si>
    <t>Rear door triangle block assembly</t>
  </si>
  <si>
    <t>右后门三角块总成</t>
  </si>
  <si>
    <t>Right rear door triangle block assembly</t>
  </si>
  <si>
    <t>十字槽大扁头自攻螺钉</t>
  </si>
  <si>
    <t>Cross recessed flat head tapping screw</t>
  </si>
  <si>
    <t>后门玻璃升降器总成装配</t>
  </si>
  <si>
    <t>Rear door glass lifter assembly</t>
  </si>
  <si>
    <t>左后门玻璃升降器总成</t>
  </si>
  <si>
    <t>Left rear door glass lifter assembly</t>
  </si>
  <si>
    <t>右后门玻璃升降器总成</t>
  </si>
  <si>
    <t>Right rear door glass lifter assembly</t>
  </si>
  <si>
    <t>电动后视镜总成装配</t>
  </si>
  <si>
    <t>Electric rearview mirror assembly</t>
  </si>
  <si>
    <t>电动后视镜总成-司机侧</t>
  </si>
  <si>
    <t>Electric rearview mirror assembly - driver's side</t>
  </si>
  <si>
    <t>电动后视镜总成-乘客侧</t>
  </si>
  <si>
    <t>Electric rearview mirror assembly - passenger side</t>
  </si>
  <si>
    <t>前车门内水切装配</t>
  </si>
  <si>
    <t>Front door inner water-cut assembly</t>
  </si>
  <si>
    <t>左前车门内水切</t>
  </si>
  <si>
    <t>left front door inner water cut</t>
  </si>
  <si>
    <t>Front door inner water cut assembly</t>
  </si>
  <si>
    <t>右前车门内水切</t>
  </si>
  <si>
    <t>Right front door inner water cut</t>
  </si>
  <si>
    <t>前车门外水切装配</t>
  </si>
  <si>
    <t>Front door outer water cut assembly</t>
  </si>
  <si>
    <t>左前车门外水切</t>
  </si>
  <si>
    <t>Left front door water cut</t>
  </si>
  <si>
    <t>Front outer door water cut assembly</t>
  </si>
  <si>
    <t>右前车门外水切</t>
  </si>
  <si>
    <t>Right front door outer water cut</t>
  </si>
  <si>
    <t>Cross recessed pan head tapping screw with large washer</t>
  </si>
  <si>
    <t xml:space="preserve">后车门内水切装配 </t>
  </si>
  <si>
    <t xml:space="preserve">Inner door water seal for rear doors </t>
  </si>
  <si>
    <t>左后车门内水切</t>
  </si>
  <si>
    <t>Left rear door inner water cut</t>
  </si>
  <si>
    <t xml:space="preserve">rear door inner water cut assembly </t>
  </si>
  <si>
    <t>右后车门内水切</t>
  </si>
  <si>
    <t>Water seal inside rear right-hand door</t>
  </si>
  <si>
    <t>后车门外水切装配</t>
  </si>
  <si>
    <t>Rear door outer water cut assembly</t>
  </si>
  <si>
    <t>左后车门外水切</t>
  </si>
  <si>
    <t>Left rear door water cut</t>
  </si>
  <si>
    <t>右后车门外水切</t>
  </si>
  <si>
    <t>Right rear door water cut</t>
  </si>
  <si>
    <t>Rear door water-cut assembly</t>
  </si>
  <si>
    <t>Cross recessed pan head tapping screw and large washer combination</t>
  </si>
  <si>
    <t>前车门车窗上亮条总成装配</t>
  </si>
  <si>
    <t>Front door window trim assembly</t>
  </si>
  <si>
    <t>左前门车窗上亮条总成</t>
  </si>
  <si>
    <t>bright strip assembly for left front door window</t>
  </si>
  <si>
    <t>右前门车窗上亮条总成</t>
  </si>
  <si>
    <t>Right front door window bright bar assembly</t>
  </si>
  <si>
    <t>Front door window bright strip assembly</t>
  </si>
  <si>
    <t>十字槽沉头螺钉</t>
  </si>
  <si>
    <t>Phillips head screws with cross recesses</t>
  </si>
  <si>
    <t>后车门车窗上亮条总成装配</t>
  </si>
  <si>
    <t>Rear door window trim assembly</t>
  </si>
  <si>
    <t>左后门车窗上亮条总成</t>
  </si>
  <si>
    <t>bright strip assembly for left rear door window</t>
  </si>
  <si>
    <t>右后门车窗上亮条总成</t>
  </si>
  <si>
    <t>Right rear door window bright bar assembly</t>
  </si>
  <si>
    <t>前门前密封块装配</t>
  </si>
  <si>
    <t>Front door seal assembly</t>
  </si>
  <si>
    <t>左前三角密封块</t>
  </si>
  <si>
    <t>Left front triangle seal</t>
  </si>
  <si>
    <t>右前三角密封块</t>
  </si>
  <si>
    <t>Right front triangle seal</t>
  </si>
  <si>
    <t>前门三角窗护板总成装配</t>
  </si>
  <si>
    <t>Front door triangular window guard assembly</t>
  </si>
  <si>
    <t>右前门三角窗护板总成</t>
  </si>
  <si>
    <t>Right front door triangular window guard assembly</t>
  </si>
  <si>
    <t>后门拉手固定支架总成装配</t>
  </si>
  <si>
    <t>Rear door handle fixing bracket assembly</t>
  </si>
  <si>
    <t>左后拉手固定支架总成</t>
  </si>
  <si>
    <t>Left rear handle fixed bracket assembly</t>
  </si>
  <si>
    <t>右后拉手固定支架总成</t>
  </si>
  <si>
    <t>Right rear handle bracket assembly</t>
  </si>
  <si>
    <t>后门后密封块装配</t>
  </si>
  <si>
    <t>Rear door rear seal assembly</t>
  </si>
  <si>
    <t>左后三角密封块</t>
  </si>
  <si>
    <t>Left rear triangle seal</t>
  </si>
  <si>
    <t>rear door rear seal block assembly</t>
  </si>
  <si>
    <t>右后密封块</t>
  </si>
  <si>
    <t>right rear seal</t>
  </si>
  <si>
    <t>后门中密封块装配</t>
  </si>
  <si>
    <t>Rear door center seal assembly</t>
  </si>
  <si>
    <t>左中三角密封块</t>
  </si>
  <si>
    <t>Left center triangle seal block</t>
  </si>
  <si>
    <t>右中密封块</t>
  </si>
  <si>
    <t>right center seal block</t>
  </si>
  <si>
    <t>全频扬声器总成装配</t>
  </si>
  <si>
    <t>Full-range speaker assembly</t>
  </si>
  <si>
    <t>方塑料螺母</t>
  </si>
  <si>
    <t>square plastic nut</t>
  </si>
  <si>
    <t>全频扬声器总成</t>
  </si>
  <si>
    <t>full-range speaker assembly</t>
  </si>
  <si>
    <t>十字头自攻螺钉平垫组合</t>
  </si>
  <si>
    <t>Cross recessed head tapping screw with flat washer</t>
  </si>
  <si>
    <t>排气管前段装配</t>
  </si>
  <si>
    <t>Exhaust pipe front section assembly</t>
  </si>
  <si>
    <t>排气管前段总成</t>
  </si>
  <si>
    <t>exhaust pipe front assembly</t>
  </si>
  <si>
    <t>衬垫（催化器端）</t>
  </si>
  <si>
    <t>a lining (catalytic converter end)</t>
  </si>
  <si>
    <t>Front exhaust pipe assembly</t>
  </si>
  <si>
    <t>起动机装配</t>
    <phoneticPr fontId="2" type="noConversion"/>
  </si>
  <si>
    <t>Starter assembly</t>
  </si>
  <si>
    <t>起动机</t>
    <phoneticPr fontId="4" type="noConversion"/>
  </si>
  <si>
    <t>starter</t>
  </si>
  <si>
    <t>燃油管支架装配</t>
  </si>
  <si>
    <t>fuel line bracket assembly</t>
  </si>
  <si>
    <t>燃油管支架</t>
  </si>
  <si>
    <t>fuel line bracket</t>
  </si>
  <si>
    <t>Fuel line bracket assembly</t>
  </si>
  <si>
    <t>卷收式行李箱隔板总成装配</t>
  </si>
  <si>
    <t>Retractable luggage compartment partition assembly</t>
  </si>
  <si>
    <t>卷收式行李箱隔板总成</t>
  </si>
  <si>
    <t>前后门立柱高光黑膜贴条粘贴</t>
  </si>
  <si>
    <t>High-gloss black film strips are pasted on the front and rear door pillars</t>
  </si>
  <si>
    <t>左前门立柱高光黑膜贴条</t>
  </si>
  <si>
    <t>Left front door pillar high-gloss black film strip</t>
  </si>
  <si>
    <t>High-gloss black film strips on the front and rear door columns</t>
  </si>
  <si>
    <t>右前门立柱高光黑膜贴条</t>
  </si>
  <si>
    <t>High-gloss black film strip on the right front door pillar</t>
  </si>
  <si>
    <t>High-gloss black film strips on the front and rear door columns are affixed</t>
  </si>
  <si>
    <t>左后门前立柱高光黑膜贴条</t>
  </si>
  <si>
    <t>High-gloss black film strip on the left rear door front pillar</t>
  </si>
  <si>
    <t>右后门前立柱高光黑膜贴条</t>
  </si>
  <si>
    <t>High-gloss black film strip on the front right door pillar</t>
  </si>
  <si>
    <t>左后门后立柱高光黑膜贴条</t>
  </si>
  <si>
    <t>High-gloss black film strip on the rear left-hand door pillar</t>
  </si>
  <si>
    <t>右后门后立柱高光黑膜贴条</t>
  </si>
  <si>
    <t>High-gloss black film strip on the rear pillar of the right rear door</t>
  </si>
  <si>
    <t>车顶密封条装配</t>
  </si>
  <si>
    <t>Roof seal assembly</t>
  </si>
  <si>
    <t>车顶密封条</t>
  </si>
  <si>
    <t>roof seal</t>
  </si>
  <si>
    <t>机盖缓冲块预装</t>
  </si>
  <si>
    <t>Hood buffer block pre-installed</t>
  </si>
  <si>
    <t>机罩前限位块</t>
  </si>
  <si>
    <t>Front limit stop</t>
  </si>
  <si>
    <t>可调缓冲块装配</t>
  </si>
  <si>
    <t>Adjustable buffer block assembly</t>
  </si>
  <si>
    <t>可调缓冲块</t>
  </si>
  <si>
    <t>Adjustable buffer block</t>
  </si>
  <si>
    <t>左车身电线束总成装配</t>
  </si>
  <si>
    <t>Left body wire harness assembly</t>
  </si>
  <si>
    <t>左车身电线束总成</t>
    <phoneticPr fontId="4" type="noConversion"/>
  </si>
  <si>
    <t>左车身电线束总成</t>
  </si>
  <si>
    <t>Hexagon head bolt and large flat washer assembly</t>
  </si>
  <si>
    <t>右车身电线束总成装配</t>
  </si>
  <si>
    <t>Right body wire harness assembly</t>
  </si>
  <si>
    <t>右车身电线束总成</t>
    <phoneticPr fontId="4" type="noConversion"/>
  </si>
  <si>
    <t>右车身电线束总成</t>
  </si>
  <si>
    <t>背门电线束装配</t>
  </si>
  <si>
    <t>Rear door wiring harness assembly</t>
  </si>
  <si>
    <t>后背门电线束总成</t>
    <phoneticPr fontId="4" type="noConversion"/>
  </si>
  <si>
    <t>rear door wiring harness assembly</t>
  </si>
  <si>
    <t>负极搭铁线固定支架装配</t>
    <phoneticPr fontId="4" type="noConversion"/>
  </si>
  <si>
    <t>Negative terminal wire fixing bracket assembly</t>
  </si>
  <si>
    <t>负极搭铁线固定支架</t>
    <phoneticPr fontId="4" type="noConversion"/>
  </si>
  <si>
    <t>negative pole to ground wire fixing bracket</t>
  </si>
  <si>
    <t>负极搭铁线固定支架装配</t>
  </si>
  <si>
    <t>Negative pole to earth wire fixing bracket assembly</t>
  </si>
  <si>
    <t>hexagonal flange bolts</t>
  </si>
  <si>
    <t>发动机线束总成装配</t>
    <phoneticPr fontId="2" type="noConversion"/>
  </si>
  <si>
    <t>Engine wiring harness assembly</t>
  </si>
  <si>
    <t>发动机电线束总成</t>
    <phoneticPr fontId="4" type="noConversion"/>
  </si>
  <si>
    <t>engine wiring harness assembly</t>
  </si>
  <si>
    <t>六角头螺栓和大平垫圈组合件</t>
    <phoneticPr fontId="4" type="noConversion"/>
  </si>
  <si>
    <t>前车门电线束总成装配</t>
  </si>
  <si>
    <t>Front door wiring harness assembly</t>
  </si>
  <si>
    <t>左前车门电线束总成</t>
  </si>
  <si>
    <t>Left front door wire harness assembly</t>
  </si>
  <si>
    <t>Front door wire harness assembly</t>
  </si>
  <si>
    <t>右前车门电线束总成</t>
  </si>
  <si>
    <t>Right front door wire harness assembly</t>
  </si>
  <si>
    <t>后车门电线束总成装配</t>
  </si>
  <si>
    <t>后车门电线束总成</t>
  </si>
  <si>
    <t>底盘电线束装配</t>
  </si>
  <si>
    <t>Chassis wiring harness assembly</t>
  </si>
  <si>
    <t>底盘电线束总成</t>
  </si>
  <si>
    <t>Chassis wire harness assembly</t>
  </si>
  <si>
    <t>6AT发动机后悬置撑杆总成与前副车架预连接（4A9发动机）</t>
  </si>
  <si>
    <t>6AT engine rear suspension strut assembly pre-connected to front subframe (4A9 engine)</t>
  </si>
  <si>
    <t>动力总成后悬置软垫总成</t>
    <phoneticPr fontId="4" type="noConversion"/>
  </si>
  <si>
    <t>Powertrain rear suspension pad assembly</t>
  </si>
  <si>
    <t>发动机右悬置总成装配</t>
    <phoneticPr fontId="4" type="noConversion"/>
  </si>
  <si>
    <t>Engine right mount assembly</t>
  </si>
  <si>
    <t>动力总成右悬置软垫总成</t>
  </si>
  <si>
    <t>Right suspension assembly for powertrain</t>
  </si>
  <si>
    <t>左悬置软垫装配</t>
  </si>
  <si>
    <t>Left suspension mount assembly</t>
  </si>
  <si>
    <t>动力总成左悬置软垫总成</t>
  </si>
  <si>
    <t>Powertrain left suspension pad assembly</t>
  </si>
  <si>
    <t>Left suspension pad assembly</t>
  </si>
  <si>
    <t>发动机左悬置支架与变速器连接</t>
    <phoneticPr fontId="2" type="noConversion"/>
  </si>
  <si>
    <t>Engine left mount bracket connects to transmission</t>
  </si>
  <si>
    <t>动力总成左悬置支架总成</t>
  </si>
  <si>
    <t>Powertrain left mount bracket assembly</t>
  </si>
  <si>
    <t>动力总成后悬置支架装配</t>
    <phoneticPr fontId="4" type="noConversion"/>
  </si>
  <si>
    <t>Powertrain rear suspension mount assembly</t>
  </si>
  <si>
    <t>动力总成后悬置支架</t>
  </si>
  <si>
    <t>Power train rear suspension bracket</t>
  </si>
  <si>
    <t>Powertrain rear suspension bracket assembly</t>
  </si>
  <si>
    <t>动力总成后悬置软垫与后悬置支架连接</t>
    <phoneticPr fontId="4" type="noConversion"/>
  </si>
  <si>
    <t>Rear suspension mount cushion connects to the rear suspension mount</t>
  </si>
  <si>
    <t>发动机罩锁内开启拉索装配</t>
    <phoneticPr fontId="4" type="noConversion"/>
  </si>
  <si>
    <t>Hood lock internal opening cable assembly</t>
  </si>
  <si>
    <t>Hood lock release cable</t>
  </si>
  <si>
    <t>洗涤器后喷水管1装配</t>
  </si>
  <si>
    <t>Washer rear spray pipe 1 assembly</t>
  </si>
  <si>
    <t>洗涤器后喷水管1</t>
  </si>
  <si>
    <t>Washer rear spray pipe 1</t>
  </si>
  <si>
    <t>Washing machine rear spray pipe 1</t>
  </si>
  <si>
    <t>洗涤器后喷水管2装配</t>
    <phoneticPr fontId="4" type="noConversion"/>
  </si>
  <si>
    <t>Washer back spray pipe 2 assembly</t>
  </si>
  <si>
    <t>洗涤器后喷水管2</t>
    <phoneticPr fontId="4" type="noConversion"/>
  </si>
  <si>
    <t>Washer rear spray pipe 2</t>
  </si>
  <si>
    <t>Washing machine back spray pipe 2 assembly</t>
  </si>
  <si>
    <t>真空助力器模块装配</t>
  </si>
  <si>
    <t>Vacuum booster module assembly</t>
  </si>
  <si>
    <t>真空助力器模块总成</t>
  </si>
  <si>
    <t>背门撑杆总成装配</t>
  </si>
  <si>
    <t>Back door stay assembly</t>
  </si>
  <si>
    <t>背门气撑杆总成-左</t>
  </si>
  <si>
    <t>Back door gas strut assembly - left</t>
  </si>
  <si>
    <t>Assembling the back door stay assembly</t>
  </si>
  <si>
    <t>背门气撑杆总成-右</t>
  </si>
  <si>
    <t>Back door gas strut assembly - right</t>
  </si>
  <si>
    <t>背门撑杆总成装配</t>
    <phoneticPr fontId="4" type="noConversion"/>
  </si>
  <si>
    <t>左背门电动撑杆总成</t>
  </si>
  <si>
    <t>Left rear door electric door stay assembly</t>
  </si>
  <si>
    <t>右背门电动撑杆总成</t>
  </si>
  <si>
    <t>Right rear door electric door stay assembly</t>
  </si>
  <si>
    <t>侧围支架总成-左</t>
  </si>
  <si>
    <t>Side wall bracket assembly - left</t>
  </si>
  <si>
    <t>back door stay assembly</t>
  </si>
  <si>
    <t>侧围支架总成-右</t>
  </si>
  <si>
    <t>Side wall bracket assembly-right</t>
  </si>
  <si>
    <t>back door strut assembly assembly</t>
  </si>
  <si>
    <t>左撑杆侧围支架</t>
  </si>
  <si>
    <t>Left strut side wall bracket</t>
  </si>
  <si>
    <t>右撑杆侧围支架</t>
  </si>
  <si>
    <t>Right strut side wall bracket</t>
  </si>
  <si>
    <t>背门支架总成-左</t>
  </si>
  <si>
    <t>Back door bracket assembly - left</t>
  </si>
  <si>
    <t>Back door strut assembly</t>
  </si>
  <si>
    <t>背门支架总成-右</t>
  </si>
  <si>
    <t>Back door bracket assembly - right</t>
  </si>
  <si>
    <t>左撑杆背门支架</t>
  </si>
  <si>
    <t>Left support bar Back door bracket</t>
  </si>
  <si>
    <t>Back door support rod assembly</t>
  </si>
  <si>
    <t>右撑杆背门支架</t>
  </si>
  <si>
    <t>Right strut Back door bracket</t>
  </si>
  <si>
    <t>Hexalobular countersunk head screw</t>
  </si>
  <si>
    <t>中冷补偿水管与发动机连接</t>
    <phoneticPr fontId="4" type="noConversion"/>
  </si>
  <si>
    <t>intercooler compensation water pipe connected to the engine</t>
  </si>
  <si>
    <t>中冷补偿水管</t>
    <phoneticPr fontId="28" type="noConversion"/>
  </si>
  <si>
    <t>intercooler compensation water pipe</t>
  </si>
  <si>
    <t>Intercooler compensation water pipe connected to the engine</t>
  </si>
  <si>
    <t>暖风管安装支架装配</t>
    <phoneticPr fontId="4" type="noConversion"/>
  </si>
  <si>
    <t>暖风管安装支架</t>
    <phoneticPr fontId="4" type="noConversion"/>
  </si>
  <si>
    <t>催化器总成装配</t>
    <phoneticPr fontId="4" type="noConversion"/>
  </si>
  <si>
    <t>Catalytic converter assembly</t>
  </si>
  <si>
    <t>催化器总成</t>
    <phoneticPr fontId="4" type="noConversion"/>
  </si>
  <si>
    <t>施必牢法兰面防松螺母</t>
    <phoneticPr fontId="4" type="noConversion"/>
  </si>
  <si>
    <t>Loctite flange surface lock nut</t>
  </si>
  <si>
    <t>密封垫</t>
    <phoneticPr fontId="4" type="noConversion"/>
  </si>
  <si>
    <t>抱箍</t>
    <phoneticPr fontId="4" type="noConversion"/>
  </si>
  <si>
    <t>clamp ring</t>
  </si>
  <si>
    <t>catalytic converter assembly</t>
  </si>
  <si>
    <t>Steel band flexible hose clamp</t>
  </si>
  <si>
    <t>Front door triangular window shield assembly</t>
  </si>
  <si>
    <t>左前门三角窗护板总成</t>
  </si>
  <si>
    <t>Left front door triangle window guard assembly</t>
  </si>
  <si>
    <t>尾翼总成组合模块装配</t>
  </si>
  <si>
    <t>Tail assembly module assembly</t>
  </si>
  <si>
    <t>尾翼总成组合模块</t>
    <phoneticPr fontId="4" type="noConversion"/>
  </si>
  <si>
    <t>Tail assembly module</t>
  </si>
  <si>
    <t>六角头螺栓和大垫圈组合件</t>
  </si>
  <si>
    <t>Hexagon head bolt and large washer assembly</t>
  </si>
  <si>
    <t>Air conditioner intake pipe connected to air conditioner HVAC assembly</t>
  </si>
  <si>
    <t>左前驱动轴总成装配</t>
    <phoneticPr fontId="4" type="noConversion"/>
  </si>
  <si>
    <t>Left front drive shaft assembly</t>
  </si>
  <si>
    <t>左前驱动轴总成</t>
    <phoneticPr fontId="4" type="noConversion"/>
  </si>
  <si>
    <t>left front drive shaft assembly</t>
  </si>
  <si>
    <t>前轴传动轴螺母</t>
  </si>
  <si>
    <t>Front axle drive shaft nut</t>
  </si>
  <si>
    <t>开口销</t>
  </si>
  <si>
    <t>cotter pin</t>
  </si>
  <si>
    <t>右前驱动轴总成装配</t>
    <phoneticPr fontId="4" type="noConversion"/>
  </si>
  <si>
    <t>Right front drive shaft assembly</t>
  </si>
  <si>
    <t>右前驱动轴总成</t>
    <phoneticPr fontId="4" type="noConversion"/>
  </si>
  <si>
    <t>Front Axle Drive Shaft Nut</t>
  </si>
  <si>
    <t>with cotter pin</t>
  </si>
  <si>
    <t>前围堵盖装配</t>
  </si>
  <si>
    <t>front baffle cover assembly</t>
  </si>
  <si>
    <t>堵盖</t>
  </si>
  <si>
    <t>plug cover</t>
  </si>
  <si>
    <t>front blocking cover assembly</t>
  </si>
  <si>
    <t>Front blocking cover assembly</t>
  </si>
  <si>
    <t>堵片</t>
  </si>
  <si>
    <t>plug</t>
  </si>
  <si>
    <t>blocking cover</t>
  </si>
  <si>
    <t>前地板堵盖装配</t>
  </si>
  <si>
    <t>Front floor plug cover assembly</t>
  </si>
  <si>
    <t>cover</t>
  </si>
  <si>
    <t>flap</t>
  </si>
  <si>
    <t>门槛堵盖装配</t>
  </si>
  <si>
    <t>threshold cover assembly</t>
  </si>
  <si>
    <t>轮罩纵梁处堵盖装配</t>
  </si>
  <si>
    <t>Cover installed at wheelhouse longitudinal member</t>
  </si>
  <si>
    <t>侧围堵盖装配</t>
  </si>
  <si>
    <t>Side wall cover assembly</t>
  </si>
  <si>
    <t>Side wall plug assembly</t>
  </si>
  <si>
    <t>普通堵盖</t>
  </si>
  <si>
    <t>Normal plug cover</t>
  </si>
  <si>
    <t>Side wall plug cover assembly</t>
  </si>
  <si>
    <t>车门堵盖装配</t>
  </si>
  <si>
    <t>door stopper assembly</t>
  </si>
  <si>
    <t>Door plug cover assembly</t>
  </si>
  <si>
    <t>车门漏液孔堵盖</t>
  </si>
  <si>
    <t>Door leak hole plug</t>
  </si>
  <si>
    <t>尾门堵盖装配</t>
  </si>
  <si>
    <t>Tailgate plug assembly</t>
  </si>
  <si>
    <t>tailgate plug cover assembly</t>
  </si>
  <si>
    <t>Wheel cover plug cover assembly at the side member</t>
  </si>
  <si>
    <t>Cover</t>
  </si>
  <si>
    <t>后滴水槽堵盖装配</t>
  </si>
  <si>
    <t>Drip tray cover assembly</t>
  </si>
  <si>
    <t>A柱贴片装配</t>
  </si>
  <si>
    <t>A-pillar patch assembly</t>
  </si>
  <si>
    <t>前支柱处贴片装配</t>
  </si>
  <si>
    <t>patch at the front pillar assembly</t>
  </si>
  <si>
    <t>贴片</t>
    <phoneticPr fontId="2" type="noConversion"/>
  </si>
  <si>
    <t>patch</t>
  </si>
  <si>
    <t>Patch assembly at the front pillar</t>
  </si>
  <si>
    <t>地板底部堵盖装配</t>
  </si>
  <si>
    <t>Bottom floor plug cover assembly</t>
  </si>
  <si>
    <t>floor bottom plug cover assembly</t>
  </si>
  <si>
    <t>Bottom floor plug assembly</t>
  </si>
  <si>
    <t>后地板堵盖装配</t>
  </si>
  <si>
    <t>and floor plug assembly</t>
  </si>
  <si>
    <t>floor plug cover assembly</t>
  </si>
  <si>
    <t>back floor plug cover assembly</t>
  </si>
  <si>
    <t>机舱电线束总成装配</t>
  </si>
  <si>
    <t>Engine compartment wiring harness assembly</t>
  </si>
  <si>
    <t>机舱电线束总成</t>
  </si>
  <si>
    <t>cabin wire harness assembly</t>
  </si>
  <si>
    <t>Hexagon head bolt</t>
  </si>
  <si>
    <t>Engine compartment wire harness assembly</t>
  </si>
  <si>
    <t>机舱配电盒固定支架装配</t>
    <phoneticPr fontId="4" type="noConversion"/>
  </si>
  <si>
    <t>Engine compartment distribution box mounting bracket assembly</t>
  </si>
  <si>
    <t>机舱配电盒固定支架1</t>
  </si>
  <si>
    <t>Cabin distribution box fixed bracket 1</t>
  </si>
  <si>
    <t>Cabin distribution box fixed bracket assembly</t>
  </si>
  <si>
    <t>机舱配电盒固定支架2</t>
  </si>
  <si>
    <t>Cabin distribution box fixed bracket 2</t>
  </si>
  <si>
    <t>机舱配电盒固定支架3</t>
  </si>
  <si>
    <t>Cabin distribution box mounting bracket 3</t>
  </si>
  <si>
    <t>燃油箱模块装配</t>
  </si>
  <si>
    <t>Fuel tank module assembly</t>
  </si>
  <si>
    <t>燃油箱模块</t>
    <phoneticPr fontId="2" type="noConversion"/>
  </si>
  <si>
    <t>fuel tank module</t>
  </si>
  <si>
    <t>中冷进气管模块分装</t>
    <phoneticPr fontId="2" type="noConversion"/>
  </si>
  <si>
    <t>intercooler intake manifold subassembly</t>
  </si>
  <si>
    <t>中冷进气管总成</t>
    <phoneticPr fontId="4" type="noConversion"/>
  </si>
  <si>
    <t>intercooler intake pipe assembly</t>
  </si>
  <si>
    <t>intercooler intake pipe module subassembly</t>
  </si>
  <si>
    <t>氧传感器线支架</t>
  </si>
  <si>
    <t>Oxygen sensor wire bracket</t>
  </si>
  <si>
    <t>single pipe clip</t>
  </si>
  <si>
    <t>中冷进气管组合模块</t>
  </si>
  <si>
    <t>intercooler intake pipe combination module</t>
  </si>
  <si>
    <t>中冷进气管总成装配</t>
  </si>
  <si>
    <t>intercooler intake manifold assembly</t>
  </si>
  <si>
    <t>intercooler intake pipe assembly module</t>
  </si>
  <si>
    <t>Intercooler intake pipe assembly</t>
  </si>
  <si>
    <t>六角法兰面螺栓-加大系列</t>
  </si>
  <si>
    <t>Hexagon flange bolts - enlarged series</t>
  </si>
  <si>
    <t>六角头螺栓和L型平垫组合件</t>
  </si>
  <si>
    <t>Hexagon head bolt and L-shaped flat washer assembly</t>
  </si>
  <si>
    <t>发动机ECU组合模块（一）分装（MT）</t>
    <phoneticPr fontId="2" type="noConversion"/>
  </si>
  <si>
    <t>Engine ECU assembly module (1) subassembly (MT)</t>
  </si>
  <si>
    <t>发动机ECU</t>
    <phoneticPr fontId="4" type="noConversion"/>
  </si>
  <si>
    <t>Engine ECU</t>
  </si>
  <si>
    <t>Engine ECU combination module (1) subassembly (MT)</t>
  </si>
  <si>
    <t>Engine ECU Combination Module (1) Subassembly (MT)</t>
  </si>
  <si>
    <t>蓄电池安装支架总成</t>
    <phoneticPr fontId="2" type="noConversion"/>
  </si>
  <si>
    <t>Battery mounting bracket assembly</t>
  </si>
  <si>
    <t>Hexagon flange nut</t>
  </si>
  <si>
    <t>发动机ECU组合模块</t>
    <phoneticPr fontId="4" type="noConversion"/>
  </si>
  <si>
    <t>Engine ECU combination module</t>
  </si>
  <si>
    <t>发动机ECU组合模块装配</t>
    <phoneticPr fontId="2" type="noConversion"/>
  </si>
  <si>
    <t>Engine ECU combination module assembly</t>
  </si>
  <si>
    <t>内六角花形盘头螺钉</t>
  </si>
  <si>
    <t>电动水泵线边模块分装</t>
    <phoneticPr fontId="2" type="noConversion"/>
  </si>
  <si>
    <t>Electric water pump side module subassembly</t>
  </si>
  <si>
    <t>电子水泵</t>
  </si>
  <si>
    <t>Electronic water pump</t>
  </si>
  <si>
    <t>Electric water pump Edge module subassembly</t>
  </si>
  <si>
    <t>水泵安装支架</t>
  </si>
  <si>
    <t>Pump mounting bracket</t>
  </si>
  <si>
    <t>水泵安装卡夹</t>
  </si>
  <si>
    <t>Pump mounting clip</t>
  </si>
  <si>
    <t>水泵出水管</t>
  </si>
  <si>
    <t>Water pump outlet pipe</t>
  </si>
  <si>
    <t>管夹</t>
    <phoneticPr fontId="4" type="noConversion"/>
  </si>
  <si>
    <t>Electric water pump edge module subassembly</t>
  </si>
  <si>
    <t>电动水泵线边模块</t>
    <phoneticPr fontId="4" type="noConversion"/>
  </si>
  <si>
    <t>Electric water pump line-side module</t>
  </si>
  <si>
    <t>电动水泵线边模块装配</t>
    <phoneticPr fontId="2" type="noConversion"/>
  </si>
  <si>
    <t>Electric water pump edge module assembly</t>
  </si>
  <si>
    <t>Electric water pump side module</t>
  </si>
  <si>
    <t>Electric water pump assembly</t>
  </si>
  <si>
    <t>环箍</t>
    <phoneticPr fontId="2" type="noConversion"/>
  </si>
  <si>
    <t>hoop</t>
  </si>
  <si>
    <t>Electric water pump Edge module assembly</t>
  </si>
  <si>
    <t>螺栓</t>
    <phoneticPr fontId="2" type="noConversion"/>
  </si>
  <si>
    <t>Bolt</t>
  </si>
  <si>
    <t>变速器通气管总成装配</t>
    <phoneticPr fontId="2" type="noConversion"/>
  </si>
  <si>
    <t>Transmission air pipe assembly</t>
  </si>
  <si>
    <t>发动机线束固定支架</t>
    <phoneticPr fontId="4" type="noConversion"/>
  </si>
  <si>
    <t>发动机线束固定支架2装配</t>
    <phoneticPr fontId="2" type="noConversion"/>
  </si>
  <si>
    <t>Engine wiring harness mounting bracket 2 assembly</t>
  </si>
  <si>
    <t>SX7-4016102</t>
    <phoneticPr fontId="5" type="noConversion"/>
  </si>
  <si>
    <t>Q1840616F36</t>
    <phoneticPr fontId="5" type="noConversion"/>
  </si>
  <si>
    <t>LQ1840821TF38</t>
    <phoneticPr fontId="5" type="noConversion"/>
  </si>
  <si>
    <t>SX7G-5317110S</t>
    <phoneticPr fontId="3" type="noConversion"/>
  </si>
  <si>
    <t>FX.572394003</t>
    <phoneticPr fontId="5" type="noConversion"/>
  </si>
  <si>
    <t>SX5G-1703710</t>
    <phoneticPr fontId="5" type="noConversion"/>
  </si>
  <si>
    <t>SX7H-8101010</t>
    <phoneticPr fontId="29" type="noConversion"/>
  </si>
  <si>
    <t>SX7H-1303470</t>
    <phoneticPr fontId="3" type="noConversion"/>
  </si>
  <si>
    <t>Q1840816F38</t>
    <phoneticPr fontId="3" type="noConversion"/>
  </si>
  <si>
    <t>SX7H-4016112</t>
    <phoneticPr fontId="5" type="noConversion"/>
  </si>
  <si>
    <t>SX7H-1001030S6</t>
    <phoneticPr fontId="5" type="noConversion"/>
  </si>
  <si>
    <t>SX7-4016113A1</t>
    <phoneticPr fontId="5" type="noConversion"/>
  </si>
  <si>
    <t>SX7-4016114</t>
    <phoneticPr fontId="5" type="noConversion"/>
  </si>
  <si>
    <t>SX7-4016115</t>
    <phoneticPr fontId="5" type="noConversion"/>
  </si>
  <si>
    <t>SKIM</t>
  </si>
  <si>
    <t>زمان</t>
  </si>
  <si>
    <t>Seq</t>
  </si>
  <si>
    <t>آدرس تغذیه</t>
  </si>
  <si>
    <t>S</t>
  </si>
  <si>
    <t>IM</t>
  </si>
  <si>
    <t>0..41</t>
  </si>
  <si>
    <t>SX7-4016-5</t>
  </si>
  <si>
    <t>پیچ فلنج سر شش گوش</t>
  </si>
  <si>
    <t>SX5-5205-2
SX5-5205-1</t>
  </si>
  <si>
    <t>مونتاژ مجموعه محافظ حرارتی باطری</t>
  </si>
  <si>
    <t>محافظ حرارتی باطری</t>
  </si>
  <si>
    <t>SX7-5512-1</t>
  </si>
  <si>
    <t>SX7A-5512-6</t>
  </si>
  <si>
    <t>SX5F-5504-1</t>
  </si>
  <si>
    <t>SX7H-5317-1</t>
  </si>
  <si>
    <t>مونتاژ قاب سمت چپ محفظه موتور</t>
  </si>
  <si>
    <t>قاب محفظه سمت چپ</t>
  </si>
  <si>
    <t xml:space="preserve">پین فشاری </t>
  </si>
  <si>
    <t>SX7H-5317-2</t>
  </si>
  <si>
    <t>مونتاژ قاب سمت راست محفظه موتور</t>
  </si>
  <si>
    <t>قاب محفظه سمت راست</t>
  </si>
  <si>
    <t>SX7H-5317-3</t>
  </si>
  <si>
    <t>مونتاژ قاب محفظه موتور</t>
  </si>
  <si>
    <t xml:space="preserve">قاب محفظه موتور </t>
  </si>
  <si>
    <t xml:space="preserve">خار پلاستیکی </t>
  </si>
  <si>
    <t>SX5G-1703-1</t>
  </si>
  <si>
    <t>مونتاژ پنل تعویض دنده</t>
  </si>
  <si>
    <t>پنل تزئینی اهرم تعویض دنده</t>
  </si>
  <si>
    <t>SX3DCN-3610-6</t>
  </si>
  <si>
    <t>مونتاژ سنسور دمای کاتالیزور</t>
  </si>
  <si>
    <t xml:space="preserve">سنسور دمای کاتالیزور </t>
  </si>
  <si>
    <t>SX7H-3610-1
SX5GCT-3610-3</t>
  </si>
  <si>
    <t>سنسور اکسیژن جلو</t>
  </si>
  <si>
    <t>مونتاژ براکت سیم سنسور اکسیژن جلو</t>
  </si>
  <si>
    <t xml:space="preserve">براکت نگهدارنده </t>
  </si>
  <si>
    <t>SX7HCT-8108-1</t>
  </si>
  <si>
    <t>مجموعه لوله خروجی کمپرسور</t>
  </si>
  <si>
    <t>SX3DCN-8108-3</t>
  </si>
  <si>
    <t>مونتاژ لوله مکش کمپرسور</t>
  </si>
  <si>
    <t>مجموعه لوله مکش کمپرسور</t>
  </si>
  <si>
    <t xml:space="preserve">پیچ سر شش گوش فلنجی </t>
  </si>
  <si>
    <t>SX7H-3540-1</t>
  </si>
  <si>
    <t xml:space="preserve">شیلنگ خلا </t>
  </si>
  <si>
    <t>SX7HCT-1303-3</t>
  </si>
  <si>
    <t xml:space="preserve">مونتاژ براکت نصب لوله خنک کننده </t>
  </si>
  <si>
    <t xml:space="preserve">براکت </t>
  </si>
  <si>
    <t>SX7H-1300-10</t>
  </si>
  <si>
    <t>مونتاژ مجموعه رادیاتور به بدنه</t>
  </si>
  <si>
    <t>فن خنک کننده رادیاتور</t>
  </si>
  <si>
    <t>نگهدارنده رادیاتور</t>
  </si>
  <si>
    <t>نوار اسفنجی</t>
  </si>
  <si>
    <t>پیچ فلنجی شش ضلعی</t>
  </si>
  <si>
    <t>SX7H-4016-3</t>
  </si>
  <si>
    <t>SX7H-4106-1</t>
  </si>
  <si>
    <t>SX3DCN-1300-4</t>
  </si>
  <si>
    <t>SX7H-1257-1</t>
  </si>
  <si>
    <t>نصب کورکن کنار کنسول وسط</t>
  </si>
  <si>
    <t xml:space="preserve">کورکن پلاستیکی </t>
  </si>
  <si>
    <t>SX5F-5305-1</t>
  </si>
  <si>
    <t>SX5-8401-1</t>
  </si>
  <si>
    <t>مخزن انبساط</t>
  </si>
  <si>
    <t>SX7HCT-1300-3</t>
  </si>
  <si>
    <t xml:space="preserve">پیش مونتاژ دسته موتور در اکسل جلو 			</t>
  </si>
  <si>
    <t xml:space="preserve">پیچ </t>
  </si>
  <si>
    <t>دسته موتور</t>
  </si>
  <si>
    <t>SX7H-1001-2</t>
  </si>
  <si>
    <t>SX7-5207-2</t>
  </si>
  <si>
    <t>SX7H-1303-10</t>
  </si>
  <si>
    <t>براکت</t>
  </si>
  <si>
    <t>SX7H-1205-1</t>
  </si>
  <si>
    <t>SX7H-2203-1</t>
  </si>
  <si>
    <t>SX5K-8200-11</t>
  </si>
  <si>
    <t>SX7-4016-7</t>
  </si>
  <si>
    <t xml:space="preserve">مجموعه براکت نصب جعبه فیوز کابین			</t>
  </si>
  <si>
    <t>SX7E-1101-1</t>
  </si>
  <si>
    <t>SX7H-3610-4</t>
  </si>
  <si>
    <t>بست فولادی</t>
  </si>
  <si>
    <t xml:space="preserve">مونتاژ براکت نگهدارنده عقب موتور			</t>
  </si>
  <si>
    <t xml:space="preserve">براکت نگهدارنده عقب </t>
  </si>
  <si>
    <t xml:space="preserve">مونتاژ پوشش صفحه ای  </t>
  </si>
  <si>
    <t>SX7H-1703-1</t>
  </si>
  <si>
    <t>Q32208F36</t>
  </si>
  <si>
    <t xml:space="preserve">صفحه پوشش </t>
  </si>
  <si>
    <t xml:space="preserve">مونتاژ لیور الکتریکی دنده 			</t>
  </si>
  <si>
    <t xml:space="preserve"> مهره شش گوش و واشر فنری مخروطی</t>
  </si>
  <si>
    <t>C0101-1009071</t>
  </si>
  <si>
    <t>SX7H-1703310</t>
  </si>
  <si>
    <t>بست  فلزی</t>
  </si>
  <si>
    <t>SX7H-1303450</t>
  </si>
  <si>
    <t>Q215B0816F38</t>
  </si>
  <si>
    <t>FX.572394003</t>
  </si>
  <si>
    <t>LQ146B0616TF38</t>
  </si>
  <si>
    <t>SX7-8100011</t>
  </si>
  <si>
    <t>SX5G-5824560</t>
  </si>
  <si>
    <t>F61</t>
  </si>
  <si>
    <t>F59</t>
  </si>
  <si>
    <t>SX7H-1001040S6</t>
  </si>
  <si>
    <t>SX7E-3791240</t>
  </si>
  <si>
    <t>SX7H-1205011</t>
  </si>
  <si>
    <t>SX7H-8108020</t>
  </si>
  <si>
    <t>SX7H-8108010</t>
  </si>
  <si>
    <t>SX7H-1203010</t>
  </si>
  <si>
    <t>SX7H-1205010</t>
  </si>
  <si>
    <t>SX7H-2203020</t>
  </si>
  <si>
    <t>SX7H-2203010</t>
  </si>
  <si>
    <t>SX5G-8263101A</t>
  </si>
  <si>
    <t>Q146B0825F38LD</t>
  </si>
  <si>
    <t>SX5F-5512440KD</t>
  </si>
  <si>
    <t>SX5F-5512430KD</t>
  </si>
  <si>
    <t>SX5G-3550310DS</t>
  </si>
  <si>
    <t>SX5H-1104621B</t>
  </si>
  <si>
    <t>SX5-3506250A</t>
  </si>
  <si>
    <t>SX7-3506020A</t>
  </si>
  <si>
    <t>SX5G-3913010C</t>
  </si>
  <si>
    <t>B-3922020C</t>
  </si>
  <si>
    <t>SX5F-6102051-Y1</t>
  </si>
  <si>
    <t>SX5-6207120C</t>
  </si>
  <si>
    <t>SX5-6207121C</t>
  </si>
  <si>
    <t>SX5-6107120C</t>
  </si>
  <si>
    <t>SX5-6107121C</t>
  </si>
  <si>
    <t>M4-5820010C</t>
  </si>
  <si>
    <t>SX3A-5109210ES</t>
  </si>
  <si>
    <t>SX5G-1103010B</t>
  </si>
  <si>
    <t>پریز کمربند ایمنی عقب راست</t>
  </si>
  <si>
    <t>SX7H-1703210</t>
  </si>
  <si>
    <t>SX3D-5512911</t>
  </si>
  <si>
    <t>SX5K-5402-0005S</t>
  </si>
  <si>
    <t>SX5F-5402340AKD-Y1</t>
  </si>
  <si>
    <t>SX5K-5305010C-Y2</t>
  </si>
  <si>
    <t>SX7-5305070A-Y1</t>
  </si>
  <si>
    <t>SX7-5305060A-Y1</t>
  </si>
  <si>
    <t>SX7HCT-1109-0001CS</t>
  </si>
  <si>
    <t>SX5KCT-3610-0002C</t>
  </si>
  <si>
    <t>SX7-5512320C</t>
  </si>
  <si>
    <t>SX5-3506380</t>
  </si>
  <si>
    <t>SX5KCT-2810-0001A1</t>
  </si>
  <si>
    <t>SX5-1202030</t>
  </si>
  <si>
    <t>SX5KCT-2804-0001A1</t>
  </si>
  <si>
    <t>SX5KCT-2803-0002A</t>
  </si>
  <si>
    <t>SX5-6309500</t>
  </si>
  <si>
    <t>C20-8112120</t>
  </si>
  <si>
    <t>SX5F-6302050KD-Y1</t>
  </si>
  <si>
    <t>SX3A-2804531B</t>
  </si>
  <si>
    <t>SX7H-8401320</t>
  </si>
  <si>
    <t>SX7H-8401310</t>
  </si>
  <si>
    <t>SX7H-8108030</t>
  </si>
  <si>
    <t>SX5F-5402310KD-Y1</t>
  </si>
  <si>
    <t>BM3-8204230A1-Y1</t>
  </si>
  <si>
    <t>SX5F-7007011BL</t>
  </si>
  <si>
    <t>SX5-5810021E</t>
  </si>
  <si>
    <t>SX5KCT-1300-0001C1</t>
  </si>
  <si>
    <t>SX7HCT-1104-0001CS</t>
  </si>
  <si>
    <t>BX5A-3791330B</t>
  </si>
  <si>
    <t>BX5A-3791320B</t>
  </si>
  <si>
    <t>B12-1108100A3</t>
  </si>
  <si>
    <t>SX5-6309554</t>
  </si>
  <si>
    <t>SX5-6309550</t>
  </si>
  <si>
    <t>SX5-6309555</t>
  </si>
  <si>
    <t>SX5-6309553</t>
  </si>
  <si>
    <t>SX5KCT-5506-0002A</t>
  </si>
  <si>
    <t>SX7H-4016109</t>
  </si>
  <si>
    <t>SX5-5310213D</t>
  </si>
  <si>
    <t xml:space="preserve">مونتاژ براکت نصب دسته چپ سیم روی دسته  موتور </t>
  </si>
  <si>
    <t>بوش لاستیکی لوله اگزوز</t>
  </si>
  <si>
    <t xml:space="preserve">SX7-5512310C </t>
  </si>
  <si>
    <t>T5HEV-1109-1</t>
  </si>
  <si>
    <t>SX7H-3561230</t>
  </si>
  <si>
    <t xml:space="preserve">لیور الکتریکی دنده </t>
  </si>
  <si>
    <t>مونتاژ براکت نگهدارنده دسته سیم کابین</t>
  </si>
  <si>
    <t xml:space="preserve">مجموعه نگهدارنده کابل مثبت باطری </t>
  </si>
  <si>
    <t>مونتاژ  ضربه گیر</t>
  </si>
  <si>
    <t xml:space="preserve"> ضربه گیر</t>
  </si>
  <si>
    <t xml:space="preserve">بست فشاری </t>
  </si>
  <si>
    <t xml:space="preserve">SX5-3506260A </t>
  </si>
  <si>
    <t>P45</t>
  </si>
  <si>
    <t>شیلنگ آب پاش شیشه عقب (بلند)</t>
  </si>
  <si>
    <t>لوله آب پاش شیشه عقب (کوتاه)</t>
  </si>
  <si>
    <t>سیم آنتن (همراه داشبورد میاد)</t>
  </si>
  <si>
    <t xml:space="preserve">  مونتاژ دسته سیم دربهای عقب </t>
  </si>
  <si>
    <t xml:space="preserve"> مجموعه بلند گو درب های سمت چپ</t>
  </si>
  <si>
    <t>مجموعه بلندگو درب های سمت راست</t>
  </si>
  <si>
    <t xml:space="preserve">C0605010FT-03    </t>
  </si>
  <si>
    <t>0.02 L</t>
  </si>
  <si>
    <t>0.02L</t>
  </si>
  <si>
    <t>0.5kg</t>
  </si>
  <si>
    <t>C0603000FB</t>
  </si>
  <si>
    <t>LOCTITE-243</t>
  </si>
  <si>
    <t xml:space="preserve">1.5 میلی لیتر </t>
  </si>
  <si>
    <t xml:space="preserve">20 میلی لیتر </t>
  </si>
  <si>
    <t>0.5 میلی لیتر</t>
  </si>
  <si>
    <t>15 میلی لیتر</t>
  </si>
  <si>
    <t>SX7H-1303-5</t>
  </si>
  <si>
    <t xml:space="preserve"> مونتاژ براکت نصب لوله			</t>
  </si>
  <si>
    <t>مونتاژ مجموعه لوله آب خنک کننده</t>
  </si>
  <si>
    <t>1.6 ml</t>
  </si>
  <si>
    <t>A-3926010A</t>
  </si>
  <si>
    <t>B-3102011</t>
  </si>
  <si>
    <t>BM3-8215010A1</t>
  </si>
  <si>
    <t>BM3-8215020A1</t>
  </si>
  <si>
    <t>SX5F-3791320</t>
  </si>
  <si>
    <t>SX5F-3791330</t>
  </si>
  <si>
    <t>Q1460825LDF38</t>
  </si>
  <si>
    <t>A-1203231</t>
  </si>
  <si>
    <t>SX5-4121110C</t>
  </si>
  <si>
    <t>SX5-4121120C</t>
  </si>
  <si>
    <t>SX5-5310213C</t>
  </si>
  <si>
    <t>SX5-5810020-Y1</t>
  </si>
  <si>
    <t>SX5-5810021-Y1</t>
  </si>
  <si>
    <t>SX5-6107120B</t>
  </si>
  <si>
    <t>SX5-6107121B</t>
  </si>
  <si>
    <t>SX5-6203020</t>
  </si>
  <si>
    <t>SX5-6203021</t>
  </si>
  <si>
    <t>SX5-6207060A</t>
  </si>
  <si>
    <t>SX5-6207061A</t>
  </si>
  <si>
    <t>SX5-6207120B1</t>
  </si>
  <si>
    <t>SX5-6309551S</t>
  </si>
  <si>
    <t>SX5F-7007011</t>
  </si>
  <si>
    <t>SX7-5305060</t>
  </si>
  <si>
    <t>SX7-5305070</t>
  </si>
  <si>
    <t>SX7-8100011A</t>
  </si>
  <si>
    <t>SX5F-3704230</t>
  </si>
  <si>
    <t>P12</t>
  </si>
  <si>
    <t>P23</t>
  </si>
  <si>
    <t>P56</t>
  </si>
  <si>
    <t>SX5-3106-2-A</t>
  </si>
  <si>
    <t>P78</t>
  </si>
  <si>
    <t>بوش پلاستیکی</t>
  </si>
  <si>
    <t>بست لوله آب</t>
  </si>
  <si>
    <t>SX7H-8401240</t>
  </si>
  <si>
    <t xml:space="preserve">تزریق روغن گیر بکس </t>
  </si>
  <si>
    <t>BM3-3504020BS</t>
  </si>
  <si>
    <t>CM7G-8103020B</t>
  </si>
  <si>
    <t>SX5-3506250</t>
  </si>
  <si>
    <t>SX5-3506260</t>
  </si>
  <si>
    <t>SX5EX01-1101-0001A</t>
  </si>
  <si>
    <t>SX5EX01-5305-0004A</t>
  </si>
  <si>
    <t>SX5F-4002710</t>
  </si>
  <si>
    <t>SX5F-4010030S</t>
  </si>
  <si>
    <t>SX5F-5110717B</t>
  </si>
  <si>
    <t>SX5F-5110718B</t>
  </si>
  <si>
    <t>SX5F-7000330-Y1</t>
  </si>
  <si>
    <t>SX5F-7000430-Y1</t>
  </si>
  <si>
    <t>SX5G-3550310D</t>
  </si>
  <si>
    <t>SX5H-1130010A1S</t>
  </si>
  <si>
    <t>SX5K-1203020</t>
  </si>
  <si>
    <t>SX5K-5305-0020A1</t>
  </si>
  <si>
    <t>SX5K-5305010C-Y1</t>
  </si>
  <si>
    <t>SX5K-6102-0027A1</t>
  </si>
  <si>
    <t>SX5K-6102-0028A1</t>
  </si>
  <si>
    <t>SX5K-6202-0023A1</t>
  </si>
  <si>
    <t>SX5K-6202-0024A1</t>
  </si>
  <si>
    <t>SX5KCT-1000-0001C1</t>
  </si>
  <si>
    <t>SX5KCT-1300-0004C1</t>
  </si>
  <si>
    <t>SX5KCT-2810-0001A4</t>
  </si>
  <si>
    <t>SX5KCT-2810-0003C</t>
  </si>
  <si>
    <t>SX5KCT-3402-0002A1</t>
  </si>
  <si>
    <t>SX5KCT-3610-0003C</t>
  </si>
  <si>
    <t>SX5KCT-5306-0010A2</t>
  </si>
  <si>
    <t>SX5KCT-5702-0006</t>
  </si>
  <si>
    <t>SX7-5402191A-Y2</t>
  </si>
  <si>
    <t>SX7-5402192A-Y2</t>
  </si>
  <si>
    <t>SX7-5512510KD</t>
  </si>
  <si>
    <t>SX7-5512520KD</t>
  </si>
  <si>
    <t>SX7HCT-1109-0001C</t>
  </si>
  <si>
    <t>SX7HCT-1311-0002C2</t>
  </si>
  <si>
    <t>S50EVK-4137010</t>
  </si>
  <si>
    <t>SX5KCT-4012-0007C1</t>
  </si>
  <si>
    <t>SX5K-4012010S1</t>
  </si>
  <si>
    <t>دسته سیم محفظه موتور</t>
  </si>
  <si>
    <t>سقف پانوراما</t>
  </si>
  <si>
    <t>SX6D-5703010C-Y1</t>
  </si>
  <si>
    <t>SX5B-8400370</t>
  </si>
  <si>
    <t>SX5G-8201020</t>
  </si>
  <si>
    <t>SX5K-3602020</t>
  </si>
  <si>
    <t>SX7-8201120
SX7-8201120A</t>
  </si>
  <si>
    <t>SX5K-4002050BS</t>
  </si>
  <si>
    <t>SX5K-4002160S</t>
  </si>
  <si>
    <t xml:space="preserve">مجموعه پمپ آب برقی </t>
  </si>
  <si>
    <t>بست</t>
  </si>
  <si>
    <t>SX6D-5703210</t>
  </si>
  <si>
    <t>SX7-3603510-Y2</t>
  </si>
  <si>
    <t>سنسور رادار دنده عقب</t>
  </si>
  <si>
    <t>SX3DCN-1300-3</t>
  </si>
  <si>
    <t>SX5-1311020</t>
  </si>
  <si>
    <t>SX7-1303146</t>
  </si>
  <si>
    <t>SX7-8101020</t>
  </si>
  <si>
    <t xml:space="preserve">A </t>
  </si>
  <si>
    <t>بست نگه دارنده لوله</t>
  </si>
  <si>
    <t>مونتاژ مجموعه لوله تهویه گیربکس</t>
  </si>
  <si>
    <t>SX5KCT-1700-1</t>
  </si>
  <si>
    <t>لوله تهویه گیربکس</t>
  </si>
  <si>
    <t>مونتاژ مخزن ابساط 1 رو بدنه</t>
  </si>
  <si>
    <t>پیش مونتاژ مجموعه مخزن انبساط-1</t>
  </si>
  <si>
    <t>پنچ فلنجی سر شش گوش</t>
  </si>
  <si>
    <t>مهره  شش گوش</t>
  </si>
  <si>
    <t>پیش مونتاژ اکسل عقب</t>
  </si>
  <si>
    <t>B20-2915012B</t>
  </si>
  <si>
    <t>DTF6177.2M12*1.25-10F39AHC</t>
  </si>
  <si>
    <t>SX5-2915020B1</t>
  </si>
  <si>
    <t>کمک فنر</t>
  </si>
  <si>
    <t>B-6106051A</t>
  </si>
  <si>
    <t>BS3-5810440</t>
  </si>
  <si>
    <t>BS3-5810430</t>
  </si>
  <si>
    <t>LQ273B4820F38</t>
  </si>
  <si>
    <t>نصب آرم  روی درب موتور</t>
  </si>
  <si>
    <t>M4-3921150S</t>
  </si>
  <si>
    <t>لوگو درب موتور</t>
  </si>
  <si>
    <t>Q673C26F62</t>
  </si>
  <si>
    <t>…</t>
  </si>
  <si>
    <t>PBS</t>
  </si>
  <si>
    <t>بررسی قرار گیری کامل نشیمنگاه پین هنگر بر روی بدنه</t>
  </si>
  <si>
    <t>SX5-2803-8</t>
  </si>
  <si>
    <t>SX5-2803-9</t>
  </si>
  <si>
    <t>..</t>
  </si>
  <si>
    <t>….</t>
  </si>
  <si>
    <t>...</t>
  </si>
  <si>
    <t xml:space="preserve">قاب ستون عقب چپ بالا </t>
  </si>
  <si>
    <t xml:space="preserve">قاب ستون عقب راست بالا </t>
  </si>
  <si>
    <t>SX5-5402-9L-A</t>
  </si>
  <si>
    <t>پيش مونتاژ مجموعه قاب ستون جلو بالا راست با بلندگو</t>
  </si>
  <si>
    <t>SX5-5402-9R-A</t>
  </si>
  <si>
    <t>مجموعه قاب ستون جلو بالا راست با بلندگو</t>
  </si>
  <si>
    <t>SX7-5512-1-A</t>
  </si>
  <si>
    <t>پیش مونتاژ ابرویی های گلگیر جلو</t>
  </si>
  <si>
    <t>ابرویی های گلگیر جلو راست</t>
  </si>
  <si>
    <t>ابرویی های گلگیر جلو چپ</t>
  </si>
  <si>
    <t>…..</t>
  </si>
  <si>
    <t>FX-316034001</t>
  </si>
  <si>
    <t>FX-685081700</t>
  </si>
  <si>
    <t>مهره فشاری</t>
  </si>
  <si>
    <t>SX5-6102712B</t>
  </si>
  <si>
    <t>خار فشاری نری</t>
  </si>
  <si>
    <t>SX5F-5402320KD-Y1</t>
  </si>
  <si>
    <t xml:space="preserve">پیش مونتاژ مجموعه قاب ستون های عقب بالا </t>
  </si>
  <si>
    <t>روغن گیربکس اتومات DCTF</t>
  </si>
  <si>
    <t>C0624910FT-03</t>
  </si>
  <si>
    <t>مهره سر شش گوش</t>
  </si>
  <si>
    <t>T17</t>
  </si>
  <si>
    <t>M38</t>
  </si>
  <si>
    <t>F45</t>
  </si>
  <si>
    <t>F48</t>
  </si>
  <si>
    <t>F51</t>
  </si>
  <si>
    <t>P66</t>
  </si>
  <si>
    <t>P67</t>
  </si>
  <si>
    <t>P69</t>
  </si>
  <si>
    <t>SX7H-5824021</t>
  </si>
  <si>
    <t>Q1861025TF62</t>
  </si>
  <si>
    <t>مونتاژ براکت دسته موتور</t>
  </si>
  <si>
    <t>SX7H-4016-1</t>
  </si>
  <si>
    <t>براکت نگهدارنده  سیم کویل احتراق</t>
  </si>
  <si>
    <t>SX7HCT-1300-1</t>
  </si>
  <si>
    <t>M</t>
  </si>
  <si>
    <t>N</t>
  </si>
  <si>
    <t>O</t>
  </si>
  <si>
    <t>P</t>
  </si>
  <si>
    <t>رادیاتور</t>
  </si>
  <si>
    <t>کندانسور</t>
  </si>
  <si>
    <t>براکت کندانسور</t>
  </si>
  <si>
    <t>فن الکترونیکی</t>
  </si>
  <si>
    <t>لوله ورودی رادیاتور(موتور)</t>
  </si>
  <si>
    <t>بست استیل شلنگ</t>
  </si>
  <si>
    <t>لوله خروجی رادیاتور(موتور)</t>
  </si>
  <si>
    <t>سنسور دمای آب</t>
  </si>
  <si>
    <t>مجموعه لوله خروجی رادیاتور</t>
  </si>
  <si>
    <t>بست استیل</t>
  </si>
  <si>
    <t>لوله خروجی تقویت کننده فشار</t>
  </si>
  <si>
    <t>بست استیل نگهدارنده شلنگ</t>
  </si>
  <si>
    <t>لوله خروجی اینترکولر</t>
  </si>
  <si>
    <t>SX7H-1300100</t>
    <phoneticPr fontId="2" type="noConversion"/>
  </si>
  <si>
    <t>SX5K-1308020</t>
    <phoneticPr fontId="2" type="noConversion"/>
  </si>
  <si>
    <t>S50EVG-2127130S</t>
    <phoneticPr fontId="4" type="noConversion"/>
  </si>
  <si>
    <t>Q</t>
  </si>
  <si>
    <t>R</t>
  </si>
  <si>
    <t xml:space="preserve">لوله ورودی آب به موتور </t>
  </si>
  <si>
    <t>SX7H-1303030S2</t>
    <phoneticPr fontId="4" type="noConversion"/>
  </si>
  <si>
    <t>BM3-6105310A1</t>
  </si>
  <si>
    <t>SX5-3105030S</t>
  </si>
  <si>
    <t>SX7H-1001030</t>
  </si>
  <si>
    <t>SX7H-1001040</t>
  </si>
  <si>
    <t>SX7H-1001032</t>
  </si>
  <si>
    <t>Q1851250TF38</t>
  </si>
  <si>
    <t>SX5KCT-4137-1</t>
  </si>
  <si>
    <t>S50EVK-4137015</t>
  </si>
  <si>
    <t>پایه نصب کلید چراغ ترمز</t>
  </si>
  <si>
    <t>مونتاژ نوار محافظ تیر طولی جلو سمت چپ</t>
  </si>
  <si>
    <t>SX5-4012-2</t>
  </si>
  <si>
    <t>LD132UC-3506569A</t>
  </si>
  <si>
    <t>نوار محافظ تیر طولی جلو سمت چپ</t>
  </si>
  <si>
    <t xml:space="preserve"> نصب مجموعه مبدل سیگنال کمربند ایمنی</t>
  </si>
  <si>
    <t>SX5KCT-3695-1</t>
  </si>
  <si>
    <t>SX5-3695010</t>
  </si>
  <si>
    <t>مجموعه مبدل سیگنال کمربند ایمنی</t>
  </si>
  <si>
    <t xml:space="preserve">نصب بست سیم </t>
  </si>
  <si>
    <t>SX5KCT-1132-1</t>
  </si>
  <si>
    <t>37MA-24088</t>
  </si>
  <si>
    <t>بست سیم</t>
  </si>
  <si>
    <t>لوله ورودی رادیاتور از سمت اینترکولر</t>
  </si>
  <si>
    <t>لوله چهار راهی</t>
  </si>
  <si>
    <t>SX3D-1130-4</t>
  </si>
  <si>
    <t>SX7H-3921-1</t>
  </si>
  <si>
    <t>T5 PLUS-LECL01</t>
  </si>
  <si>
    <t>T5 PLUS-LEQR01</t>
  </si>
  <si>
    <t>SX5-LACL01</t>
  </si>
  <si>
    <t>لوگو پلاس</t>
  </si>
  <si>
    <t>SX5-3921617A</t>
  </si>
  <si>
    <t>SX5F-3101-0003-2</t>
  </si>
  <si>
    <t>SX5-3913010</t>
  </si>
  <si>
    <t>SX5F-5110615-L01</t>
  </si>
  <si>
    <t>39MA-00045</t>
  </si>
  <si>
    <t>SX5F-5109010D</t>
  </si>
  <si>
    <t>SX5-6105514A1-BR</t>
  </si>
  <si>
    <t>SX5-6205514-BR</t>
  </si>
  <si>
    <t>SX7-8202031B3-BR</t>
  </si>
  <si>
    <t>SX5KCT-2804-0001A1-BR</t>
  </si>
  <si>
    <t>SX5-2804515-BR</t>
  </si>
  <si>
    <t>SX5KCT-2803-0002A-BR</t>
  </si>
  <si>
    <t>SX5KCT-5506-0002A-BR</t>
  </si>
  <si>
    <t>SX5-7903010-BR</t>
  </si>
  <si>
    <t>SX5G-7903080L-BR</t>
  </si>
  <si>
    <t>SX5-6105515-BR</t>
  </si>
  <si>
    <t>SX5-6205515-BR</t>
  </si>
  <si>
    <t>SX3DCN-8404-0002S-BR</t>
  </si>
  <si>
    <t>SX7-8202030B3-BR</t>
  </si>
  <si>
    <t>Q18608110F36</t>
  </si>
  <si>
    <t>Q1840820F38S</t>
  </si>
  <si>
    <t>Q140B0616F38L</t>
  </si>
  <si>
    <t>Q1460625F38S</t>
  </si>
  <si>
    <t>Q2734816F36</t>
  </si>
  <si>
    <t xml:space="preserve">نصب فوم زیر زاپاس  </t>
  </si>
  <si>
    <t>SX5-5110-10</t>
  </si>
  <si>
    <t>فوم زیر زاپاس</t>
  </si>
  <si>
    <t>P14</t>
  </si>
  <si>
    <t>لوله خروجی سیستم تهویه مطبوع</t>
  </si>
  <si>
    <t>لوله آب موتور</t>
  </si>
  <si>
    <t>0.6+F591:F6056331</t>
  </si>
  <si>
    <t xml:space="preserve"> قرار دادن تایر زاپاس در صندوق </t>
  </si>
  <si>
    <t xml:space="preserve"> پیش مونتاژ رادیاتور </t>
  </si>
  <si>
    <t>همراه با آنتن می اید</t>
  </si>
  <si>
    <t xml:space="preserve">SX7H-1001020S6
</t>
  </si>
  <si>
    <t>SX7H-1001020</t>
  </si>
  <si>
    <t>SX5G-1103010A</t>
  </si>
  <si>
    <t>SX7-2810013B</t>
  </si>
  <si>
    <t>SX7H-5824020</t>
  </si>
  <si>
    <t>SX5F-6202410</t>
  </si>
  <si>
    <t>SX7H-8401240S</t>
  </si>
  <si>
    <t>BM3-8204121-Y1</t>
  </si>
  <si>
    <t>BM3-8204121B-Y1</t>
  </si>
  <si>
    <t>SX7-5205060
SX5-5205040</t>
  </si>
  <si>
    <t>SX7-5205050
SX5-5205030B</t>
  </si>
  <si>
    <t>SX3A-5109210D</t>
  </si>
  <si>
    <t>....</t>
  </si>
  <si>
    <t>سنسور اکسیژن پایین</t>
  </si>
  <si>
    <t>14 L
9.5 + 4.5</t>
  </si>
  <si>
    <t>گشتاور Min</t>
  </si>
  <si>
    <t>گشتاور
نرمال</t>
  </si>
  <si>
    <t>گشتاور
Max</t>
  </si>
  <si>
    <t>سره بکس</t>
  </si>
  <si>
    <t>مشخصه فنی ابزار نصب</t>
  </si>
  <si>
    <t xml:space="preserve">کد  ابزار
نصب </t>
  </si>
  <si>
    <t>مشخصه فنی ابزار کنترل گشتاور</t>
  </si>
  <si>
    <t xml:space="preserve">کد ابزار
کنترل گشتاور </t>
  </si>
  <si>
    <t>بکس 10 درایو 1/4</t>
  </si>
  <si>
    <t>EXACT 412</t>
  </si>
  <si>
    <t>TSE 2034</t>
  </si>
  <si>
    <t>سره T40 و تبدیل بکس</t>
  </si>
  <si>
    <t>ANGLE EXACT 30-380</t>
  </si>
  <si>
    <t>TSE 3139</t>
  </si>
  <si>
    <t>TSW 25</t>
  </si>
  <si>
    <t>TSE 2020</t>
  </si>
  <si>
    <t>TSE 2047</t>
  </si>
  <si>
    <t xml:space="preserve">بکس 12 درایو 3/8 + تبدیل </t>
  </si>
  <si>
    <t>TSE 3044</t>
  </si>
  <si>
    <t>TSN 25</t>
  </si>
  <si>
    <t>TSW 4029</t>
  </si>
  <si>
    <r>
      <t xml:space="preserve">55
</t>
    </r>
    <r>
      <rPr>
        <b/>
        <sz val="12.5"/>
        <rFont val="B Nazanin"/>
        <charset val="178"/>
      </rPr>
      <t>(نصب موقت تا 45)</t>
    </r>
  </si>
  <si>
    <t>بکس 13 درایو 3/8</t>
  </si>
  <si>
    <t>ANGLE EXACT 50-210</t>
  </si>
  <si>
    <t xml:space="preserve">TSE 3042 </t>
  </si>
  <si>
    <t>TSN 55</t>
  </si>
  <si>
    <t>TSE 2142</t>
  </si>
  <si>
    <t>TSE 2143</t>
  </si>
  <si>
    <t>EXACT 1106</t>
  </si>
  <si>
    <t>TSW 4015</t>
  </si>
  <si>
    <t>TSE 3041</t>
  </si>
  <si>
    <t>TSE 2041</t>
  </si>
  <si>
    <t>TSE 2133</t>
  </si>
  <si>
    <t>TSE 2134</t>
  </si>
  <si>
    <t>مجموعه براکت نصب جعبه فیوز کابین</t>
  </si>
  <si>
    <t>TSW 4009</t>
  </si>
  <si>
    <t>بکس8 درایو 1/4</t>
  </si>
  <si>
    <t>TSE 2029</t>
  </si>
  <si>
    <t>سره چهارسو درایو 1/4</t>
  </si>
  <si>
    <t>TSE 2109</t>
  </si>
  <si>
    <t>20
(نصب موقت تا 10)</t>
  </si>
  <si>
    <t xml:space="preserve">TSN 25 </t>
  </si>
  <si>
    <t>TSW 4021</t>
  </si>
  <si>
    <t>TSE 2144</t>
  </si>
  <si>
    <t>TSE 2149</t>
  </si>
  <si>
    <t>TSE 2110</t>
  </si>
  <si>
    <t>40
8</t>
  </si>
  <si>
    <t>45
9</t>
  </si>
  <si>
    <t>50
10</t>
  </si>
  <si>
    <t>بکس 15 درایو 3/8
بکس 10 درایو 1/4</t>
  </si>
  <si>
    <t>ANGLE EXACT 50-210
EXACT 412</t>
  </si>
  <si>
    <t>TSE 3068
TSE 2131</t>
  </si>
  <si>
    <t>TSE 2131</t>
  </si>
  <si>
    <t>بکس 15 درایو 3/8</t>
  </si>
  <si>
    <t>TSE 3068</t>
  </si>
  <si>
    <t>TSW 4191</t>
  </si>
  <si>
    <t>سره 22 درایو 1/2</t>
  </si>
  <si>
    <t>TSE 2147</t>
  </si>
  <si>
    <t>سره چهار سو درایو 1/4</t>
  </si>
  <si>
    <t>TSE 2039</t>
  </si>
  <si>
    <t>پیش مونتاژ مجموعه منبع انبساط-1</t>
  </si>
  <si>
    <t>مجموعه لوله پرکننده آب موتور</t>
  </si>
  <si>
    <t>ANGLE EXACT 14-420</t>
  </si>
  <si>
    <t>TSE 3054</t>
  </si>
  <si>
    <t>24
(نصب موقت تا 20)</t>
  </si>
  <si>
    <t>ANGLE EXACT ION 30-290</t>
  </si>
  <si>
    <t>TSE 3145</t>
  </si>
  <si>
    <t>TSE 2021</t>
  </si>
  <si>
    <t>بکس 10 درایو  1/4</t>
  </si>
  <si>
    <t>TSE 2090</t>
  </si>
  <si>
    <t>سره تخت تركمتر 12</t>
  </si>
  <si>
    <t>HAZET 6391-25</t>
  </si>
  <si>
    <t>TSW 4209</t>
  </si>
  <si>
    <t>TSW 4046</t>
  </si>
  <si>
    <t xml:space="preserve">LBR33 S26/114-13  </t>
  </si>
  <si>
    <t>TSA 9010</t>
  </si>
  <si>
    <t>TSE 3067</t>
  </si>
  <si>
    <t>TSE 2018</t>
  </si>
  <si>
    <t>TSE 2096</t>
  </si>
  <si>
    <t>TSW 4197</t>
  </si>
  <si>
    <t>TSW 4011</t>
  </si>
  <si>
    <t>TSN 125</t>
  </si>
  <si>
    <t>TSW 4205</t>
  </si>
  <si>
    <t>TSN 55
TSN 25</t>
  </si>
  <si>
    <t>TSW 4097
TSW 4033</t>
  </si>
  <si>
    <t>TSW 4025</t>
  </si>
  <si>
    <t>بکس 10 درایو 3/8</t>
  </si>
  <si>
    <t>TSW 4116</t>
  </si>
  <si>
    <t>ANGLE EXACT  30-380</t>
  </si>
  <si>
    <t>TSE 3070</t>
  </si>
  <si>
    <t>سره تخت ترکمتر 10</t>
  </si>
  <si>
    <t>DC-00</t>
  </si>
  <si>
    <t>TSW 4080</t>
  </si>
  <si>
    <t>TSE 2049</t>
  </si>
  <si>
    <t>TSE 3001</t>
  </si>
  <si>
    <t>TSW 4149</t>
  </si>
  <si>
    <t>TSE 2154</t>
  </si>
  <si>
    <t>TSE 2092</t>
  </si>
  <si>
    <t>TSE 3035</t>
  </si>
  <si>
    <t>TSE 2155</t>
  </si>
  <si>
    <t xml:space="preserve"> EXACT 412</t>
  </si>
  <si>
    <t>چهارسو</t>
  </si>
  <si>
    <t>TSE 2102</t>
  </si>
  <si>
    <t>TSA 9011</t>
  </si>
  <si>
    <t>TSE 3129</t>
  </si>
  <si>
    <t>سره T30</t>
  </si>
  <si>
    <t>TSE 2050</t>
  </si>
  <si>
    <t>TSE 2050
TSE 2031</t>
  </si>
  <si>
    <t>بکس 13 درایو 1/4</t>
  </si>
  <si>
    <t>TSE 3029</t>
  </si>
  <si>
    <t>TSW 4005</t>
  </si>
  <si>
    <t>TSW 4186</t>
  </si>
  <si>
    <t>TSW 4199</t>
  </si>
  <si>
    <t>TSE 2060</t>
  </si>
  <si>
    <t>TSE 2025</t>
  </si>
  <si>
    <t>TSE 2128</t>
  </si>
  <si>
    <t>ANGLE EXACT
14-420</t>
  </si>
  <si>
    <t>TSE 3107</t>
  </si>
  <si>
    <t>TSE 3031</t>
  </si>
  <si>
    <t xml:space="preserve"> TSE 2072</t>
  </si>
  <si>
    <t xml:space="preserve">سره چهارسو درایو 1/4 </t>
  </si>
  <si>
    <t>TSE 2042</t>
  </si>
  <si>
    <t>TSE 2135</t>
  </si>
  <si>
    <t>TSE 2052</t>
  </si>
  <si>
    <t>TSE 2172</t>
  </si>
  <si>
    <t>TSE 2043</t>
  </si>
  <si>
    <t>`10</t>
  </si>
  <si>
    <t>TSE 2058</t>
  </si>
  <si>
    <t>TSE 2012</t>
  </si>
  <si>
    <t>EXACT ION 12-700</t>
  </si>
  <si>
    <t>TSE 2152</t>
  </si>
  <si>
    <t>ANGLE EXACT14-420</t>
  </si>
  <si>
    <t>TSE 3072</t>
  </si>
  <si>
    <t xml:space="preserve">مونتاژ رادیاتور </t>
  </si>
  <si>
    <t>خارجمع كن</t>
  </si>
  <si>
    <t>TSE 2024</t>
  </si>
  <si>
    <t>سره چهارسو درایو 1/4 +
تبدیل سره مخصوص</t>
  </si>
  <si>
    <t>TSE 2105</t>
  </si>
  <si>
    <t>TSE 3032</t>
  </si>
  <si>
    <t>TSE 2035</t>
  </si>
  <si>
    <t>TSE 3115</t>
  </si>
  <si>
    <t>TSE 3058</t>
  </si>
  <si>
    <t>TSE 3133</t>
  </si>
  <si>
    <t>TSE 2136</t>
  </si>
  <si>
    <t xml:space="preserve"> TSE 3036</t>
  </si>
  <si>
    <t>TSE 2081</t>
  </si>
  <si>
    <t>TSE 2097</t>
  </si>
  <si>
    <t>TSE 3026</t>
  </si>
  <si>
    <t>TSW 4003</t>
  </si>
  <si>
    <t>TSW 4044</t>
  </si>
  <si>
    <t>TSW 4158</t>
  </si>
  <si>
    <t>TSW 4074</t>
  </si>
  <si>
    <t>TSW 4082</t>
  </si>
  <si>
    <t>TSE 2112</t>
  </si>
  <si>
    <t>TSW 4127</t>
  </si>
  <si>
    <t xml:space="preserve">ANGLE EXACT ION 30-300 </t>
  </si>
  <si>
    <t>TSE 3150</t>
  </si>
  <si>
    <t>TSW 4239</t>
  </si>
  <si>
    <t>DC-K</t>
  </si>
  <si>
    <t>TSW 4055</t>
  </si>
  <si>
    <t>TSE 2065</t>
  </si>
  <si>
    <t>TSW 4060</t>
  </si>
  <si>
    <t>TSE 3141</t>
  </si>
  <si>
    <t>بکس 8 درایو 1/4</t>
  </si>
  <si>
    <t>TSE 2030</t>
  </si>
  <si>
    <t>TSE 2124</t>
  </si>
  <si>
    <t>سره بکس ۱۰</t>
  </si>
  <si>
    <t>TSN25</t>
  </si>
  <si>
    <t>TSW 4020</t>
  </si>
  <si>
    <t>بکس 21 درایو 3/8</t>
  </si>
  <si>
    <t>TSE 3037</t>
  </si>
  <si>
    <t>TSE 3137</t>
  </si>
  <si>
    <t>TSW 4004</t>
  </si>
  <si>
    <t>Q1851250TF38</t>
    <phoneticPr fontId="3" type="noConversion"/>
  </si>
  <si>
    <t>EP 11 PTX 110</t>
  </si>
  <si>
    <t>TSA 2007</t>
  </si>
  <si>
    <t>TSE 3053</t>
  </si>
  <si>
    <t>TSW 4034</t>
  </si>
  <si>
    <t>سره بکس 10</t>
  </si>
  <si>
    <t>سره تخت 22</t>
  </si>
  <si>
    <t>DC-1</t>
  </si>
  <si>
    <t>TSW 4047</t>
  </si>
  <si>
    <t>EP 8 PTX 70</t>
  </si>
  <si>
    <t>بکس 15 درایو 1/2</t>
  </si>
  <si>
    <t>EP 12 PTH-R13/C</t>
  </si>
  <si>
    <t>TSA 2044</t>
  </si>
  <si>
    <t>HAZET 6392-200</t>
  </si>
  <si>
    <t>TSW 4153</t>
  </si>
  <si>
    <t>بکس 13 درایو 1/2</t>
  </si>
  <si>
    <t>EP 9  PTX 80</t>
  </si>
  <si>
    <t>TSA 2075</t>
  </si>
  <si>
    <t>TSW 4224</t>
  </si>
  <si>
    <t>130
(نصب موقت تا 100)</t>
  </si>
  <si>
    <t>بکس 19 درایو 1/2</t>
  </si>
  <si>
    <t>TSA 2040</t>
  </si>
  <si>
    <t>TSW 4067</t>
  </si>
  <si>
    <t>295
(نصب موقت تا 250)</t>
  </si>
  <si>
    <t>بکس 30 درایو 1/2</t>
  </si>
  <si>
    <t>EP 15 PTX 250</t>
  </si>
  <si>
    <t>TSA 2061</t>
  </si>
  <si>
    <t>DC-5A</t>
  </si>
  <si>
    <t>TSW 4150</t>
  </si>
  <si>
    <t>EYP-110 AS</t>
  </si>
  <si>
    <t>TSA 2074</t>
  </si>
  <si>
    <t>TSE 2085</t>
  </si>
  <si>
    <t>TSW 4065</t>
  </si>
  <si>
    <t>SX5KCT-1307-0001C5</t>
  </si>
  <si>
    <t xml:space="preserve"> ANGEL EXACT 420-14</t>
  </si>
  <si>
    <t>TSE 3014</t>
  </si>
  <si>
    <t>بکس 18 درایو 1/2</t>
  </si>
  <si>
    <t>TSA 2076</t>
  </si>
  <si>
    <t>34RAA75AZ4</t>
  </si>
  <si>
    <t>TSA 3009</t>
  </si>
  <si>
    <t>TSE 2063</t>
  </si>
  <si>
    <t>بکس 12 درایو 1/4</t>
  </si>
  <si>
    <t>TSE 3106</t>
  </si>
  <si>
    <t>بکس 14 درایو 1/4</t>
  </si>
  <si>
    <t xml:space="preserve"> TSE 3114</t>
  </si>
  <si>
    <t xml:space="preserve">CLECO 34RAA75AZ4 </t>
  </si>
  <si>
    <t xml:space="preserve"> TSA 3044</t>
  </si>
  <si>
    <t>TSW 4061</t>
  </si>
  <si>
    <t>TSW 4188</t>
  </si>
  <si>
    <t>TSW 4172</t>
  </si>
  <si>
    <t xml:space="preserve">مونتاژ ضربه گیر </t>
  </si>
  <si>
    <t xml:space="preserve">ضربه گیر </t>
  </si>
  <si>
    <t xml:space="preserve">EP 15 PTX 250   </t>
  </si>
  <si>
    <t>TSA 2028</t>
  </si>
  <si>
    <t>DC-3A</t>
  </si>
  <si>
    <t>TSW 4135</t>
  </si>
  <si>
    <t>TSA 2038</t>
  </si>
  <si>
    <t>TSW 4073</t>
  </si>
  <si>
    <t>TSW 4070</t>
  </si>
  <si>
    <t>53
(نصب موقت تا 45)</t>
  </si>
  <si>
    <t>TSE 3122</t>
  </si>
  <si>
    <t>TSE 3060</t>
  </si>
  <si>
    <t>TSE 3105</t>
  </si>
  <si>
    <t>TSW 4203</t>
  </si>
  <si>
    <t>TSW 4148</t>
  </si>
  <si>
    <t>TSW 4130</t>
  </si>
  <si>
    <t>TSW 4151</t>
  </si>
  <si>
    <t>TSW 4049</t>
  </si>
  <si>
    <t>TSW 4028</t>
  </si>
  <si>
    <t>TSW 4227</t>
  </si>
  <si>
    <t>بکس 19 درایو 3/8</t>
  </si>
  <si>
    <t>TSW 4219</t>
  </si>
  <si>
    <t>سره چهار سو</t>
  </si>
  <si>
    <t>TSE 2122</t>
  </si>
  <si>
    <t>TSE 2103</t>
  </si>
  <si>
    <t>EXACT ION 6-1500</t>
  </si>
  <si>
    <t>TSE 2015</t>
  </si>
  <si>
    <t>TSW 4142</t>
  </si>
  <si>
    <t>TSW 4119</t>
  </si>
  <si>
    <t>TSE 3020</t>
  </si>
  <si>
    <t>TSE 3123</t>
  </si>
  <si>
    <t>TSW 4117</t>
  </si>
  <si>
    <t>TSE 2117</t>
  </si>
  <si>
    <t>TSE 2137</t>
  </si>
  <si>
    <t>TSE 2107</t>
  </si>
  <si>
    <t>ANGLE EXACT ION 15-500</t>
  </si>
  <si>
    <t>TSE 3157</t>
  </si>
  <si>
    <t>DR500-P1000-C10</t>
  </si>
  <si>
    <t>TSA 2051</t>
  </si>
  <si>
    <t>TSE 2162</t>
  </si>
  <si>
    <t>TSE 2171</t>
  </si>
  <si>
    <t>TSE 3138</t>
  </si>
  <si>
    <t>ANGLE EXACT ION 50-210</t>
  </si>
  <si>
    <t xml:space="preserve">   TSE 3095</t>
  </si>
  <si>
    <t>ASW18-60-FEIN</t>
  </si>
  <si>
    <t xml:space="preserve"> TSE 3170</t>
  </si>
  <si>
    <t>TSW 4093</t>
  </si>
  <si>
    <t>دستگاه تست ولتاژ باتری</t>
  </si>
  <si>
    <t>TSE 3048</t>
  </si>
  <si>
    <t>سره T50</t>
  </si>
  <si>
    <t>TSE 3158</t>
  </si>
  <si>
    <t>بکس 17 درایو 3/8</t>
  </si>
  <si>
    <t>TSE 3135
(با تعويض سره)</t>
  </si>
  <si>
    <t xml:space="preserve">  TSE 3158</t>
  </si>
  <si>
    <t>HAZET 6391-50</t>
  </si>
  <si>
    <t>TSW 4138</t>
  </si>
  <si>
    <t>TSE 3171</t>
  </si>
  <si>
    <t>TSW 4138
(با تعويض سره)</t>
  </si>
  <si>
    <t>TSE 3172</t>
  </si>
  <si>
    <t>TSW 4040</t>
  </si>
  <si>
    <t xml:space="preserve"> TSE 3045</t>
  </si>
  <si>
    <t>TSE 3135</t>
  </si>
  <si>
    <t xml:space="preserve">  TSE 3045</t>
  </si>
  <si>
    <t>TSE 3093</t>
  </si>
  <si>
    <t>TSE 2161</t>
  </si>
  <si>
    <t>TSW 4017</t>
  </si>
  <si>
    <t>بکس 14 درایو 3/8</t>
  </si>
  <si>
    <t>ANGLE EXACT ION 30-300</t>
  </si>
  <si>
    <t>TSE 3160</t>
  </si>
  <si>
    <t>TSE 2091</t>
  </si>
  <si>
    <t>TSW 4102</t>
  </si>
  <si>
    <t>TSW 4126</t>
  </si>
  <si>
    <t>TSW 4013</t>
  </si>
  <si>
    <t>سره بکس 13 درایو 3/8</t>
  </si>
  <si>
    <t>TSE 3131</t>
  </si>
  <si>
    <t>51
(نصب موقت تا 45)</t>
  </si>
  <si>
    <t>بکس 11 درایو 3/8</t>
  </si>
  <si>
    <t>TSE 3089</t>
  </si>
  <si>
    <t>TSW 4099</t>
  </si>
  <si>
    <t>TSE 3159</t>
  </si>
  <si>
    <t>______</t>
  </si>
  <si>
    <t>TLS 1360</t>
  </si>
  <si>
    <t xml:space="preserve">TSW 4154 </t>
  </si>
  <si>
    <t>TSE 3016</t>
  </si>
  <si>
    <t>TSE 2158</t>
  </si>
  <si>
    <t>TSE 2174</t>
  </si>
  <si>
    <t>TSE 2173</t>
  </si>
  <si>
    <t>9</t>
  </si>
  <si>
    <t>Exact 412</t>
  </si>
  <si>
    <t>DC-3</t>
  </si>
  <si>
    <t>TSW 4194</t>
  </si>
  <si>
    <t>TSW 4195</t>
  </si>
  <si>
    <t>SX5-6309550S</t>
  </si>
  <si>
    <t>SX5-6309553S</t>
  </si>
  <si>
    <t>SX5-6309552S</t>
  </si>
  <si>
    <t>SX5-6309555S</t>
  </si>
  <si>
    <t>SX5-6309554S</t>
  </si>
  <si>
    <t>SX7-8402711</t>
  </si>
  <si>
    <t>SX7-8402710</t>
  </si>
  <si>
    <t>SX3A-4133150A</t>
  </si>
  <si>
    <t>SX3A-4133030A1</t>
  </si>
  <si>
    <t>SX3A-4133040A1</t>
  </si>
  <si>
    <t>SX5B-5310611</t>
  </si>
  <si>
    <t>مونتاژ مخزن انبساط روی خودرو</t>
  </si>
  <si>
    <t>مونتاژ مخزن انبساط آب رادیاتور</t>
  </si>
  <si>
    <t>Q673C25F62</t>
  </si>
  <si>
    <t>مجموعه مخزن انبساط</t>
  </si>
  <si>
    <t xml:space="preserve">بالانس و مونتاژ تاير برروي رينگ اصلی </t>
  </si>
  <si>
    <t>A-3101062</t>
  </si>
  <si>
    <t>SX5-3106050A</t>
  </si>
  <si>
    <t>2 mL</t>
  </si>
  <si>
    <t xml:space="preserve">بالانس و مونتاژ تاير برروي رينگ زاپاس </t>
  </si>
  <si>
    <t>SX5-3109010-L01</t>
  </si>
  <si>
    <t>والف ساده (بدون سنسور TPMS )</t>
  </si>
  <si>
    <t>TR414</t>
  </si>
  <si>
    <t>SX5-3101040-S</t>
  </si>
  <si>
    <t>M041</t>
  </si>
  <si>
    <t>MS040R1</t>
  </si>
  <si>
    <t>P61</t>
  </si>
  <si>
    <t>P82</t>
  </si>
  <si>
    <t>SX7H-1703-2</t>
  </si>
  <si>
    <t xml:space="preserve">مونتاژ سر دنده </t>
  </si>
  <si>
    <t xml:space="preserve">سردنده </t>
  </si>
  <si>
    <t>مهره قفلی</t>
  </si>
  <si>
    <t>FX-685081701</t>
  </si>
  <si>
    <t>SX5-5507-11</t>
  </si>
  <si>
    <t>SX7-2810013</t>
  </si>
  <si>
    <t>P49 &amp; P50</t>
  </si>
  <si>
    <t>P52 &amp; P53</t>
  </si>
  <si>
    <t>P62</t>
  </si>
  <si>
    <t>P83</t>
  </si>
  <si>
    <t>Q14660625F38</t>
  </si>
  <si>
    <t>روان کننده</t>
  </si>
  <si>
    <t>B-6106051A
Q1460620</t>
  </si>
  <si>
    <t>نصب فوم تقویتی زیر موکت عقب چپ</t>
  </si>
  <si>
    <t>نصب فوم تقویتی زیر موکت عقب راست</t>
  </si>
  <si>
    <t>SX5KCT-2904-0001C2</t>
  </si>
  <si>
    <t>SX5KCT-2904-0002C2</t>
  </si>
  <si>
    <t>SX5KCT-2904-0001C1</t>
  </si>
  <si>
    <t>SX5KCT-2904-0002C1</t>
  </si>
  <si>
    <t>SX3A-5403031B
SX3A-5403031</t>
  </si>
  <si>
    <t>SX3A-5403031B1</t>
  </si>
  <si>
    <t>SX3A-5403030B
SX3A-5403030</t>
  </si>
  <si>
    <t>SX3A-5403030B1</t>
  </si>
  <si>
    <t>SX5H-1104010A</t>
  </si>
  <si>
    <t>SX5KCT-2810-0003C1</t>
  </si>
  <si>
    <t>Q1860616F38
B-6106051A</t>
  </si>
  <si>
    <t>Q1860616F36</t>
  </si>
  <si>
    <t>Q1840616F36</t>
  </si>
  <si>
    <t>SX5KCT-1307-0001C1
SX5KCT-1307-0001C4</t>
  </si>
  <si>
    <t>SX6A-5703-3</t>
  </si>
  <si>
    <t>SX7H-1100-5</t>
  </si>
  <si>
    <t>TSE 2118</t>
  </si>
  <si>
    <t>SX5K-1130-2</t>
  </si>
  <si>
    <t>Q140B0620F38</t>
  </si>
  <si>
    <t>Q2734816F36
LQ273B4820F38</t>
  </si>
  <si>
    <t>SX5G-8263102A</t>
  </si>
  <si>
    <t>دستورالعمل تعریف دوربین جلو ADAS</t>
  </si>
  <si>
    <t>T5P-5507-12</t>
  </si>
  <si>
    <t>TS004R1</t>
  </si>
  <si>
    <t>TC007L1</t>
  </si>
  <si>
    <t>kitting</t>
  </si>
  <si>
    <t>TS002L1</t>
  </si>
  <si>
    <t>TS002R2</t>
  </si>
  <si>
    <t>TC001R1</t>
  </si>
  <si>
    <t>TS001R2</t>
  </si>
  <si>
    <t>TS001L1</t>
  </si>
  <si>
    <t>TS002R1</t>
  </si>
  <si>
    <t>TS001L3</t>
  </si>
  <si>
    <t>TC006L1</t>
  </si>
  <si>
    <t>T001L</t>
  </si>
  <si>
    <t>TS005L1</t>
  </si>
  <si>
    <t>TS001L2</t>
  </si>
  <si>
    <t>TS003L1</t>
  </si>
  <si>
    <t>TS004L2</t>
  </si>
  <si>
    <t>TS006L1</t>
  </si>
  <si>
    <t>TC008L1</t>
  </si>
  <si>
    <t>TS005L2</t>
  </si>
  <si>
    <t>T004R</t>
  </si>
  <si>
    <t>T005R</t>
  </si>
  <si>
    <t>T006L</t>
  </si>
  <si>
    <t>TS007L1</t>
  </si>
  <si>
    <t>T002R</t>
  </si>
  <si>
    <t>T006R</t>
  </si>
  <si>
    <t>TS007R1</t>
  </si>
  <si>
    <t>TS003R2</t>
  </si>
  <si>
    <t>TC010L1</t>
  </si>
  <si>
    <t>TS005R1</t>
  </si>
  <si>
    <t>TS007R4</t>
  </si>
  <si>
    <t>TS004L1</t>
  </si>
  <si>
    <t>T007L</t>
  </si>
  <si>
    <t>TC012R1</t>
  </si>
  <si>
    <t>TS008L3</t>
  </si>
  <si>
    <t>TS007R2</t>
  </si>
  <si>
    <t>T004L</t>
  </si>
  <si>
    <t>TS008L2</t>
  </si>
  <si>
    <t>T013L</t>
  </si>
  <si>
    <t>TS012L1</t>
  </si>
  <si>
    <t>T007R</t>
  </si>
  <si>
    <t>TS011L1</t>
  </si>
  <si>
    <t>T010R</t>
  </si>
  <si>
    <t>TS010L1</t>
  </si>
  <si>
    <t>T013R *</t>
  </si>
  <si>
    <t>TS012R1</t>
  </si>
  <si>
    <t>T016L</t>
  </si>
  <si>
    <t>TC017L1</t>
  </si>
  <si>
    <t>T017L</t>
  </si>
  <si>
    <t>TC018R1</t>
  </si>
  <si>
    <t>T024R</t>
  </si>
  <si>
    <t>T016R</t>
  </si>
  <si>
    <t>T017R</t>
  </si>
  <si>
    <t>TS017L1</t>
  </si>
  <si>
    <t>T016L*</t>
  </si>
  <si>
    <t>TS018L2</t>
  </si>
  <si>
    <t>T016R*</t>
  </si>
  <si>
    <t>TS019L1</t>
  </si>
  <si>
    <t>TS019R2</t>
  </si>
  <si>
    <t>TS017R1</t>
  </si>
  <si>
    <t>T018R *</t>
  </si>
  <si>
    <t>T018R*</t>
  </si>
  <si>
    <t>SX5-5402-1-A</t>
  </si>
  <si>
    <t>T018L *</t>
  </si>
  <si>
    <t>TS018L1</t>
  </si>
  <si>
    <t>SX5A-5703-2
SX5-5703-5</t>
  </si>
  <si>
    <t>T018R</t>
  </si>
  <si>
    <t>T019L</t>
  </si>
  <si>
    <t>TS022R1</t>
  </si>
  <si>
    <t>TC022L2</t>
  </si>
  <si>
    <t>T020R</t>
  </si>
  <si>
    <t>T019R</t>
  </si>
  <si>
    <t>T021R</t>
  </si>
  <si>
    <t>TC022L1</t>
  </si>
  <si>
    <t>TS021R1</t>
  </si>
  <si>
    <t>TS028R1</t>
  </si>
  <si>
    <t>T023R</t>
  </si>
  <si>
    <t>T022R*</t>
  </si>
  <si>
    <t>TS029L2</t>
  </si>
  <si>
    <t>T027L</t>
  </si>
  <si>
    <t>TS028L1</t>
  </si>
  <si>
    <t>T024R*</t>
  </si>
  <si>
    <t>T020R*</t>
  </si>
  <si>
    <t>T022L</t>
  </si>
  <si>
    <t>T022R</t>
  </si>
  <si>
    <t>T023R*</t>
  </si>
  <si>
    <t>T029R*</t>
  </si>
  <si>
    <t>TS023R4</t>
  </si>
  <si>
    <t>T020L*</t>
  </si>
  <si>
    <t>T024L</t>
  </si>
  <si>
    <t>T022L*</t>
  </si>
  <si>
    <t>T023L</t>
  </si>
  <si>
    <t>TC028L1</t>
  </si>
  <si>
    <t>TC024R1</t>
  </si>
  <si>
    <t>T026L</t>
  </si>
  <si>
    <t>T026R</t>
  </si>
  <si>
    <t>T027R</t>
  </si>
  <si>
    <t>ES009L1</t>
  </si>
  <si>
    <t>E001R</t>
  </si>
  <si>
    <t>ES014R1</t>
  </si>
  <si>
    <t>E005R</t>
  </si>
  <si>
    <t>EC009L1</t>
  </si>
  <si>
    <t>E009R</t>
  </si>
  <si>
    <t>ES014R2</t>
  </si>
  <si>
    <t>E005</t>
  </si>
  <si>
    <t>E004L</t>
  </si>
  <si>
    <t>ES001R1</t>
  </si>
  <si>
    <t>US031L1</t>
  </si>
  <si>
    <t>U032R</t>
  </si>
  <si>
    <t>UC032R1</t>
  </si>
  <si>
    <t>US033L1</t>
  </si>
  <si>
    <t>U031R</t>
  </si>
  <si>
    <t>U033R*</t>
  </si>
  <si>
    <t xml:space="preserve">U033R </t>
  </si>
  <si>
    <t>U031L</t>
  </si>
  <si>
    <t>UC031L1</t>
  </si>
  <si>
    <t>UC031R1</t>
  </si>
  <si>
    <t>U031R*</t>
  </si>
  <si>
    <t>U032L</t>
  </si>
  <si>
    <t>US033L2</t>
  </si>
  <si>
    <t>U031R *</t>
  </si>
  <si>
    <t>U034R</t>
  </si>
  <si>
    <t>U034L</t>
  </si>
  <si>
    <t>US033R*</t>
  </si>
  <si>
    <t>U033R</t>
  </si>
  <si>
    <t>M035R</t>
  </si>
  <si>
    <t>MS036R1</t>
  </si>
  <si>
    <t>MC036L2</t>
  </si>
  <si>
    <t>MC036L1</t>
  </si>
  <si>
    <t>MS036L1</t>
  </si>
  <si>
    <t>MS036L2</t>
  </si>
  <si>
    <t>MS035R1</t>
  </si>
  <si>
    <t xml:space="preserve">MS038L1 </t>
  </si>
  <si>
    <t>M037R</t>
  </si>
  <si>
    <t>MC038L1</t>
  </si>
  <si>
    <t>MS036L3</t>
  </si>
  <si>
    <t>M035L</t>
  </si>
  <si>
    <t>M038R</t>
  </si>
  <si>
    <t>M039R</t>
  </si>
  <si>
    <t>MS038L1</t>
  </si>
  <si>
    <t>M035</t>
  </si>
  <si>
    <t>M039L</t>
  </si>
  <si>
    <t>MS040R2</t>
  </si>
  <si>
    <t>F045</t>
  </si>
  <si>
    <t>FC043R1</t>
  </si>
  <si>
    <t>F044L</t>
  </si>
  <si>
    <t>F044R</t>
  </si>
  <si>
    <t>F043R</t>
  </si>
  <si>
    <t>F043L*</t>
  </si>
  <si>
    <t>FS043L1</t>
  </si>
  <si>
    <t>FS058L1</t>
  </si>
  <si>
    <t>FC058L1</t>
  </si>
  <si>
    <t>FS061R</t>
  </si>
  <si>
    <t>F-043L</t>
  </si>
  <si>
    <t>F-043R</t>
  </si>
  <si>
    <t>F043</t>
  </si>
  <si>
    <t>F043L</t>
  </si>
  <si>
    <t>FC049R1</t>
  </si>
  <si>
    <t>FS049R2</t>
  </si>
  <si>
    <t>FC049R2</t>
  </si>
  <si>
    <t>F047R</t>
  </si>
  <si>
    <t>FS046L1</t>
  </si>
  <si>
    <t>F046R</t>
  </si>
  <si>
    <t>F045R</t>
  </si>
  <si>
    <t>FS046L2</t>
  </si>
  <si>
    <t>F047L</t>
  </si>
  <si>
    <t>FS049R3</t>
  </si>
  <si>
    <t>FC056R1</t>
  </si>
  <si>
    <t>FS049L1</t>
  </si>
  <si>
    <t>FS056R1</t>
  </si>
  <si>
    <t>F049L</t>
  </si>
  <si>
    <t>FS051R1</t>
  </si>
  <si>
    <t>F052R</t>
  </si>
  <si>
    <t>F052</t>
  </si>
  <si>
    <t>F053</t>
  </si>
  <si>
    <t>F0053</t>
  </si>
  <si>
    <t>F056R</t>
  </si>
  <si>
    <t>F055-56</t>
  </si>
  <si>
    <t>F056L</t>
  </si>
  <si>
    <t>F057L*</t>
  </si>
  <si>
    <t>FS057R1</t>
  </si>
  <si>
    <t>FS055L1</t>
  </si>
  <si>
    <t>F054L</t>
  </si>
  <si>
    <t>F055L</t>
  </si>
  <si>
    <t>F057L</t>
  </si>
  <si>
    <t>F057R</t>
  </si>
  <si>
    <t>F058R*</t>
  </si>
  <si>
    <t>FC061L1</t>
  </si>
  <si>
    <t>FS060R2</t>
  </si>
  <si>
    <t>FS058R1</t>
  </si>
  <si>
    <t>F059L</t>
  </si>
  <si>
    <t>F058R</t>
  </si>
  <si>
    <t>F058L</t>
  </si>
  <si>
    <t>FS060R1</t>
  </si>
  <si>
    <t>F060R</t>
  </si>
  <si>
    <t>F059L*</t>
  </si>
  <si>
    <t>FS061L</t>
  </si>
  <si>
    <t>F062R</t>
  </si>
  <si>
    <t>F061L*</t>
  </si>
  <si>
    <t>بست فلزی</t>
  </si>
  <si>
    <t>A-1104028A2</t>
  </si>
  <si>
    <t>SX7H-1303130S4</t>
  </si>
  <si>
    <t>لوله آب خنک کننده( رو موتور می  آید)</t>
  </si>
  <si>
    <t>Q140B0620F38L</t>
  </si>
  <si>
    <t>T5P-5507-11</t>
  </si>
  <si>
    <t>T5P-5504-8</t>
  </si>
  <si>
    <t>T5P-5507-14</t>
  </si>
  <si>
    <t>T5P-5507-15</t>
  </si>
  <si>
    <t>T5P-5507-16</t>
  </si>
  <si>
    <t xml:space="preserve"> کالیبره کردن یونیت کیسه هوا</t>
  </si>
  <si>
    <t>FS047L1</t>
  </si>
  <si>
    <t>TSE 3063</t>
  </si>
  <si>
    <r>
      <t xml:space="preserve"> کد فرم: </t>
    </r>
    <r>
      <rPr>
        <sz val="11"/>
        <color rgb="FF000000"/>
        <rFont val="Calibri"/>
        <family val="2"/>
      </rPr>
      <t>Farda-COP3-F39-04</t>
    </r>
  </si>
  <si>
    <t xml:space="preserve">نام محصول: </t>
  </si>
  <si>
    <r>
      <t xml:space="preserve">فهرست بالانس و </t>
    </r>
    <r>
      <rPr>
        <b/>
        <sz val="20"/>
        <color theme="1"/>
        <rFont val="B Titr"/>
        <charset val="178"/>
      </rPr>
      <t>BOM</t>
    </r>
    <r>
      <rPr>
        <sz val="20"/>
        <color theme="1"/>
        <rFont val="B Titr"/>
        <charset val="178"/>
      </rPr>
      <t xml:space="preserve"> ایستگاهی</t>
    </r>
  </si>
  <si>
    <t>تاريخ تدوين/بازنگري: 1403/08/27</t>
  </si>
  <si>
    <t xml:space="preserve"> کد محصول: </t>
  </si>
  <si>
    <t>تاریخ بازنگری:</t>
  </si>
  <si>
    <t>شماره مدرك:</t>
  </si>
  <si>
    <t xml:space="preserve"> شماره بازنگری:  </t>
  </si>
  <si>
    <t>7 دستگاه</t>
  </si>
  <si>
    <t>تيراژ توليد:</t>
  </si>
  <si>
    <t>گروه صنعتي فردا (سهامی خاص)</t>
  </si>
  <si>
    <r>
      <t xml:space="preserve"> کد فرم: </t>
    </r>
    <r>
      <rPr>
        <sz val="11"/>
        <color rgb="FF000000"/>
        <rFont val="Calibri"/>
        <family val="2"/>
      </rPr>
      <t>Farda-COP3-F24-04</t>
    </r>
  </si>
  <si>
    <t>فهرست ایستگاهی ابزارآلات تولیدی</t>
  </si>
  <si>
    <t>1404/08/21</t>
  </si>
  <si>
    <t>T5PLUS</t>
  </si>
  <si>
    <t>TOL-T5PLUS-002</t>
  </si>
  <si>
    <r>
      <t>SX7G-53171</t>
    </r>
    <r>
      <rPr>
        <sz val="14"/>
        <rFont val="Calibri"/>
        <family val="3"/>
        <charset val="134"/>
        <scheme val="minor"/>
      </rPr>
      <t>20S</t>
    </r>
  </si>
  <si>
    <r>
      <t>SX7G-53171</t>
    </r>
    <r>
      <rPr>
        <sz val="14"/>
        <rFont val="Calibri"/>
        <family val="3"/>
        <charset val="134"/>
        <scheme val="minor"/>
      </rPr>
      <t>30S</t>
    </r>
  </si>
  <si>
    <r>
      <t xml:space="preserve">مهره قفلی  </t>
    </r>
    <r>
      <rPr>
        <b/>
        <sz val="14"/>
        <rFont val="B Nazanin"/>
        <charset val="178"/>
      </rPr>
      <t>(همراه رام میاد)</t>
    </r>
    <r>
      <rPr>
        <sz val="14"/>
        <rFont val="B Nazanin"/>
        <charset val="178"/>
      </rPr>
      <t xml:space="preserve"> </t>
    </r>
  </si>
  <si>
    <r>
      <t>3.25</t>
    </r>
    <r>
      <rPr>
        <sz val="14"/>
        <rFont val="Times New Roman"/>
        <family val="1"/>
      </rPr>
      <t>±</t>
    </r>
    <r>
      <rPr>
        <sz val="14"/>
        <rFont val="Calibri"/>
        <family val="2"/>
      </rPr>
      <t>0.1 L</t>
    </r>
  </si>
  <si>
    <r>
      <t>0.7</t>
    </r>
    <r>
      <rPr>
        <sz val="14"/>
        <rFont val="Times New Roman"/>
        <family val="1"/>
      </rPr>
      <t>±</t>
    </r>
    <r>
      <rPr>
        <sz val="14"/>
        <rFont val="Calibri"/>
        <family val="2"/>
      </rPr>
      <t>0.1 L</t>
    </r>
  </si>
  <si>
    <r>
      <t>2.5</t>
    </r>
    <r>
      <rPr>
        <sz val="14"/>
        <rFont val="Times New Roman"/>
        <family val="1"/>
      </rPr>
      <t>±</t>
    </r>
    <r>
      <rPr>
        <sz val="14"/>
        <rFont val="Calibri"/>
        <family val="2"/>
      </rPr>
      <t>0.02L</t>
    </r>
  </si>
  <si>
    <t>P57 &amp; P58</t>
  </si>
  <si>
    <t>P74</t>
  </si>
  <si>
    <t>مونتاژ قاب برف پاک کن</t>
  </si>
  <si>
    <t>نازل آب پاش</t>
  </si>
  <si>
    <t xml:space="preserve">قاب مجموعه برف پاک کن </t>
  </si>
  <si>
    <t>شلنگ آب پاش</t>
  </si>
  <si>
    <t>T5P-5504-6</t>
  </si>
  <si>
    <t xml:space="preserve"> لوله ورودی تهویه مطبوع</t>
  </si>
  <si>
    <t xml:space="preserve">نصب داکت واسط کانال هوا </t>
  </si>
  <si>
    <t xml:space="preserve"> نصب اواپراتور بخاری عقب</t>
  </si>
  <si>
    <t>نصب براکت دسته سیم</t>
  </si>
  <si>
    <t>TSW 4241</t>
  </si>
  <si>
    <t>TSW 4242</t>
  </si>
  <si>
    <t>TSW 4243</t>
  </si>
  <si>
    <t>نصب فوم تقویتی زیر موکت سمت راننده</t>
  </si>
  <si>
    <t>نصب فوم تقویتی زیر موکت سمت شاگرد</t>
  </si>
  <si>
    <t>نصب فوم تقویتی زیر موکت وسط چپ</t>
  </si>
  <si>
    <t>نصب فوم تقویتی زیر موکت وسط راست</t>
  </si>
  <si>
    <t>TSW 4246</t>
  </si>
  <si>
    <t>TSW 4244</t>
  </si>
  <si>
    <t>TSW 4245</t>
  </si>
  <si>
    <t>EBS-T5PLUS-002</t>
  </si>
  <si>
    <t>SX5-5820-3A</t>
  </si>
  <si>
    <t>SX7-8402-2A</t>
  </si>
  <si>
    <t>SX5-5824-1A</t>
  </si>
  <si>
    <t>SX7-6309-5A</t>
  </si>
  <si>
    <t>SX5-1001-1A</t>
  </si>
  <si>
    <t>SX5-1001-3A</t>
  </si>
  <si>
    <t>SX7-6305-2A</t>
  </si>
  <si>
    <t>SX5K-4012-1A</t>
  </si>
  <si>
    <t>SX7-6305-1A</t>
  </si>
  <si>
    <t>SX5-3540-2A</t>
  </si>
  <si>
    <t>SX5-3550-6A</t>
  </si>
  <si>
    <t>SX5-3500-1A</t>
  </si>
  <si>
    <t>SX5-1230-01A</t>
  </si>
  <si>
    <t>SX5-1108-1A</t>
  </si>
  <si>
    <t>SX5-5810-15A</t>
  </si>
  <si>
    <t>SX5-5306-2A</t>
  </si>
  <si>
    <t>SX7E-5306-1RA</t>
  </si>
  <si>
    <t>SX5F-5306-1RA</t>
  </si>
  <si>
    <t>SX7E-5306-1LA</t>
  </si>
  <si>
    <t>SX5F-5306-1LA</t>
  </si>
  <si>
    <t>SX5-5820-1A</t>
  </si>
  <si>
    <t>SX5K-1700-2A</t>
  </si>
  <si>
    <t>SX5-6205-3A</t>
  </si>
  <si>
    <t>SX5K-1300-3A</t>
  </si>
  <si>
    <t>SX5K-1300-1A</t>
  </si>
  <si>
    <t>SX5-5810-11A</t>
  </si>
  <si>
    <t>SX5-5810-10A</t>
  </si>
  <si>
    <t>SX5-2904-2A</t>
  </si>
  <si>
    <t>SX5-8402-6A</t>
  </si>
  <si>
    <t>SX5-3506-3A</t>
  </si>
  <si>
    <t>SX5-3506-2A</t>
  </si>
  <si>
    <t>SX5-3506-7A</t>
  </si>
  <si>
    <t>SX5K-1101-1A</t>
  </si>
  <si>
    <t>SX5-2810-3A</t>
  </si>
  <si>
    <t>SX5-2904-4A</t>
  </si>
  <si>
    <t>SX5-2906-3A</t>
  </si>
  <si>
    <t>SX5-3401-2A</t>
  </si>
  <si>
    <t>SX5-3630-2A</t>
  </si>
  <si>
    <t>SX5K-1001-2A</t>
  </si>
  <si>
    <t>SX5-2914-4A</t>
  </si>
  <si>
    <t>SX5K-1203-1A</t>
  </si>
  <si>
    <t>SX3-1200-4A</t>
  </si>
  <si>
    <t>SX5A-1203-2A</t>
  </si>
  <si>
    <t>SX5-5200-2A</t>
  </si>
  <si>
    <t>SX5-6310-1A</t>
  </si>
  <si>
    <t>SX5-5205-4A</t>
  </si>
  <si>
    <t>SX5-5205-3A</t>
  </si>
  <si>
    <t>BM3-8204240-Y1</t>
  </si>
  <si>
    <t>SX5-5402314B</t>
  </si>
  <si>
    <t>SX5-5402313B</t>
  </si>
  <si>
    <t>SX7H-1132-2</t>
  </si>
  <si>
    <t>SX5-6309500S</t>
  </si>
  <si>
    <t>BM3-8204230A-Y1</t>
  </si>
  <si>
    <t>C20-8112080A</t>
  </si>
  <si>
    <t xml:space="preserve">SX5K-3791230S </t>
  </si>
  <si>
    <t>TSW 4016</t>
  </si>
  <si>
    <t>TSN55</t>
  </si>
  <si>
    <t>SX5-2915-2A</t>
  </si>
  <si>
    <t>SX5-2810-4A</t>
  </si>
  <si>
    <t>T5-2810-4-B</t>
  </si>
  <si>
    <t>SX5-5200-1A</t>
  </si>
  <si>
    <t>SX5-5810-13A</t>
  </si>
  <si>
    <t>SX5-7000-1A</t>
  </si>
  <si>
    <t>P20</t>
  </si>
  <si>
    <r>
      <rPr>
        <sz val="14"/>
        <rFont val="Calibri"/>
        <family val="2"/>
      </rPr>
      <t xml:space="preserve"> </t>
    </r>
    <r>
      <rPr>
        <sz val="14"/>
        <rFont val="B Nazanin"/>
        <charset val="178"/>
      </rPr>
      <t xml:space="preserve">کالیبره کردن </t>
    </r>
    <r>
      <rPr>
        <sz val="14"/>
        <rFont val="Calibri"/>
        <family val="2"/>
      </rPr>
      <t>ESP</t>
    </r>
  </si>
  <si>
    <r>
      <t xml:space="preserve"> کانفیگ </t>
    </r>
    <r>
      <rPr>
        <sz val="14"/>
        <rFont val="Calibri"/>
        <family val="2"/>
      </rPr>
      <t>EPS</t>
    </r>
  </si>
  <si>
    <t>P81</t>
  </si>
  <si>
    <t>براکت ( روی جعبه فیوز است)</t>
  </si>
  <si>
    <t xml:space="preserve">خار جمع کن </t>
  </si>
  <si>
    <t>براکت نگهدارنده کاتالیست(روی کلتالیست است)</t>
  </si>
  <si>
    <t>مونتاژ  شلنگ ورودی آّب  راددیاتور بخاری سمت موتور</t>
  </si>
  <si>
    <t>SX3DCN-1001-6</t>
  </si>
  <si>
    <t>SX3DCN-8101-2</t>
  </si>
  <si>
    <t>SX5-5810-6</t>
  </si>
  <si>
    <t>SX5-5810-7</t>
  </si>
  <si>
    <t>SX5-8210-2</t>
  </si>
  <si>
    <t>SX5B-3550-1</t>
  </si>
  <si>
    <t>مونتاژ درپوش های سپر عقب</t>
  </si>
  <si>
    <t>1375A</t>
  </si>
  <si>
    <t>Q1851275TF38</t>
  </si>
  <si>
    <t>TSE 2156</t>
  </si>
  <si>
    <t>بکس 19</t>
  </si>
  <si>
    <t>S50EVG-2127130S</t>
  </si>
  <si>
    <t xml:space="preserve">مونتاژ پمپ آب برقی به بدنه </t>
  </si>
  <si>
    <t xml:space="preserve">SX5KCT-1307-51-2 </t>
  </si>
  <si>
    <t>مونتاژ پمپ آب برقی به موتور</t>
  </si>
  <si>
    <t>SX5KCT-1307-51-1</t>
  </si>
  <si>
    <t xml:space="preserve">مونتاز لوله چهار راهی به براکت نصب لوله </t>
  </si>
  <si>
    <t>ترک و مار پیچ استپر درب های جانبی جلو و عقب</t>
  </si>
  <si>
    <t>P63</t>
  </si>
  <si>
    <t>P65 &amp; P64</t>
  </si>
  <si>
    <t>P84</t>
  </si>
  <si>
    <t>P85</t>
  </si>
  <si>
    <t>SX7A-1119252</t>
  </si>
  <si>
    <t>P51</t>
  </si>
  <si>
    <t>M41</t>
  </si>
  <si>
    <t xml:space="preserve">بست فلزی </t>
  </si>
  <si>
    <t>مونتاژ شلنگ خنک کندده گیربگس به لوله چهار راهی پمپ آب برقی</t>
  </si>
  <si>
    <t>SX5KCT-1303-2-2</t>
  </si>
  <si>
    <t>T5P-1001-1</t>
  </si>
  <si>
    <t>SX5-2804-5</t>
  </si>
  <si>
    <t>FC060R1</t>
  </si>
  <si>
    <t>SX7H-8101010</t>
  </si>
  <si>
    <t>لوله ورودی رادیاتور(موتور)( روی موتور است)</t>
  </si>
  <si>
    <t>لوله ورودی آب به موتور ( روی موتور است)</t>
  </si>
  <si>
    <t>E007R</t>
  </si>
  <si>
    <t>Q33112T13F38*1.5</t>
  </si>
  <si>
    <t xml:space="preserve">TS021R1 </t>
  </si>
  <si>
    <t>Q32312T13F36</t>
  </si>
  <si>
    <t>Q1861250TF38*1.25</t>
  </si>
  <si>
    <t>SX3DCN-8101-4</t>
  </si>
  <si>
    <t>P86</t>
  </si>
  <si>
    <t>TSE 2145</t>
  </si>
  <si>
    <t>مونتاژ  شلنگ ورودی آّب  راددیاتور بخاری سمت داشبورد.</t>
  </si>
  <si>
    <t>T5PE-1001-1</t>
  </si>
  <si>
    <r>
      <t xml:space="preserve">تخلیه ضد یخ موتور </t>
    </r>
    <r>
      <rPr>
        <sz val="14"/>
        <rFont val="Calibri"/>
        <family val="2"/>
        <scheme val="minor"/>
      </rPr>
      <t>T5 PLU</t>
    </r>
    <r>
      <rPr>
        <sz val="14"/>
        <rFont val="B Nazanin"/>
        <charset val="178"/>
      </rPr>
      <t xml:space="preserve">S </t>
    </r>
  </si>
  <si>
    <t>T5P-1001-2</t>
  </si>
  <si>
    <t>آرایش دسته سیم آلارم صندلی عقب</t>
  </si>
  <si>
    <t xml:space="preserve"> مجموعه کف پوش سه بعدی جلو و عقب</t>
  </si>
  <si>
    <t>پیچ سر شش گوش فلنچی ( رووی موتور است )</t>
  </si>
  <si>
    <t>بعد از
تست جاده</t>
  </si>
  <si>
    <t>قرار دادن مجموعه کف پوش سه بعدی جلو و عقب</t>
  </si>
  <si>
    <t>SX5KCT-1303-1</t>
  </si>
  <si>
    <t>Q1851035TF38</t>
  </si>
  <si>
    <t>T5P-5504-10</t>
  </si>
  <si>
    <t>فعال سازی GSI</t>
  </si>
  <si>
    <t>T5P-5504-11</t>
  </si>
  <si>
    <r>
      <t xml:space="preserve">آپدیت مانیتور </t>
    </r>
    <r>
      <rPr>
        <sz val="14"/>
        <rFont val="Calibri"/>
        <family val="2"/>
        <scheme val="minor"/>
      </rPr>
      <t>T5Plus</t>
    </r>
  </si>
  <si>
    <t>SX7H-1303090</t>
  </si>
  <si>
    <t>Q673C24F62</t>
  </si>
  <si>
    <t>SX5F-5109110S</t>
  </si>
  <si>
    <t>SX5F-5109110S-L01
SX5F-5109010F</t>
  </si>
  <si>
    <t>T5P-5504-12</t>
  </si>
  <si>
    <t>SX3DCN-1300-4-1</t>
  </si>
  <si>
    <t xml:space="preserve">بست جمع کن </t>
  </si>
  <si>
    <t>SX5KCT-1311-0001C1</t>
  </si>
  <si>
    <t xml:space="preserve">اتصال خروجی سیستم تهویه مطبوع سمت موتور </t>
  </si>
  <si>
    <t>SX7H-4016111</t>
  </si>
  <si>
    <t>SX5-6103031</t>
  </si>
  <si>
    <t>.</t>
  </si>
  <si>
    <t>SX5-6103030</t>
  </si>
  <si>
    <t>SX7H-1303310S2</t>
  </si>
  <si>
    <t>بست فشاری(روی خود دستگیره است)</t>
  </si>
  <si>
    <t>کاور روی قاب آینه</t>
  </si>
  <si>
    <t>مجموعه کندانسور</t>
  </si>
  <si>
    <t xml:space="preserve">مهره سر شش گوش فلنجی </t>
  </si>
  <si>
    <t>پیچ کوتاه چهارسو خودکار</t>
  </si>
  <si>
    <t>پیچ بلند چهارسو خودکار</t>
  </si>
  <si>
    <t xml:space="preserve">  نوار آب بند دور درب جلو راست </t>
  </si>
  <si>
    <t>SX5G-8263111
SX5G-8263101A</t>
  </si>
  <si>
    <t>10  گرم</t>
  </si>
  <si>
    <t>BL1202B</t>
  </si>
  <si>
    <t>مهره فلنجی(ساب شده است)</t>
  </si>
  <si>
    <t>براکت لوله آب خنک کننده</t>
  </si>
  <si>
    <t>مهره فلنجی شش ضلعی</t>
  </si>
  <si>
    <t>FS049R1</t>
  </si>
  <si>
    <t>FS046L3</t>
  </si>
  <si>
    <t>SX5F-6900130G-Y2</t>
  </si>
  <si>
    <t>SX5F-7000160C-Y2</t>
  </si>
  <si>
    <t>SX5F-7000330-Y2</t>
  </si>
  <si>
    <t>SX5F-6800130H-Y2</t>
  </si>
  <si>
    <t>SX5F-7000210B-Y2</t>
  </si>
  <si>
    <t>SX5F-7000430-Y2</t>
  </si>
  <si>
    <t>SX5F-5402-1-A</t>
  </si>
  <si>
    <t>M4-3685020</t>
  </si>
  <si>
    <t>SX5G-3685020B
CM5B-3685020</t>
  </si>
  <si>
    <t>GASOLINE A92</t>
  </si>
  <si>
    <t>T</t>
  </si>
  <si>
    <t>SX7H-1303440S1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</si>
</sst>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\-yy;@"/>
    <numFmt numFmtId="165" formatCode="0_);[Red]\(0\)"/>
    <numFmt numFmtId="166" formatCode="[$-F800]dddd\,\ mmmm\ dd\,\ yyyy"/>
    <numFmt numFmtId="167" formatCode="_([$€]* #,##0.000_);_([$€]* \(#,##0.000\);_([$€]* &quot;-&quot;??_);_(@_)"/>
    <numFmt numFmtId="168" formatCode="0.000"/>
    <numFmt numFmtId="169" formatCode="[$-3000401]0"/>
  </numFmts>
  <fonts count="100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Calibri"/>
      <family val="2"/>
      <charset val="134"/>
      <scheme val="minor"/>
    </font>
    <font>
      <sz val="10"/>
      <name val="Helv"/>
      <family val="2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name val="ＭＳ Ｐゴシック"/>
      <family val="2"/>
      <charset val="128"/>
    </font>
    <font>
      <sz val="11"/>
      <color indexed="20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u/>
      <sz val="10.199999999999999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微软雅黑"/>
      <family val="2"/>
      <charset val="134"/>
    </font>
    <font>
      <sz val="10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10"/>
      <color indexed="8"/>
      <name val="Calibri"/>
      <family val="3"/>
      <charset val="134"/>
      <scheme val="minor"/>
    </font>
    <font>
      <sz val="10"/>
      <name val="Calibri"/>
      <family val="2"/>
      <scheme val="minor"/>
    </font>
    <font>
      <sz val="10"/>
      <color rgb="FF000000"/>
      <name val="Calibri"/>
      <family val="3"/>
      <charset val="134"/>
      <scheme val="minor"/>
    </font>
    <font>
      <sz val="10"/>
      <color rgb="FFFF0000"/>
      <name val="Calibri"/>
      <family val="3"/>
      <charset val="134"/>
      <scheme val="minor"/>
    </font>
    <font>
      <sz val="10"/>
      <color theme="1"/>
      <name val="Cambria"/>
      <family val="3"/>
      <charset val="134"/>
      <scheme val="major"/>
    </font>
    <font>
      <sz val="11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sz val="11"/>
      <name val="Calibri"/>
      <family val="3"/>
      <charset val="134"/>
      <scheme val="minor"/>
    </font>
    <font>
      <sz val="10"/>
      <name val="微软雅黑"/>
      <family val="2"/>
      <charset val="134"/>
    </font>
    <font>
      <sz val="11"/>
      <color indexed="8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12"/>
      <name val="B Nazanin"/>
      <charset val="178"/>
    </font>
    <font>
      <b/>
      <sz val="16"/>
      <name val="Calibri"/>
      <family val="2"/>
      <scheme val="minor"/>
    </font>
    <font>
      <b/>
      <sz val="14"/>
      <name val="Calibri"/>
      <family val="2"/>
    </font>
    <font>
      <sz val="14"/>
      <name val="B Nazanin"/>
      <charset val="178"/>
    </font>
    <font>
      <sz val="10"/>
      <name val="B Nazanin"/>
      <charset val="178"/>
    </font>
    <font>
      <sz val="10"/>
      <name val="Arial"/>
      <family val="2"/>
    </font>
    <font>
      <sz val="10"/>
      <name val="Cambria"/>
      <family val="1"/>
      <scheme val="major"/>
    </font>
    <font>
      <b/>
      <sz val="24"/>
      <name val="Cambria"/>
      <family val="1"/>
      <scheme val="major"/>
    </font>
    <font>
      <b/>
      <sz val="12"/>
      <name val="B Nazanin"/>
      <charset val="178"/>
    </font>
    <font>
      <b/>
      <sz val="16"/>
      <name val="Calibri"/>
      <family val="2"/>
    </font>
    <font>
      <b/>
      <sz val="20"/>
      <name val="Cambria"/>
      <family val="1"/>
      <scheme val="major"/>
    </font>
    <font>
      <sz val="11"/>
      <name val="Calibri"/>
      <family val="2"/>
      <scheme val="minor"/>
    </font>
    <font>
      <sz val="9"/>
      <name val="Times New Roman"/>
      <family val="1"/>
    </font>
    <font>
      <sz val="10"/>
      <color indexed="8"/>
      <name val="微软雅黑"/>
      <family val="2"/>
      <charset val="134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sz val="11"/>
      <color indexed="60"/>
      <name val="Calibri"/>
      <family val="2"/>
    </font>
    <font>
      <sz val="12"/>
      <name val="宋体"/>
      <charset val="134"/>
    </font>
    <font>
      <sz val="10"/>
      <name val="Arial"/>
      <family val="2"/>
    </font>
    <font>
      <sz val="11"/>
      <name val="俵俽 俹僑僔僢僋"/>
      <family val="2"/>
      <charset val="128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  <charset val="178"/>
    </font>
    <font>
      <sz val="14"/>
      <name val="Calibri"/>
      <family val="2"/>
      <scheme val="minor"/>
    </font>
    <font>
      <sz val="15"/>
      <name val="B Nazanin"/>
      <charset val="178"/>
    </font>
    <font>
      <sz val="8"/>
      <name val="Calibri"/>
      <family val="2"/>
      <scheme val="minor"/>
    </font>
    <font>
      <sz val="14"/>
      <name val="Calibri "/>
    </font>
    <font>
      <sz val="11"/>
      <color indexed="8"/>
      <name val="宋体"/>
      <charset val="134"/>
    </font>
    <font>
      <b/>
      <sz val="10"/>
      <name val="B Nazanin"/>
      <charset val="178"/>
    </font>
    <font>
      <sz val="12"/>
      <name val="Calibri"/>
      <family val="2"/>
    </font>
    <font>
      <sz val="12.5"/>
      <name val="Calibri"/>
      <family val="2"/>
    </font>
    <font>
      <b/>
      <sz val="12.5"/>
      <name val="B Nazanin"/>
      <charset val="178"/>
    </font>
    <font>
      <sz val="14"/>
      <name val="Calibri"/>
      <family val="2"/>
    </font>
    <font>
      <sz val="13"/>
      <name val="Calibri"/>
      <family val="2"/>
      <scheme val="minor"/>
    </font>
    <font>
      <sz val="11"/>
      <name val="Calibri"/>
      <family val="2"/>
    </font>
    <font>
      <sz val="11"/>
      <color rgb="FF000000"/>
      <name val="B Nazanin"/>
      <charset val="178"/>
    </font>
    <font>
      <sz val="11"/>
      <color rgb="FF000000"/>
      <name val="Calibri"/>
      <family val="2"/>
    </font>
    <font>
      <sz val="20"/>
      <color theme="1"/>
      <name val="B Titr"/>
      <charset val="178"/>
    </font>
    <font>
      <b/>
      <sz val="20"/>
      <color theme="1"/>
      <name val="B Titr"/>
      <charset val="178"/>
    </font>
    <font>
      <sz val="12"/>
      <color rgb="FF000000"/>
      <name val="B Nazanin"/>
      <charset val="178"/>
    </font>
    <font>
      <b/>
      <sz val="14"/>
      <color rgb="FF000000"/>
      <name val="B Nazanin"/>
      <charset val="178"/>
    </font>
    <font>
      <sz val="10"/>
      <color theme="1"/>
      <name val="B Nazanin"/>
      <charset val="178"/>
    </font>
    <font>
      <b/>
      <sz val="12"/>
      <color theme="1"/>
      <name val="Calibri"/>
      <family val="2"/>
      <charset val="178"/>
    </font>
    <font>
      <b/>
      <sz val="12"/>
      <color rgb="FF000000"/>
      <name val="Calibri"/>
      <family val="2"/>
      <charset val="178"/>
    </font>
    <font>
      <b/>
      <sz val="12"/>
      <color rgb="FF000000"/>
      <name val="B Nazanin"/>
      <charset val="178"/>
    </font>
    <font>
      <b/>
      <sz val="14"/>
      <name val="B Nazanin"/>
      <charset val="178"/>
    </font>
    <font>
      <b/>
      <sz val="14"/>
      <name val="Calibri"/>
      <family val="2"/>
      <scheme val="minor"/>
    </font>
    <font>
      <b/>
      <sz val="14"/>
      <name val="Times New Roman"/>
      <family val="1"/>
      <charset val="178"/>
    </font>
    <font>
      <sz val="14"/>
      <name val="Cambria"/>
      <family val="1"/>
      <scheme val="major"/>
    </font>
    <font>
      <sz val="14"/>
      <name val="Arial"/>
      <family val="2"/>
    </font>
    <font>
      <sz val="14"/>
      <name val="Times New Roman"/>
      <family val="1"/>
    </font>
    <font>
      <sz val="14"/>
      <name val="Calibri"/>
      <family val="3"/>
      <charset val="134"/>
      <scheme val="minor"/>
    </font>
    <font>
      <b/>
      <sz val="14"/>
      <name val="Cambria"/>
      <family val="1"/>
      <scheme val="major"/>
    </font>
    <font>
      <b/>
      <sz val="12"/>
      <name val="Calibri"/>
      <family val="2"/>
      <scheme val="minor"/>
    </font>
    <font>
      <sz val="14"/>
      <name val="B Nazanin"/>
      <family val="2"/>
      <charset val="178"/>
    </font>
    <font>
      <sz val="1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406">
    <xf numFmtId="0" fontId="0" fillId="0" borderId="0"/>
    <xf numFmtId="0" fontId="1" fillId="0" borderId="0">
      <alignment vertical="center"/>
    </xf>
    <xf numFmtId="0" fontId="3" fillId="0" borderId="0">
      <alignment vertical="center"/>
    </xf>
    <xf numFmtId="0" fontId="6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0"/>
    <xf numFmtId="0" fontId="3" fillId="0" borderId="0"/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16" borderId="5" applyNumberFormat="0" applyAlignment="0" applyProtection="0">
      <alignment vertical="center"/>
    </xf>
    <xf numFmtId="0" fontId="20" fillId="16" borderId="5" applyNumberFormat="0" applyAlignment="0" applyProtection="0">
      <alignment vertical="center"/>
    </xf>
    <xf numFmtId="0" fontId="21" fillId="17" borderId="6" applyNumberFormat="0" applyAlignment="0" applyProtection="0">
      <alignment vertical="center"/>
    </xf>
    <xf numFmtId="0" fontId="21" fillId="17" borderId="6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16" borderId="8" applyNumberFormat="0" applyAlignment="0" applyProtection="0">
      <alignment vertical="center"/>
    </xf>
    <xf numFmtId="0" fontId="26" fillId="16" borderId="8" applyNumberFormat="0" applyAlignment="0" applyProtection="0">
      <alignment vertical="center"/>
    </xf>
    <xf numFmtId="0" fontId="27" fillId="7" borderId="5" applyNumberFormat="0" applyAlignment="0" applyProtection="0">
      <alignment vertical="center"/>
    </xf>
    <xf numFmtId="0" fontId="27" fillId="7" borderId="5" applyNumberFormat="0" applyAlignment="0" applyProtection="0">
      <alignment vertical="center"/>
    </xf>
    <xf numFmtId="0" fontId="6" fillId="0" borderId="0"/>
    <xf numFmtId="0" fontId="3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166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66" fontId="7" fillId="0" borderId="0">
      <alignment vertical="center"/>
    </xf>
    <xf numFmtId="166" fontId="1" fillId="0" borderId="0">
      <alignment vertical="center"/>
    </xf>
    <xf numFmtId="0" fontId="1" fillId="0" borderId="0">
      <alignment vertical="center"/>
    </xf>
    <xf numFmtId="167" fontId="3" fillId="0" borderId="0"/>
    <xf numFmtId="0" fontId="3" fillId="0" borderId="0">
      <alignment vertical="center"/>
    </xf>
    <xf numFmtId="0" fontId="3" fillId="0" borderId="0"/>
    <xf numFmtId="164" fontId="3" fillId="0" borderId="0"/>
    <xf numFmtId="164" fontId="3" fillId="0" borderId="0">
      <alignment vertical="center"/>
    </xf>
    <xf numFmtId="0" fontId="1" fillId="0" borderId="0"/>
    <xf numFmtId="164" fontId="7" fillId="0" borderId="0">
      <alignment vertical="center"/>
    </xf>
    <xf numFmtId="166" fontId="3" fillId="0" borderId="0"/>
    <xf numFmtId="0" fontId="7" fillId="0" borderId="0">
      <alignment vertical="center"/>
    </xf>
    <xf numFmtId="0" fontId="1" fillId="0" borderId="0">
      <alignment vertical="center"/>
    </xf>
    <xf numFmtId="164" fontId="1" fillId="0" borderId="0">
      <alignment vertical="center"/>
    </xf>
    <xf numFmtId="0" fontId="7" fillId="0" borderId="0">
      <alignment vertical="center"/>
    </xf>
    <xf numFmtId="166" fontId="7" fillId="0" borderId="0">
      <alignment vertical="center"/>
    </xf>
    <xf numFmtId="166" fontId="1" fillId="0" borderId="0">
      <alignment vertical="center"/>
    </xf>
    <xf numFmtId="0" fontId="7" fillId="0" borderId="0">
      <alignment vertical="center"/>
    </xf>
    <xf numFmtId="167" fontId="1" fillId="0" borderId="0">
      <alignment vertical="center"/>
    </xf>
    <xf numFmtId="164" fontId="3" fillId="0" borderId="0"/>
    <xf numFmtId="166" fontId="3" fillId="0" borderId="0"/>
    <xf numFmtId="167" fontId="3" fillId="0" borderId="0"/>
    <xf numFmtId="167" fontId="3" fillId="0" borderId="0">
      <alignment vertical="center"/>
    </xf>
    <xf numFmtId="167" fontId="3" fillId="0" borderId="0">
      <alignment vertical="center"/>
    </xf>
    <xf numFmtId="167" fontId="3" fillId="0" borderId="0"/>
    <xf numFmtId="0" fontId="3" fillId="0" borderId="0"/>
    <xf numFmtId="166" fontId="3" fillId="0" borderId="0"/>
    <xf numFmtId="0" fontId="1" fillId="0" borderId="0">
      <alignment vertical="center"/>
    </xf>
    <xf numFmtId="166" fontId="3" fillId="0" borderId="0"/>
    <xf numFmtId="166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15" fillId="0" borderId="0"/>
    <xf numFmtId="166" fontId="3" fillId="0" borderId="0"/>
    <xf numFmtId="0" fontId="7" fillId="0" borderId="0">
      <alignment vertical="center"/>
    </xf>
    <xf numFmtId="164" fontId="3" fillId="0" borderId="0"/>
    <xf numFmtId="164" fontId="7" fillId="0" borderId="0">
      <alignment vertical="center"/>
    </xf>
    <xf numFmtId="167" fontId="3" fillId="0" borderId="0"/>
    <xf numFmtId="167" fontId="3" fillId="0" borderId="0"/>
    <xf numFmtId="0" fontId="3" fillId="0" borderId="0"/>
    <xf numFmtId="0" fontId="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49" fillId="0" borderId="0"/>
    <xf numFmtId="0" fontId="61" fillId="0" borderId="0"/>
    <xf numFmtId="0" fontId="61" fillId="0" borderId="0"/>
    <xf numFmtId="0" fontId="49" fillId="0" borderId="0"/>
    <xf numFmtId="0" fontId="62" fillId="0" borderId="0"/>
    <xf numFmtId="0" fontId="63" fillId="0" borderId="0"/>
    <xf numFmtId="0" fontId="3" fillId="0" borderId="0"/>
    <xf numFmtId="0" fontId="3" fillId="0" borderId="0"/>
    <xf numFmtId="0" fontId="1" fillId="0" borderId="0">
      <alignment vertical="center"/>
    </xf>
    <xf numFmtId="0" fontId="19" fillId="0" borderId="39" applyNumberFormat="0" applyFill="0" applyAlignment="0" applyProtection="0">
      <alignment vertical="center"/>
    </xf>
    <xf numFmtId="0" fontId="19" fillId="0" borderId="39" applyNumberFormat="0" applyFill="0" applyAlignment="0" applyProtection="0">
      <alignment vertical="center"/>
    </xf>
    <xf numFmtId="0" fontId="20" fillId="16" borderId="40" applyNumberFormat="0" applyAlignment="0" applyProtection="0">
      <alignment vertical="center"/>
    </xf>
    <xf numFmtId="0" fontId="20" fillId="16" borderId="40" applyNumberFormat="0" applyAlignment="0" applyProtection="0">
      <alignment vertical="center"/>
    </xf>
    <xf numFmtId="0" fontId="26" fillId="16" borderId="41" applyNumberFormat="0" applyAlignment="0" applyProtection="0">
      <alignment vertical="center"/>
    </xf>
    <xf numFmtId="0" fontId="26" fillId="16" borderId="41" applyNumberFormat="0" applyAlignment="0" applyProtection="0">
      <alignment vertical="center"/>
    </xf>
    <xf numFmtId="0" fontId="27" fillId="7" borderId="40" applyNumberFormat="0" applyAlignment="0" applyProtection="0">
      <alignment vertical="center"/>
    </xf>
    <xf numFmtId="0" fontId="27" fillId="7" borderId="40" applyNumberFormat="0" applyAlignment="0" applyProtection="0">
      <alignment vertical="center"/>
    </xf>
    <xf numFmtId="0" fontId="3" fillId="23" borderId="42" applyNumberFormat="0" applyFont="0" applyAlignment="0" applyProtection="0">
      <alignment vertical="center"/>
    </xf>
    <xf numFmtId="0" fontId="3" fillId="23" borderId="42" applyNumberFormat="0" applyFont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64" fillId="0" borderId="0"/>
    <xf numFmtId="0" fontId="65" fillId="0" borderId="0"/>
    <xf numFmtId="0" fontId="71" fillId="0" borderId="0">
      <alignment vertical="center"/>
    </xf>
  </cellStyleXfs>
  <cellXfs count="1388">
    <xf numFmtId="0" fontId="0" fillId="0" borderId="0" xfId="0"/>
    <xf numFmtId="0" fontId="29" fillId="0" borderId="10" xfId="1" applyFont="1" applyBorder="1" applyAlignment="1">
      <alignment horizontal="center" vertical="center" wrapText="1"/>
    </xf>
    <xf numFmtId="0" fontId="30" fillId="0" borderId="0" xfId="1" applyFont="1" applyAlignment="1">
      <alignment horizontal="center" vertical="center" wrapText="1"/>
    </xf>
    <xf numFmtId="0" fontId="30" fillId="0" borderId="11" xfId="1" applyFont="1" applyBorder="1" applyAlignment="1">
      <alignment horizontal="center" vertical="center" wrapText="1"/>
    </xf>
    <xf numFmtId="0" fontId="29" fillId="0" borderId="11" xfId="1" applyFont="1" applyBorder="1" applyAlignment="1">
      <alignment horizontal="center" vertical="center" wrapText="1"/>
    </xf>
    <xf numFmtId="0" fontId="4" fillId="0" borderId="11" xfId="62" applyFont="1" applyBorder="1" applyAlignment="1">
      <alignment horizontal="center" vertical="center" wrapText="1" shrinkToFit="1"/>
    </xf>
    <xf numFmtId="49" fontId="35" fillId="0" borderId="11" xfId="0" applyNumberFormat="1" applyFont="1" applyBorder="1" applyAlignment="1">
      <alignment horizontal="center" vertical="center" wrapText="1" shrinkToFit="1"/>
    </xf>
    <xf numFmtId="49" fontId="35" fillId="0" borderId="11" xfId="156" applyNumberFormat="1" applyFont="1" applyBorder="1" applyAlignment="1">
      <alignment horizontal="center" vertical="center" wrapText="1"/>
    </xf>
    <xf numFmtId="49" fontId="35" fillId="0" borderId="11" xfId="0" applyNumberFormat="1" applyFont="1" applyBorder="1" applyAlignment="1">
      <alignment horizontal="center" vertical="center" wrapText="1"/>
    </xf>
    <xf numFmtId="49" fontId="35" fillId="0" borderId="11" xfId="1" applyNumberFormat="1" applyFont="1" applyBorder="1" applyAlignment="1">
      <alignment horizontal="center" vertical="center" wrapText="1"/>
    </xf>
    <xf numFmtId="0" fontId="2" fillId="0" borderId="11" xfId="2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" fillId="0" borderId="11" xfId="201" applyFont="1" applyBorder="1" applyAlignment="1">
      <alignment horizontal="center" vertical="center" wrapText="1"/>
    </xf>
    <xf numFmtId="0" fontId="29" fillId="0" borderId="11" xfId="335" applyFont="1" applyBorder="1" applyAlignment="1">
      <alignment horizontal="center" vertical="center" wrapText="1"/>
    </xf>
    <xf numFmtId="49" fontId="36" fillId="0" borderId="11" xfId="336" applyNumberFormat="1" applyFont="1" applyBorder="1" applyAlignment="1">
      <alignment horizontal="center" vertical="center" wrapText="1" shrinkToFit="1"/>
    </xf>
    <xf numFmtId="0" fontId="4" fillId="0" borderId="11" xfId="2" applyFont="1" applyBorder="1" applyAlignment="1">
      <alignment horizontal="center" vertical="center" wrapText="1"/>
    </xf>
    <xf numFmtId="0" fontId="37" fillId="0" borderId="11" xfId="122" applyFont="1" applyBorder="1" applyAlignment="1">
      <alignment horizontal="center" vertical="center" wrapText="1"/>
    </xf>
    <xf numFmtId="0" fontId="29" fillId="0" borderId="11" xfId="122" applyFont="1" applyBorder="1" applyAlignment="1">
      <alignment horizontal="center" vertical="center" shrinkToFit="1"/>
    </xf>
    <xf numFmtId="0" fontId="29" fillId="0" borderId="10" xfId="163" applyFont="1" applyBorder="1" applyAlignment="1">
      <alignment horizontal="center" vertical="center" wrapText="1"/>
    </xf>
    <xf numFmtId="49" fontId="38" fillId="0" borderId="11" xfId="370" applyNumberFormat="1" applyFont="1" applyBorder="1" applyAlignment="1">
      <alignment horizontal="center" vertical="center" wrapText="1" shrinkToFit="1"/>
    </xf>
    <xf numFmtId="0" fontId="1" fillId="0" borderId="11" xfId="1" applyBorder="1" applyAlignment="1">
      <alignment horizontal="center" vertical="center"/>
    </xf>
    <xf numFmtId="49" fontId="38" fillId="0" borderId="11" xfId="351" applyNumberFormat="1" applyFont="1" applyBorder="1" applyAlignment="1">
      <alignment horizontal="center" vertical="center" wrapText="1"/>
    </xf>
    <xf numFmtId="49" fontId="38" fillId="0" borderId="11" xfId="2" applyNumberFormat="1" applyFont="1" applyBorder="1" applyAlignment="1">
      <alignment horizontal="center" vertical="center" wrapText="1"/>
    </xf>
    <xf numFmtId="49" fontId="38" fillId="0" borderId="11" xfId="371" applyNumberFormat="1" applyFont="1" applyBorder="1" applyAlignment="1">
      <alignment horizontal="center" vertical="center" wrapText="1" shrinkToFit="1"/>
    </xf>
    <xf numFmtId="49" fontId="38" fillId="0" borderId="11" xfId="184" applyNumberFormat="1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 wrapText="1"/>
    </xf>
    <xf numFmtId="0" fontId="30" fillId="0" borderId="11" xfId="1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 shrinkToFit="1"/>
    </xf>
    <xf numFmtId="165" fontId="29" fillId="0" borderId="11" xfId="0" applyNumberFormat="1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29" fillId="0" borderId="11" xfId="364" applyFont="1" applyBorder="1" applyAlignment="1">
      <alignment horizontal="center" vertical="center" wrapText="1"/>
    </xf>
    <xf numFmtId="0" fontId="29" fillId="0" borderId="11" xfId="185" applyFont="1" applyBorder="1" applyAlignment="1">
      <alignment horizontal="center" vertical="center" wrapText="1"/>
    </xf>
    <xf numFmtId="0" fontId="29" fillId="0" borderId="11" xfId="122" applyFont="1" applyBorder="1" applyAlignment="1">
      <alignment horizontal="center" vertical="center" wrapText="1" shrinkToFit="1"/>
    </xf>
    <xf numFmtId="0" fontId="29" fillId="0" borderId="11" xfId="122" applyFont="1" applyBorder="1" applyAlignment="1">
      <alignment horizontal="center" vertical="center" wrapText="1"/>
    </xf>
    <xf numFmtId="0" fontId="29" fillId="0" borderId="11" xfId="341" applyFont="1" applyBorder="1" applyAlignment="1">
      <alignment horizontal="center" vertical="center" wrapText="1"/>
    </xf>
    <xf numFmtId="0" fontId="29" fillId="0" borderId="11" xfId="185" applyFont="1" applyBorder="1" applyAlignment="1">
      <alignment horizontal="center" vertical="center" wrapText="1" shrinkToFit="1"/>
    </xf>
    <xf numFmtId="0" fontId="30" fillId="0" borderId="11" xfId="0" applyFont="1" applyBorder="1" applyAlignment="1">
      <alignment horizontal="center" wrapText="1"/>
    </xf>
    <xf numFmtId="166" fontId="30" fillId="0" borderId="11" xfId="330" applyFont="1" applyBorder="1" applyAlignment="1">
      <alignment horizontal="center" vertical="center" wrapText="1"/>
    </xf>
    <xf numFmtId="0" fontId="30" fillId="0" borderId="11" xfId="122" applyFont="1" applyBorder="1" applyAlignment="1">
      <alignment horizontal="center" vertical="center" wrapText="1"/>
    </xf>
    <xf numFmtId="49" fontId="30" fillId="0" borderId="11" xfId="330" applyNumberFormat="1" applyFont="1" applyBorder="1" applyAlignment="1">
      <alignment horizontal="center" vertical="center" wrapText="1"/>
    </xf>
    <xf numFmtId="49" fontId="31" fillId="0" borderId="11" xfId="0" applyNumberFormat="1" applyFont="1" applyBorder="1" applyAlignment="1">
      <alignment horizontal="center" vertical="center" wrapText="1"/>
    </xf>
    <xf numFmtId="49" fontId="29" fillId="0" borderId="11" xfId="0" applyNumberFormat="1" applyFont="1" applyBorder="1" applyAlignment="1">
      <alignment horizontal="center" vertical="center" wrapText="1"/>
    </xf>
    <xf numFmtId="0" fontId="29" fillId="0" borderId="11" xfId="331" applyFont="1" applyBorder="1" applyAlignment="1">
      <alignment horizontal="center" vertical="center" wrapText="1"/>
    </xf>
    <xf numFmtId="0" fontId="31" fillId="0" borderId="11" xfId="332" applyFont="1" applyBorder="1" applyAlignment="1" applyProtection="1">
      <alignment horizontal="center" vertical="center" wrapText="1" shrinkToFit="1"/>
      <protection locked="0"/>
    </xf>
    <xf numFmtId="49" fontId="30" fillId="0" borderId="11" xfId="352" applyNumberFormat="1" applyFont="1" applyBorder="1" applyAlignment="1">
      <alignment horizontal="center" vertical="center" wrapText="1"/>
    </xf>
    <xf numFmtId="0" fontId="30" fillId="0" borderId="11" xfId="330" applyNumberFormat="1" applyFont="1" applyBorder="1" applyAlignment="1">
      <alignment horizontal="center" vertical="center" wrapText="1"/>
    </xf>
    <xf numFmtId="49" fontId="30" fillId="0" borderId="11" xfId="180" applyNumberFormat="1" applyFont="1" applyBorder="1" applyAlignment="1">
      <alignment horizontal="center" vertical="center" wrapText="1" shrinkToFit="1"/>
    </xf>
    <xf numFmtId="49" fontId="30" fillId="0" borderId="11" xfId="352" applyNumberFormat="1" applyFont="1" applyBorder="1" applyAlignment="1">
      <alignment horizontal="center" vertical="center" wrapText="1" shrinkToFit="1"/>
    </xf>
    <xf numFmtId="0" fontId="31" fillId="0" borderId="11" xfId="122" applyFont="1" applyBorder="1" applyAlignment="1">
      <alignment horizontal="center" vertical="center" wrapText="1"/>
    </xf>
    <xf numFmtId="0" fontId="29" fillId="0" borderId="11" xfId="333" applyNumberFormat="1" applyFont="1" applyBorder="1" applyAlignment="1">
      <alignment horizontal="center" vertical="center" wrapText="1" shrinkToFit="1"/>
    </xf>
    <xf numFmtId="0" fontId="30" fillId="0" borderId="11" xfId="334" applyNumberFormat="1" applyFont="1" applyBorder="1" applyAlignment="1">
      <alignment horizontal="center" vertical="center" wrapText="1"/>
    </xf>
    <xf numFmtId="0" fontId="31" fillId="0" borderId="11" xfId="334" applyNumberFormat="1" applyFont="1" applyBorder="1" applyAlignment="1">
      <alignment horizontal="center" vertical="center" wrapText="1"/>
    </xf>
    <xf numFmtId="0" fontId="30" fillId="0" borderId="11" xfId="2" applyFont="1" applyBorder="1" applyAlignment="1">
      <alignment horizontal="center" vertical="center" wrapText="1"/>
    </xf>
    <xf numFmtId="0" fontId="31" fillId="0" borderId="11" xfId="122" applyFont="1" applyBorder="1" applyAlignment="1">
      <alignment horizontal="center" vertical="center"/>
    </xf>
    <xf numFmtId="0" fontId="29" fillId="0" borderId="11" xfId="358" applyFont="1" applyBorder="1" applyAlignment="1">
      <alignment horizontal="center" vertical="center" wrapText="1" shrinkToFit="1"/>
    </xf>
    <xf numFmtId="49" fontId="31" fillId="0" borderId="11" xfId="122" applyNumberFormat="1" applyFont="1" applyBorder="1" applyAlignment="1">
      <alignment horizontal="center" vertical="center" wrapText="1"/>
    </xf>
    <xf numFmtId="0" fontId="31" fillId="0" borderId="11" xfId="341" applyFont="1" applyBorder="1" applyAlignment="1">
      <alignment horizontal="center" vertical="center" wrapText="1" shrinkToFit="1"/>
    </xf>
    <xf numFmtId="0" fontId="29" fillId="0" borderId="11" xfId="361" applyNumberFormat="1" applyFont="1" applyBorder="1" applyAlignment="1">
      <alignment horizontal="center" vertical="center" wrapText="1" shrinkToFit="1"/>
    </xf>
    <xf numFmtId="0" fontId="29" fillId="0" borderId="11" xfId="0" applyFont="1" applyBorder="1" applyAlignment="1">
      <alignment horizontal="center" vertical="center"/>
    </xf>
    <xf numFmtId="0" fontId="31" fillId="0" borderId="11" xfId="367" applyFont="1" applyBorder="1" applyAlignment="1">
      <alignment horizontal="center" vertical="center" wrapText="1"/>
    </xf>
    <xf numFmtId="49" fontId="30" fillId="0" borderId="11" xfId="336" applyNumberFormat="1" applyFont="1" applyBorder="1" applyAlignment="1">
      <alignment horizontal="center" vertical="center" wrapText="1"/>
    </xf>
    <xf numFmtId="0" fontId="29" fillId="0" borderId="11" xfId="180" applyFont="1" applyBorder="1" applyAlignment="1">
      <alignment horizontal="center" vertical="center" wrapText="1"/>
    </xf>
    <xf numFmtId="49" fontId="30" fillId="0" borderId="11" xfId="336" applyNumberFormat="1" applyFont="1" applyBorder="1" applyAlignment="1">
      <alignment horizontal="center" vertical="center" wrapText="1" shrinkToFit="1"/>
    </xf>
    <xf numFmtId="0" fontId="30" fillId="0" borderId="11" xfId="180" applyFont="1" applyBorder="1" applyAlignment="1">
      <alignment horizontal="center" vertical="center" wrapText="1"/>
    </xf>
    <xf numFmtId="0" fontId="30" fillId="0" borderId="11" xfId="335" applyFont="1" applyBorder="1" applyAlignment="1">
      <alignment horizontal="center" vertical="center" wrapText="1"/>
    </xf>
    <xf numFmtId="0" fontId="30" fillId="0" borderId="11" xfId="180" applyFont="1" applyBorder="1" applyAlignment="1">
      <alignment horizontal="center" vertical="center" wrapText="1" shrinkToFit="1"/>
    </xf>
    <xf numFmtId="165" fontId="30" fillId="0" borderId="11" xfId="180" applyNumberFormat="1" applyFont="1" applyBorder="1" applyAlignment="1">
      <alignment horizontal="center" vertical="center" wrapText="1"/>
    </xf>
    <xf numFmtId="0" fontId="30" fillId="0" borderId="11" xfId="341" applyFont="1" applyBorder="1" applyAlignment="1">
      <alignment horizontal="center" vertical="center" wrapText="1"/>
    </xf>
    <xf numFmtId="0" fontId="29" fillId="0" borderId="11" xfId="341" applyFont="1" applyBorder="1" applyAlignment="1">
      <alignment horizontal="center" vertical="center" wrapText="1" shrinkToFit="1"/>
    </xf>
    <xf numFmtId="165" fontId="29" fillId="0" borderId="11" xfId="341" applyNumberFormat="1" applyFont="1" applyBorder="1" applyAlignment="1">
      <alignment horizontal="center" vertical="center" wrapText="1"/>
    </xf>
    <xf numFmtId="0" fontId="30" fillId="0" borderId="11" xfId="330" applyNumberFormat="1" applyFont="1" applyBorder="1" applyAlignment="1">
      <alignment horizontal="center" vertical="center"/>
    </xf>
    <xf numFmtId="49" fontId="29" fillId="0" borderId="11" xfId="331" applyNumberFormat="1" applyFont="1" applyBorder="1" applyAlignment="1">
      <alignment horizontal="center" vertical="center" wrapText="1"/>
    </xf>
    <xf numFmtId="0" fontId="29" fillId="0" borderId="11" xfId="330" applyNumberFormat="1" applyFont="1" applyBorder="1" applyAlignment="1">
      <alignment horizontal="center" vertical="center" wrapText="1"/>
    </xf>
    <xf numFmtId="49" fontId="29" fillId="0" borderId="11" xfId="344" applyNumberFormat="1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 shrinkToFit="1"/>
    </xf>
    <xf numFmtId="0" fontId="30" fillId="0" borderId="11" xfId="331" applyFont="1" applyBorder="1" applyAlignment="1">
      <alignment horizontal="center" vertical="center" wrapText="1"/>
    </xf>
    <xf numFmtId="49" fontId="30" fillId="0" borderId="11" xfId="0" applyNumberFormat="1" applyFont="1" applyBorder="1" applyAlignment="1">
      <alignment horizontal="center" vertical="center" wrapText="1"/>
    </xf>
    <xf numFmtId="0" fontId="34" fillId="0" borderId="11" xfId="331" applyFont="1" applyBorder="1" applyAlignment="1">
      <alignment horizontal="center" vertical="center" wrapText="1"/>
    </xf>
    <xf numFmtId="0" fontId="31" fillId="0" borderId="11" xfId="331" applyFont="1" applyBorder="1" applyAlignment="1">
      <alignment horizontal="center" vertical="center" wrapText="1"/>
    </xf>
    <xf numFmtId="0" fontId="29" fillId="0" borderId="11" xfId="337" applyFont="1" applyBorder="1" applyAlignment="1">
      <alignment horizontal="center" vertical="center" wrapText="1"/>
    </xf>
    <xf numFmtId="49" fontId="30" fillId="0" borderId="11" xfId="338" applyNumberFormat="1" applyFont="1" applyBorder="1" applyAlignment="1">
      <alignment horizontal="center" vertical="center" wrapText="1"/>
    </xf>
    <xf numFmtId="49" fontId="30" fillId="0" borderId="11" xfId="185" applyNumberFormat="1" applyFont="1" applyBorder="1" applyAlignment="1">
      <alignment horizontal="center" vertical="center" wrapText="1"/>
    </xf>
    <xf numFmtId="0" fontId="29" fillId="0" borderId="11" xfId="339" applyNumberFormat="1" applyFont="1" applyBorder="1" applyAlignment="1">
      <alignment horizontal="center" vertical="center" wrapText="1" shrinkToFit="1"/>
    </xf>
    <xf numFmtId="0" fontId="29" fillId="0" borderId="11" xfId="340" applyNumberFormat="1" applyFont="1" applyBorder="1" applyAlignment="1">
      <alignment horizontal="center" vertical="center" wrapText="1" shrinkToFit="1"/>
    </xf>
    <xf numFmtId="49" fontId="30" fillId="0" borderId="11" xfId="0" applyNumberFormat="1" applyFont="1" applyBorder="1" applyAlignment="1">
      <alignment horizontal="center" wrapText="1"/>
    </xf>
    <xf numFmtId="0" fontId="29" fillId="0" borderId="11" xfId="342" applyNumberFormat="1" applyFont="1" applyBorder="1" applyAlignment="1">
      <alignment horizontal="center" vertical="center" wrapText="1" shrinkToFit="1"/>
    </xf>
    <xf numFmtId="0" fontId="29" fillId="0" borderId="11" xfId="334" applyNumberFormat="1" applyFont="1" applyBorder="1" applyAlignment="1">
      <alignment horizontal="center" vertical="center" wrapText="1"/>
    </xf>
    <xf numFmtId="0" fontId="33" fillId="0" borderId="11" xfId="185" applyFont="1" applyBorder="1" applyAlignment="1">
      <alignment horizontal="center" vertical="center" wrapText="1"/>
    </xf>
    <xf numFmtId="0" fontId="29" fillId="0" borderId="11" xfId="344" applyFont="1" applyBorder="1" applyAlignment="1">
      <alignment horizontal="center" vertical="center" wrapText="1"/>
    </xf>
    <xf numFmtId="49" fontId="30" fillId="0" borderId="11" xfId="0" applyNumberFormat="1" applyFont="1" applyBorder="1" applyAlignment="1">
      <alignment horizontal="center" vertical="center" wrapText="1" shrinkToFit="1"/>
    </xf>
    <xf numFmtId="0" fontId="29" fillId="0" borderId="11" xfId="345" applyFont="1" applyBorder="1" applyAlignment="1">
      <alignment horizontal="center" vertical="center" wrapText="1"/>
    </xf>
    <xf numFmtId="0" fontId="29" fillId="0" borderId="11" xfId="346" applyNumberFormat="1" applyFont="1" applyBorder="1" applyAlignment="1">
      <alignment horizontal="center" vertical="center" wrapText="1" shrinkToFit="1"/>
    </xf>
    <xf numFmtId="0" fontId="31" fillId="0" borderId="11" xfId="180" applyFont="1" applyBorder="1" applyAlignment="1">
      <alignment horizontal="center" vertical="center" wrapText="1"/>
    </xf>
    <xf numFmtId="0" fontId="29" fillId="0" borderId="11" xfId="180" applyFont="1" applyBorder="1" applyAlignment="1">
      <alignment horizontal="center" vertical="center" wrapText="1" shrinkToFit="1"/>
    </xf>
    <xf numFmtId="165" fontId="30" fillId="0" borderId="11" xfId="0" applyNumberFormat="1" applyFont="1" applyBorder="1" applyAlignment="1">
      <alignment horizontal="center" vertical="center" wrapText="1"/>
    </xf>
    <xf numFmtId="0" fontId="33" fillId="0" borderId="11" xfId="341" applyFont="1" applyBorder="1" applyAlignment="1">
      <alignment horizontal="center" vertical="center" wrapText="1"/>
    </xf>
    <xf numFmtId="165" fontId="34" fillId="0" borderId="11" xfId="348" applyNumberFormat="1" applyFont="1" applyBorder="1" applyAlignment="1">
      <alignment horizontal="center" vertical="center" wrapText="1" shrinkToFit="1"/>
    </xf>
    <xf numFmtId="49" fontId="30" fillId="0" borderId="11" xfId="338" applyNumberFormat="1" applyFont="1" applyBorder="1" applyAlignment="1">
      <alignment horizontal="center" vertical="center" wrapText="1" shrinkToFit="1"/>
    </xf>
    <xf numFmtId="49" fontId="30" fillId="0" borderId="11" xfId="335" applyNumberFormat="1" applyFont="1" applyBorder="1" applyAlignment="1">
      <alignment horizontal="center" vertical="center" wrapText="1"/>
    </xf>
    <xf numFmtId="0" fontId="29" fillId="0" borderId="11" xfId="349" applyNumberFormat="1" applyFont="1" applyBorder="1" applyAlignment="1">
      <alignment horizontal="center" vertical="center" wrapText="1"/>
    </xf>
    <xf numFmtId="0" fontId="30" fillId="0" borderId="11" xfId="350" applyFont="1" applyBorder="1" applyAlignment="1">
      <alignment horizontal="center" vertical="center" wrapText="1"/>
    </xf>
    <xf numFmtId="0" fontId="30" fillId="0" borderId="11" xfId="339" applyNumberFormat="1" applyFont="1" applyBorder="1" applyAlignment="1">
      <alignment horizontal="center" vertical="center" wrapText="1" shrinkToFit="1"/>
    </xf>
    <xf numFmtId="49" fontId="29" fillId="0" borderId="11" xfId="351" applyNumberFormat="1" applyFont="1" applyBorder="1" applyAlignment="1">
      <alignment horizontal="center" vertical="center" wrapText="1"/>
    </xf>
    <xf numFmtId="0" fontId="29" fillId="0" borderId="11" xfId="336" applyNumberFormat="1" applyFont="1" applyBorder="1" applyAlignment="1">
      <alignment horizontal="center" vertical="center" wrapText="1" shrinkToFit="1"/>
    </xf>
    <xf numFmtId="165" fontId="29" fillId="0" borderId="11" xfId="341" applyNumberFormat="1" applyFont="1" applyBorder="1" applyAlignment="1">
      <alignment horizontal="center" vertical="center" wrapText="1" shrinkToFit="1"/>
    </xf>
    <xf numFmtId="0" fontId="31" fillId="0" borderId="11" xfId="0" applyFont="1" applyBorder="1" applyAlignment="1">
      <alignment horizontal="center" vertical="center" wrapText="1" shrinkToFit="1"/>
    </xf>
    <xf numFmtId="0" fontId="29" fillId="0" borderId="11" xfId="2" applyFont="1" applyBorder="1" applyAlignment="1">
      <alignment horizontal="center" vertical="center" wrapText="1"/>
    </xf>
    <xf numFmtId="0" fontId="29" fillId="0" borderId="11" xfId="353" applyNumberFormat="1" applyFont="1" applyBorder="1" applyAlignment="1">
      <alignment horizontal="center" vertical="center" wrapText="1" shrinkToFit="1"/>
    </xf>
    <xf numFmtId="49" fontId="30" fillId="0" borderId="11" xfId="354" applyNumberFormat="1" applyFont="1" applyBorder="1" applyAlignment="1">
      <alignment horizontal="center" vertical="center" wrapText="1"/>
    </xf>
    <xf numFmtId="49" fontId="30" fillId="0" borderId="11" xfId="355" applyNumberFormat="1" applyFont="1" applyBorder="1" applyAlignment="1">
      <alignment horizontal="center" vertical="center" wrapText="1"/>
    </xf>
    <xf numFmtId="49" fontId="30" fillId="0" borderId="11" xfId="356" applyNumberFormat="1" applyFont="1" applyBorder="1" applyAlignment="1">
      <alignment horizontal="center" vertical="center" wrapText="1"/>
    </xf>
    <xf numFmtId="49" fontId="30" fillId="0" borderId="11" xfId="357" applyNumberFormat="1" applyFont="1" applyBorder="1" applyAlignment="1">
      <alignment horizontal="center" vertical="center" wrapText="1" shrinkToFit="1"/>
    </xf>
    <xf numFmtId="49" fontId="30" fillId="0" borderId="11" xfId="339" applyNumberFormat="1" applyFont="1" applyBorder="1" applyAlignment="1">
      <alignment horizontal="center" vertical="center" wrapText="1" shrinkToFit="1"/>
    </xf>
    <xf numFmtId="0" fontId="29" fillId="0" borderId="11" xfId="359" applyNumberFormat="1" applyFont="1" applyBorder="1" applyAlignment="1">
      <alignment horizontal="center" vertical="center" wrapText="1" shrinkToFit="1"/>
    </xf>
    <xf numFmtId="0" fontId="29" fillId="0" borderId="11" xfId="245" applyFont="1" applyBorder="1" applyAlignment="1">
      <alignment horizontal="center" vertical="center" wrapText="1" shrinkToFit="1"/>
    </xf>
    <xf numFmtId="0" fontId="31" fillId="0" borderId="11" xfId="363" applyFont="1" applyBorder="1" applyAlignment="1">
      <alignment horizontal="center" vertical="center" wrapText="1"/>
    </xf>
    <xf numFmtId="0" fontId="29" fillId="0" borderId="11" xfId="360" applyFont="1" applyBorder="1" applyAlignment="1">
      <alignment horizontal="center" vertical="center" wrapText="1"/>
    </xf>
    <xf numFmtId="0" fontId="29" fillId="0" borderId="11" xfId="362" applyNumberFormat="1" applyFont="1" applyBorder="1" applyAlignment="1">
      <alignment horizontal="center" vertical="center" wrapText="1"/>
    </xf>
    <xf numFmtId="49" fontId="30" fillId="0" borderId="11" xfId="184" applyNumberFormat="1" applyFont="1" applyBorder="1" applyAlignment="1">
      <alignment horizontal="center" vertical="center" wrapText="1"/>
    </xf>
    <xf numFmtId="0" fontId="30" fillId="0" borderId="11" xfId="336" applyNumberFormat="1" applyFont="1" applyBorder="1" applyAlignment="1">
      <alignment horizontal="center" vertical="center" wrapText="1"/>
    </xf>
    <xf numFmtId="0" fontId="30" fillId="0" borderId="11" xfId="341" applyFont="1" applyBorder="1" applyAlignment="1">
      <alignment horizontal="center" vertical="center" wrapText="1" shrinkToFit="1"/>
    </xf>
    <xf numFmtId="49" fontId="30" fillId="0" borderId="11" xfId="180" applyNumberFormat="1" applyFont="1" applyBorder="1" applyAlignment="1">
      <alignment horizontal="center" vertical="center" wrapText="1"/>
    </xf>
    <xf numFmtId="49" fontId="30" fillId="0" borderId="11" xfId="180" applyNumberFormat="1" applyFont="1" applyBorder="1" applyAlignment="1" applyProtection="1">
      <alignment horizontal="center" vertical="center" wrapText="1" shrinkToFit="1"/>
      <protection locked="0"/>
    </xf>
    <xf numFmtId="0" fontId="30" fillId="0" borderId="11" xfId="335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29" fillId="0" borderId="11" xfId="366" applyNumberFormat="1" applyFont="1" applyBorder="1" applyAlignment="1">
      <alignment horizontal="center" vertical="center" wrapText="1" shrinkToFit="1"/>
    </xf>
    <xf numFmtId="0" fontId="31" fillId="0" borderId="11" xfId="332" applyFont="1" applyBorder="1" applyAlignment="1" applyProtection="1">
      <alignment horizontal="center" vertical="center" wrapText="1"/>
      <protection locked="0"/>
    </xf>
    <xf numFmtId="49" fontId="30" fillId="0" borderId="11" xfId="157" applyNumberFormat="1" applyFont="1" applyBorder="1" applyAlignment="1">
      <alignment horizontal="center" vertical="center" wrapText="1"/>
    </xf>
    <xf numFmtId="49" fontId="30" fillId="0" borderId="11" xfId="341" applyNumberFormat="1" applyFont="1" applyBorder="1" applyAlignment="1">
      <alignment horizontal="center" vertical="center" wrapText="1"/>
    </xf>
    <xf numFmtId="49" fontId="30" fillId="0" borderId="11" xfId="359" applyNumberFormat="1" applyFont="1" applyBorder="1" applyAlignment="1">
      <alignment horizontal="center" vertical="center" wrapText="1" shrinkToFit="1"/>
    </xf>
    <xf numFmtId="49" fontId="30" fillId="0" borderId="11" xfId="1" applyNumberFormat="1" applyFont="1" applyBorder="1" applyAlignment="1">
      <alignment horizontal="center" vertical="center" wrapText="1"/>
    </xf>
    <xf numFmtId="49" fontId="30" fillId="0" borderId="11" xfId="365" applyNumberFormat="1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 wrapText="1"/>
    </xf>
    <xf numFmtId="0" fontId="40" fillId="0" borderId="11" xfId="122" applyFont="1" applyBorder="1" applyAlignment="1">
      <alignment horizontal="center" vertical="center" wrapText="1"/>
    </xf>
    <xf numFmtId="0" fontId="29" fillId="0" borderId="11" xfId="362" applyNumberFormat="1" applyFont="1" applyBorder="1" applyAlignment="1">
      <alignment horizontal="center" vertical="center" wrapText="1" shrinkToFit="1"/>
    </xf>
    <xf numFmtId="0" fontId="1" fillId="0" borderId="11" xfId="122" applyFont="1" applyBorder="1" applyAlignment="1">
      <alignment horizontal="center" vertical="center"/>
    </xf>
    <xf numFmtId="0" fontId="30" fillId="0" borderId="11" xfId="331" applyFont="1" applyBorder="1" applyAlignment="1">
      <alignment horizontal="center" vertical="center"/>
    </xf>
    <xf numFmtId="0" fontId="29" fillId="0" borderId="11" xfId="93" applyFont="1" applyBorder="1" applyAlignment="1">
      <alignment horizontal="center" vertical="center" wrapText="1" shrinkToFit="1"/>
    </xf>
    <xf numFmtId="49" fontId="30" fillId="0" borderId="11" xfId="156" applyNumberFormat="1" applyFont="1" applyBorder="1" applyAlignment="1">
      <alignment horizontal="center" vertical="center" wrapText="1"/>
    </xf>
    <xf numFmtId="0" fontId="30" fillId="0" borderId="11" xfId="122" applyFont="1" applyBorder="1" applyAlignment="1">
      <alignment horizontal="center" vertical="center"/>
    </xf>
    <xf numFmtId="0" fontId="37" fillId="0" borderId="11" xfId="344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 shrinkToFit="1"/>
    </xf>
    <xf numFmtId="165" fontId="37" fillId="0" borderId="11" xfId="0" applyNumberFormat="1" applyFont="1" applyBorder="1" applyAlignment="1">
      <alignment horizontal="center" vertical="center" wrapText="1"/>
    </xf>
    <xf numFmtId="49" fontId="35" fillId="0" borderId="11" xfId="343" applyNumberFormat="1" applyFont="1" applyBorder="1" applyAlignment="1">
      <alignment horizontal="center" vertical="center" wrapText="1"/>
    </xf>
    <xf numFmtId="0" fontId="35" fillId="0" borderId="11" xfId="330" applyNumberFormat="1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/>
    </xf>
    <xf numFmtId="49" fontId="1" fillId="0" borderId="11" xfId="352" applyNumberFormat="1" applyFont="1" applyBorder="1" applyAlignment="1">
      <alignment horizontal="center" vertical="center" wrapText="1"/>
    </xf>
    <xf numFmtId="0" fontId="41" fillId="0" borderId="11" xfId="0" applyFont="1" applyBorder="1" applyAlignment="1">
      <alignment horizontal="center" vertical="center" wrapText="1"/>
    </xf>
    <xf numFmtId="0" fontId="41" fillId="0" borderId="11" xfId="122" applyFont="1" applyBorder="1" applyAlignment="1">
      <alignment horizontal="center" vertical="center" wrapText="1"/>
    </xf>
    <xf numFmtId="0" fontId="1" fillId="0" borderId="11" xfId="33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 wrapText="1" shrinkToFit="1"/>
    </xf>
    <xf numFmtId="0" fontId="1" fillId="0" borderId="11" xfId="337" applyFont="1" applyBorder="1" applyAlignment="1">
      <alignment horizontal="center" vertical="center" wrapText="1"/>
    </xf>
    <xf numFmtId="0" fontId="40" fillId="0" borderId="11" xfId="205" applyFont="1" applyBorder="1" applyAlignment="1">
      <alignment horizontal="center" vertical="center" wrapText="1"/>
    </xf>
    <xf numFmtId="165" fontId="40" fillId="0" borderId="11" xfId="205" applyNumberFormat="1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 shrinkToFit="1"/>
    </xf>
    <xf numFmtId="0" fontId="42" fillId="0" borderId="11" xfId="0" applyFont="1" applyBorder="1" applyAlignment="1">
      <alignment horizontal="center" vertical="center"/>
    </xf>
    <xf numFmtId="0" fontId="41" fillId="0" borderId="11" xfId="367" applyFont="1" applyBorder="1" applyAlignment="1">
      <alignment horizontal="center" vertical="center" wrapText="1"/>
    </xf>
    <xf numFmtId="0" fontId="40" fillId="0" borderId="11" xfId="331" applyFont="1" applyBorder="1" applyAlignment="1">
      <alignment horizontal="center" vertical="center" wrapText="1"/>
    </xf>
    <xf numFmtId="0" fontId="1" fillId="0" borderId="11" xfId="335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37" fillId="0" borderId="11" xfId="339" applyNumberFormat="1" applyFont="1" applyBorder="1" applyAlignment="1">
      <alignment horizontal="center" vertical="center" wrapText="1" shrinkToFit="1"/>
    </xf>
    <xf numFmtId="0" fontId="31" fillId="0" borderId="11" xfId="344" applyFont="1" applyBorder="1" applyAlignment="1">
      <alignment horizontal="center" vertical="center"/>
    </xf>
    <xf numFmtId="49" fontId="2" fillId="0" borderId="11" xfId="351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12" xfId="1" applyFont="1" applyBorder="1" applyAlignment="1">
      <alignment horizontal="center" vertical="center" wrapText="1"/>
    </xf>
    <xf numFmtId="0" fontId="29" fillId="0" borderId="13" xfId="1" applyFont="1" applyBorder="1" applyAlignment="1">
      <alignment horizontal="center" vertical="center" wrapText="1"/>
    </xf>
    <xf numFmtId="0" fontId="1" fillId="0" borderId="12" xfId="330" applyNumberFormat="1" applyBorder="1" applyAlignment="1">
      <alignment horizontal="center" vertical="center"/>
    </xf>
    <xf numFmtId="0" fontId="1" fillId="0" borderId="13" xfId="330" applyNumberFormat="1" applyBorder="1" applyAlignment="1">
      <alignment horizontal="center" vertical="center"/>
    </xf>
    <xf numFmtId="0" fontId="30" fillId="0" borderId="14" xfId="1" applyFont="1" applyBorder="1" applyAlignment="1">
      <alignment horizontal="center" vertical="center" wrapText="1"/>
    </xf>
    <xf numFmtId="0" fontId="29" fillId="0" borderId="11" xfId="2" applyFont="1" applyBorder="1" applyAlignment="1">
      <alignment horizontal="center" vertical="center" wrapText="1" shrinkToFit="1"/>
    </xf>
    <xf numFmtId="0" fontId="1" fillId="0" borderId="11" xfId="330" applyNumberFormat="1" applyBorder="1" applyAlignment="1">
      <alignment horizontal="center" vertical="center" wrapText="1"/>
    </xf>
    <xf numFmtId="49" fontId="38" fillId="0" borderId="10" xfId="0" applyNumberFormat="1" applyFont="1" applyBorder="1" applyAlignment="1">
      <alignment horizontal="center" vertical="center" wrapText="1"/>
    </xf>
    <xf numFmtId="49" fontId="38" fillId="0" borderId="11" xfId="0" applyNumberFormat="1" applyFont="1" applyBorder="1" applyAlignment="1">
      <alignment horizontal="center" vertical="center" wrapText="1"/>
    </xf>
    <xf numFmtId="0" fontId="4" fillId="0" borderId="11" xfId="2" applyFont="1" applyBorder="1" applyAlignment="1">
      <alignment horizontal="center" vertical="center" wrapText="1" shrinkToFit="1"/>
    </xf>
    <xf numFmtId="164" fontId="29" fillId="0" borderId="11" xfId="339" applyFont="1" applyBorder="1" applyAlignment="1">
      <alignment horizontal="center" vertical="center" wrapText="1" shrinkToFit="1"/>
    </xf>
    <xf numFmtId="0" fontId="29" fillId="0" borderId="11" xfId="205" applyFont="1" applyBorder="1" applyAlignment="1">
      <alignment horizontal="center" vertical="center" wrapText="1"/>
    </xf>
    <xf numFmtId="49" fontId="30" fillId="0" borderId="11" xfId="343" applyNumberFormat="1" applyFont="1" applyBorder="1" applyAlignment="1">
      <alignment horizontal="center" vertical="center" wrapText="1"/>
    </xf>
    <xf numFmtId="0" fontId="29" fillId="0" borderId="11" xfId="347" applyFont="1" applyBorder="1" applyAlignment="1">
      <alignment horizontal="center" vertical="center" wrapText="1"/>
    </xf>
    <xf numFmtId="165" fontId="30" fillId="0" borderId="11" xfId="348" applyNumberFormat="1" applyFont="1" applyBorder="1" applyAlignment="1">
      <alignment horizontal="center" vertical="center" wrapText="1" shrinkToFit="1"/>
    </xf>
    <xf numFmtId="49" fontId="30" fillId="0" borderId="11" xfId="356" applyNumberFormat="1" applyFont="1" applyBorder="1" applyAlignment="1">
      <alignment horizontal="center" vertical="center" wrapText="1" shrinkToFit="1"/>
    </xf>
    <xf numFmtId="0" fontId="31" fillId="0" borderId="11" xfId="180" applyFont="1" applyBorder="1" applyAlignment="1">
      <alignment horizontal="center" wrapText="1"/>
    </xf>
    <xf numFmtId="49" fontId="30" fillId="0" borderId="11" xfId="341" applyNumberFormat="1" applyFont="1" applyBorder="1" applyAlignment="1">
      <alignment horizontal="center" vertical="center" wrapText="1" shrinkToFit="1"/>
    </xf>
    <xf numFmtId="0" fontId="29" fillId="0" borderId="11" xfId="367" applyFont="1" applyBorder="1" applyAlignment="1">
      <alignment horizontal="center" vertical="center" wrapText="1"/>
    </xf>
    <xf numFmtId="0" fontId="2" fillId="0" borderId="11" xfId="201" applyFont="1" applyBorder="1" applyAlignment="1">
      <alignment horizontal="center" vertical="center" wrapText="1" shrinkToFit="1"/>
    </xf>
    <xf numFmtId="0" fontId="1" fillId="0" borderId="11" xfId="331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57" fillId="0" borderId="11" xfId="367" applyFont="1" applyBorder="1" applyAlignment="1">
      <alignment horizontal="center" vertical="center" wrapText="1"/>
    </xf>
    <xf numFmtId="0" fontId="30" fillId="0" borderId="13" xfId="1" applyFont="1" applyBorder="1" applyAlignment="1">
      <alignment horizontal="center" vertical="center" wrapText="1"/>
    </xf>
    <xf numFmtId="0" fontId="1" fillId="0" borderId="11" xfId="1" applyBorder="1" applyAlignment="1">
      <alignment horizontal="center" vertical="center" wrapText="1"/>
    </xf>
    <xf numFmtId="0" fontId="55" fillId="24" borderId="0" xfId="0" applyFont="1" applyFill="1"/>
    <xf numFmtId="0" fontId="55" fillId="24" borderId="22" xfId="0" applyFont="1" applyFill="1" applyBorder="1"/>
    <xf numFmtId="0" fontId="32" fillId="24" borderId="0" xfId="1" applyFont="1" applyFill="1" applyAlignment="1">
      <alignment horizontal="center" vertical="center"/>
    </xf>
    <xf numFmtId="0" fontId="55" fillId="24" borderId="36" xfId="0" applyFont="1" applyFill="1" applyBorder="1"/>
    <xf numFmtId="0" fontId="79" fillId="0" borderId="72" xfId="0" applyFont="1" applyBorder="1" applyAlignment="1">
      <alignment horizontal="center" vertical="center" wrapText="1" readingOrder="2"/>
    </xf>
    <xf numFmtId="0" fontId="79" fillId="0" borderId="73" xfId="0" applyFont="1" applyBorder="1" applyAlignment="1">
      <alignment horizontal="center" vertical="center" wrapText="1" readingOrder="2"/>
    </xf>
    <xf numFmtId="0" fontId="79" fillId="0" borderId="50" xfId="0" applyFont="1" applyBorder="1" applyAlignment="1">
      <alignment horizontal="center" vertical="center" wrapText="1" readingOrder="2"/>
    </xf>
    <xf numFmtId="0" fontId="83" fillId="0" borderId="68" xfId="0" applyFont="1" applyBorder="1" applyAlignment="1">
      <alignment horizontal="center" vertical="center" wrapText="1" readingOrder="2"/>
    </xf>
    <xf numFmtId="0" fontId="79" fillId="0" borderId="71" xfId="0" applyFont="1" applyBorder="1" applyAlignment="1">
      <alignment horizontal="center" vertical="center" wrapText="1" readingOrder="2"/>
    </xf>
    <xf numFmtId="0" fontId="84" fillId="0" borderId="32" xfId="0" applyFont="1" applyBorder="1" applyAlignment="1">
      <alignment horizontal="center" vertical="center" wrapText="1" readingOrder="2"/>
    </xf>
    <xf numFmtId="0" fontId="83" fillId="0" borderId="74" xfId="0" applyFont="1" applyBorder="1" applyAlignment="1">
      <alignment horizontal="center" vertical="center" wrapText="1" readingOrder="2"/>
    </xf>
    <xf numFmtId="0" fontId="86" fillId="0" borderId="65" xfId="0" applyFont="1" applyBorder="1" applyAlignment="1">
      <alignment horizontal="center" vertical="center"/>
    </xf>
    <xf numFmtId="0" fontId="86" fillId="0" borderId="29" xfId="0" applyFont="1" applyBorder="1" applyAlignment="1">
      <alignment horizontal="center" vertical="center"/>
    </xf>
    <xf numFmtId="0" fontId="87" fillId="0" borderId="66" xfId="0" applyFont="1" applyBorder="1" applyAlignment="1">
      <alignment horizontal="center" vertical="center" wrapText="1" readingOrder="2"/>
    </xf>
    <xf numFmtId="0" fontId="88" fillId="0" borderId="61" xfId="0" applyFont="1" applyBorder="1" applyAlignment="1">
      <alignment horizontal="center" vertical="center" wrapText="1" readingOrder="2"/>
    </xf>
    <xf numFmtId="0" fontId="87" fillId="0" borderId="52" xfId="0" applyFont="1" applyBorder="1" applyAlignment="1">
      <alignment horizontal="center" vertical="center" wrapText="1" readingOrder="2"/>
    </xf>
    <xf numFmtId="0" fontId="52" fillId="24" borderId="58" xfId="0" applyFont="1" applyFill="1" applyBorder="1" applyAlignment="1">
      <alignment horizontal="center" vertical="center"/>
    </xf>
    <xf numFmtId="0" fontId="89" fillId="24" borderId="59" xfId="0" applyFont="1" applyFill="1" applyBorder="1" applyAlignment="1">
      <alignment horizontal="center" vertical="center" wrapText="1"/>
    </xf>
    <xf numFmtId="0" fontId="89" fillId="24" borderId="59" xfId="0" applyFont="1" applyFill="1" applyBorder="1" applyAlignment="1">
      <alignment horizontal="center" vertical="center" wrapText="1" readingOrder="2"/>
    </xf>
    <xf numFmtId="168" fontId="66" fillId="24" borderId="59" xfId="0" applyNumberFormat="1" applyFont="1" applyFill="1" applyBorder="1" applyAlignment="1">
      <alignment horizontal="center" vertical="center" wrapText="1"/>
    </xf>
    <xf numFmtId="0" fontId="91" fillId="24" borderId="59" xfId="0" applyFont="1" applyFill="1" applyBorder="1" applyAlignment="1">
      <alignment horizontal="center" vertical="center" wrapText="1"/>
    </xf>
    <xf numFmtId="168" fontId="89" fillId="24" borderId="59" xfId="0" applyNumberFormat="1" applyFont="1" applyFill="1" applyBorder="1" applyAlignment="1">
      <alignment horizontal="center" vertical="center" wrapText="1"/>
    </xf>
    <xf numFmtId="0" fontId="89" fillId="24" borderId="59" xfId="0" applyFont="1" applyFill="1" applyBorder="1" applyAlignment="1">
      <alignment horizontal="center" vertical="center"/>
    </xf>
    <xf numFmtId="0" fontId="89" fillId="24" borderId="62" xfId="0" applyFont="1" applyFill="1" applyBorder="1" applyAlignment="1">
      <alignment horizontal="center" vertical="center" wrapText="1" readingOrder="2"/>
    </xf>
    <xf numFmtId="0" fontId="48" fillId="24" borderId="59" xfId="0" applyFont="1" applyFill="1" applyBorder="1" applyAlignment="1">
      <alignment horizontal="center" vertical="center" wrapText="1" readingOrder="2"/>
    </xf>
    <xf numFmtId="0" fontId="72" fillId="24" borderId="59" xfId="0" applyFont="1" applyFill="1" applyBorder="1" applyAlignment="1">
      <alignment horizontal="center" vertical="center" wrapText="1" readingOrder="2"/>
    </xf>
    <xf numFmtId="0" fontId="67" fillId="24" borderId="15" xfId="344" applyFont="1" applyFill="1" applyBorder="1" applyAlignment="1">
      <alignment horizontal="center" vertical="center" wrapText="1"/>
    </xf>
    <xf numFmtId="0" fontId="47" fillId="24" borderId="15" xfId="372" applyFont="1" applyFill="1" applyBorder="1" applyAlignment="1">
      <alignment horizontal="right" vertical="center" wrapText="1" shrinkToFit="1" readingOrder="2"/>
    </xf>
    <xf numFmtId="0" fontId="67" fillId="24" borderId="30" xfId="0" applyFont="1" applyFill="1" applyBorder="1" applyAlignment="1">
      <alignment horizontal="center" vertical="center"/>
    </xf>
    <xf numFmtId="0" fontId="32" fillId="24" borderId="15" xfId="344" applyFont="1" applyFill="1" applyBorder="1" applyAlignment="1">
      <alignment horizontal="center" vertical="center" wrapText="1"/>
    </xf>
    <xf numFmtId="0" fontId="44" fillId="24" borderId="15" xfId="372" applyFont="1" applyFill="1" applyBorder="1" applyAlignment="1">
      <alignment horizontal="center" vertical="center" wrapText="1" shrinkToFit="1" readingOrder="2"/>
    </xf>
    <xf numFmtId="0" fontId="32" fillId="24" borderId="15" xfId="1" applyFont="1" applyFill="1" applyBorder="1" applyAlignment="1">
      <alignment horizontal="center" vertical="center" wrapText="1"/>
    </xf>
    <xf numFmtId="0" fontId="55" fillId="24" borderId="15" xfId="0" applyFont="1" applyFill="1" applyBorder="1" applyAlignment="1">
      <alignment horizontal="center"/>
    </xf>
    <xf numFmtId="0" fontId="55" fillId="24" borderId="15" xfId="0" applyFont="1" applyFill="1" applyBorder="1" applyAlignment="1">
      <alignment horizontal="center" vertical="center"/>
    </xf>
    <xf numFmtId="0" fontId="55" fillId="24" borderId="30" xfId="0" applyFont="1" applyFill="1" applyBorder="1" applyAlignment="1">
      <alignment horizontal="center"/>
    </xf>
    <xf numFmtId="0" fontId="67" fillId="24" borderId="55" xfId="344" applyFont="1" applyFill="1" applyBorder="1" applyAlignment="1">
      <alignment horizontal="center" vertical="center" wrapText="1"/>
    </xf>
    <xf numFmtId="0" fontId="47" fillId="24" borderId="55" xfId="372" applyFont="1" applyFill="1" applyBorder="1" applyAlignment="1">
      <alignment horizontal="right" vertical="center" wrapText="1" shrinkToFit="1" readingOrder="2"/>
    </xf>
    <xf numFmtId="0" fontId="67" fillId="24" borderId="45" xfId="0" applyFont="1" applyFill="1" applyBorder="1" applyAlignment="1">
      <alignment horizontal="center" vertical="center"/>
    </xf>
    <xf numFmtId="0" fontId="47" fillId="24" borderId="55" xfId="0" applyFont="1" applyFill="1" applyBorder="1" applyAlignment="1">
      <alignment horizontal="right" vertical="center"/>
    </xf>
    <xf numFmtId="0" fontId="67" fillId="24" borderId="55" xfId="2" applyFont="1" applyFill="1" applyBorder="1" applyAlignment="1">
      <alignment horizontal="center" vertical="center" wrapText="1"/>
    </xf>
    <xf numFmtId="49" fontId="67" fillId="24" borderId="55" xfId="2" applyNumberFormat="1" applyFont="1" applyFill="1" applyBorder="1" applyAlignment="1">
      <alignment horizontal="center" vertical="center" wrapText="1"/>
    </xf>
    <xf numFmtId="0" fontId="47" fillId="24" borderId="55" xfId="2" quotePrefix="1" applyFont="1" applyFill="1" applyBorder="1" applyAlignment="1">
      <alignment horizontal="right" vertical="center" wrapText="1"/>
    </xf>
    <xf numFmtId="0" fontId="67" fillId="24" borderId="45" xfId="1" applyFont="1" applyFill="1" applyBorder="1" applyAlignment="1">
      <alignment horizontal="center" vertical="center"/>
    </xf>
    <xf numFmtId="0" fontId="67" fillId="24" borderId="55" xfId="0" applyFont="1" applyFill="1" applyBorder="1" applyAlignment="1">
      <alignment horizontal="center" vertical="center" wrapText="1" shrinkToFit="1"/>
    </xf>
    <xf numFmtId="49" fontId="47" fillId="24" borderId="55" xfId="1" applyNumberFormat="1" applyFont="1" applyFill="1" applyBorder="1" applyAlignment="1">
      <alignment horizontal="center" vertical="center" wrapText="1" readingOrder="2"/>
    </xf>
    <xf numFmtId="49" fontId="46" fillId="24" borderId="55" xfId="1" applyNumberFormat="1" applyFont="1" applyFill="1" applyBorder="1" applyAlignment="1">
      <alignment horizontal="center" vertical="center" wrapText="1" readingOrder="2"/>
    </xf>
    <xf numFmtId="49" fontId="67" fillId="24" borderId="55" xfId="1" applyNumberFormat="1" applyFont="1" applyFill="1" applyBorder="1" applyAlignment="1">
      <alignment horizontal="center" vertical="center" wrapText="1"/>
    </xf>
    <xf numFmtId="0" fontId="47" fillId="24" borderId="57" xfId="372" applyFont="1" applyFill="1" applyBorder="1" applyAlignment="1">
      <alignment horizontal="right" vertical="center" wrapText="1" shrinkToFit="1" readingOrder="2"/>
    </xf>
    <xf numFmtId="0" fontId="46" fillId="24" borderId="57" xfId="1" quotePrefix="1" applyFont="1" applyFill="1" applyBorder="1" applyAlignment="1">
      <alignment horizontal="center" vertical="center" wrapText="1" readingOrder="2"/>
    </xf>
    <xf numFmtId="0" fontId="67" fillId="24" borderId="55" xfId="372" applyFont="1" applyFill="1" applyBorder="1" applyAlignment="1">
      <alignment horizontal="center" vertical="center" wrapText="1" shrinkToFit="1"/>
    </xf>
    <xf numFmtId="0" fontId="67" fillId="24" borderId="55" xfId="372" applyFont="1" applyFill="1" applyBorder="1" applyAlignment="1">
      <alignment horizontal="center" vertical="center" shrinkToFit="1"/>
    </xf>
    <xf numFmtId="0" fontId="55" fillId="24" borderId="56" xfId="0" applyFont="1" applyFill="1" applyBorder="1"/>
    <xf numFmtId="0" fontId="47" fillId="24" borderId="55" xfId="0" applyFont="1" applyFill="1" applyBorder="1" applyAlignment="1">
      <alignment horizontal="right" vertical="center" wrapText="1"/>
    </xf>
    <xf numFmtId="0" fontId="47" fillId="24" borderId="55" xfId="0" applyFont="1" applyFill="1" applyBorder="1" applyAlignment="1">
      <alignment horizontal="center" vertical="center" wrapText="1"/>
    </xf>
    <xf numFmtId="0" fontId="67" fillId="24" borderId="31" xfId="339" applyNumberFormat="1" applyFont="1" applyFill="1" applyBorder="1" applyAlignment="1">
      <alignment horizontal="center" vertical="center" wrapText="1" shrinkToFit="1"/>
    </xf>
    <xf numFmtId="0" fontId="47" fillId="24" borderId="31" xfId="0" applyFont="1" applyFill="1" applyBorder="1" applyAlignment="1">
      <alignment horizontal="right" vertical="center" wrapText="1"/>
    </xf>
    <xf numFmtId="0" fontId="67" fillId="24" borderId="44" xfId="0" applyFont="1" applyFill="1" applyBorder="1" applyAlignment="1">
      <alignment horizontal="center" vertical="center"/>
    </xf>
    <xf numFmtId="0" fontId="32" fillId="24" borderId="31" xfId="1" applyFont="1" applyFill="1" applyBorder="1" applyAlignment="1">
      <alignment horizontal="center" vertical="center" wrapText="1"/>
    </xf>
    <xf numFmtId="0" fontId="73" fillId="24" borderId="31" xfId="376" applyFont="1" applyFill="1" applyBorder="1" applyAlignment="1">
      <alignment horizontal="center" vertical="center" wrapText="1"/>
    </xf>
    <xf numFmtId="0" fontId="44" fillId="24" borderId="31" xfId="376" applyFont="1" applyFill="1" applyBorder="1" applyAlignment="1">
      <alignment horizontal="center" vertical="center" wrapText="1"/>
    </xf>
    <xf numFmtId="2" fontId="67" fillId="24" borderId="15" xfId="0" applyNumberFormat="1" applyFont="1" applyFill="1" applyBorder="1" applyAlignment="1">
      <alignment horizontal="center" vertical="center" wrapText="1"/>
    </xf>
    <xf numFmtId="0" fontId="67" fillId="24" borderId="15" xfId="1" quotePrefix="1" applyFont="1" applyFill="1" applyBorder="1" applyAlignment="1">
      <alignment horizontal="center" vertical="center" wrapText="1"/>
    </xf>
    <xf numFmtId="0" fontId="47" fillId="24" borderId="15" xfId="372" quotePrefix="1" applyFont="1" applyFill="1" applyBorder="1" applyAlignment="1">
      <alignment horizontal="right" vertical="center" wrapText="1" shrinkToFit="1" readingOrder="2"/>
    </xf>
    <xf numFmtId="0" fontId="67" fillId="24" borderId="30" xfId="1" quotePrefix="1" applyFont="1" applyFill="1" applyBorder="1" applyAlignment="1">
      <alignment horizontal="center" vertical="center"/>
    </xf>
    <xf numFmtId="0" fontId="67" fillId="24" borderId="10" xfId="1" quotePrefix="1" applyFont="1" applyFill="1" applyBorder="1" applyAlignment="1">
      <alignment horizontal="center" vertical="center" wrapText="1"/>
    </xf>
    <xf numFmtId="0" fontId="47" fillId="24" borderId="10" xfId="372" quotePrefix="1" applyFont="1" applyFill="1" applyBorder="1" applyAlignment="1">
      <alignment horizontal="right" vertical="center" wrapText="1" shrinkToFit="1" readingOrder="2"/>
    </xf>
    <xf numFmtId="0" fontId="47" fillId="24" borderId="55" xfId="2" applyFont="1" applyFill="1" applyBorder="1" applyAlignment="1">
      <alignment horizontal="right" vertical="center" wrapText="1"/>
    </xf>
    <xf numFmtId="0" fontId="67" fillId="24" borderId="63" xfId="1" applyFont="1" applyFill="1" applyBorder="1" applyAlignment="1">
      <alignment horizontal="center" vertical="center"/>
    </xf>
    <xf numFmtId="0" fontId="47" fillId="24" borderId="23" xfId="372" applyFont="1" applyFill="1" applyBorder="1" applyAlignment="1">
      <alignment horizontal="right" vertical="center" wrapText="1" shrinkToFit="1" readingOrder="2"/>
    </xf>
    <xf numFmtId="0" fontId="67" fillId="24" borderId="44" xfId="1" applyFont="1" applyFill="1" applyBorder="1" applyAlignment="1">
      <alignment horizontal="center" vertical="center"/>
    </xf>
    <xf numFmtId="0" fontId="47" fillId="24" borderId="15" xfId="372" applyFont="1" applyFill="1" applyBorder="1" applyAlignment="1">
      <alignment horizontal="right" vertical="center" wrapText="1" shrinkToFit="1" readingOrder="1"/>
    </xf>
    <xf numFmtId="0" fontId="44" fillId="24" borderId="15" xfId="372" applyFont="1" applyFill="1" applyBorder="1" applyAlignment="1">
      <alignment horizontal="center" vertical="center" wrapText="1" shrinkToFit="1" readingOrder="1"/>
    </xf>
    <xf numFmtId="0" fontId="67" fillId="24" borderId="0" xfId="0" applyFont="1" applyFill="1" applyAlignment="1">
      <alignment horizontal="center"/>
    </xf>
    <xf numFmtId="0" fontId="55" fillId="24" borderId="55" xfId="0" applyFont="1" applyFill="1" applyBorder="1"/>
    <xf numFmtId="0" fontId="47" fillId="24" borderId="10" xfId="0" applyFont="1" applyFill="1" applyBorder="1" applyAlignment="1">
      <alignment horizontal="right" vertical="center" wrapText="1"/>
    </xf>
    <xf numFmtId="49" fontId="67" fillId="24" borderId="55" xfId="184" applyNumberFormat="1" applyFont="1" applyFill="1" applyBorder="1" applyAlignment="1">
      <alignment horizontal="center" vertical="center" wrapText="1"/>
    </xf>
    <xf numFmtId="49" fontId="67" fillId="24" borderId="31" xfId="184" applyNumberFormat="1" applyFont="1" applyFill="1" applyBorder="1" applyAlignment="1">
      <alignment horizontal="center" vertical="center" wrapText="1"/>
    </xf>
    <xf numFmtId="0" fontId="67" fillId="24" borderId="31" xfId="344" applyFont="1" applyFill="1" applyBorder="1" applyAlignment="1">
      <alignment horizontal="center" vertical="center" wrapText="1" shrinkToFit="1"/>
    </xf>
    <xf numFmtId="0" fontId="47" fillId="24" borderId="31" xfId="372" applyFont="1" applyFill="1" applyBorder="1" applyAlignment="1">
      <alignment horizontal="right" vertical="center" wrapText="1" shrinkToFit="1" readingOrder="2"/>
    </xf>
    <xf numFmtId="0" fontId="32" fillId="24" borderId="31" xfId="344" applyFont="1" applyFill="1" applyBorder="1" applyAlignment="1">
      <alignment horizontal="center" vertical="center" wrapText="1" shrinkToFit="1"/>
    </xf>
    <xf numFmtId="0" fontId="44" fillId="24" borderId="31" xfId="372" applyFont="1" applyFill="1" applyBorder="1" applyAlignment="1">
      <alignment horizontal="center" vertical="center" wrapText="1" shrinkToFit="1" readingOrder="2"/>
    </xf>
    <xf numFmtId="0" fontId="73" fillId="24" borderId="44" xfId="1" applyFont="1" applyFill="1" applyBorder="1" applyAlignment="1">
      <alignment horizontal="center" vertical="center"/>
    </xf>
    <xf numFmtId="0" fontId="67" fillId="24" borderId="15" xfId="336" applyNumberFormat="1" applyFont="1" applyFill="1" applyBorder="1" applyAlignment="1">
      <alignment horizontal="center" vertical="center" wrapText="1" shrinkToFit="1"/>
    </xf>
    <xf numFmtId="0" fontId="67" fillId="24" borderId="55" xfId="336" applyNumberFormat="1" applyFont="1" applyFill="1" applyBorder="1" applyAlignment="1">
      <alignment horizontal="center" vertical="center" wrapText="1" shrinkToFit="1"/>
    </xf>
    <xf numFmtId="0" fontId="67" fillId="24" borderId="55" xfId="359" applyNumberFormat="1" applyFont="1" applyFill="1" applyBorder="1" applyAlignment="1">
      <alignment horizontal="center" vertical="center" wrapText="1" shrinkToFit="1"/>
    </xf>
    <xf numFmtId="0" fontId="67" fillId="24" borderId="31" xfId="2" applyFont="1" applyFill="1" applyBorder="1" applyAlignment="1">
      <alignment horizontal="center" vertical="center" wrapText="1"/>
    </xf>
    <xf numFmtId="49" fontId="67" fillId="24" borderId="31" xfId="2" applyNumberFormat="1" applyFont="1" applyFill="1" applyBorder="1" applyAlignment="1">
      <alignment horizontal="center" vertical="center" wrapText="1"/>
    </xf>
    <xf numFmtId="0" fontId="47" fillId="24" borderId="31" xfId="2" applyFont="1" applyFill="1" applyBorder="1" applyAlignment="1">
      <alignment horizontal="right" vertical="center" wrapText="1"/>
    </xf>
    <xf numFmtId="0" fontId="44" fillId="24" borderId="31" xfId="2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/>
    </xf>
    <xf numFmtId="0" fontId="55" fillId="24" borderId="31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/>
    </xf>
    <xf numFmtId="0" fontId="55" fillId="24" borderId="31" xfId="0" applyFont="1" applyFill="1" applyBorder="1"/>
    <xf numFmtId="0" fontId="67" fillId="24" borderId="26" xfId="201" quotePrefix="1" applyFont="1" applyFill="1" applyBorder="1" applyAlignment="1">
      <alignment horizontal="center" vertical="center" wrapText="1"/>
    </xf>
    <xf numFmtId="0" fontId="47" fillId="24" borderId="26" xfId="372" quotePrefix="1" applyFont="1" applyFill="1" applyBorder="1" applyAlignment="1">
      <alignment horizontal="right" vertical="center" wrapText="1" shrinkToFit="1" readingOrder="2"/>
    </xf>
    <xf numFmtId="0" fontId="67" fillId="24" borderId="26" xfId="1" quotePrefix="1" applyFont="1" applyFill="1" applyBorder="1" applyAlignment="1">
      <alignment horizontal="center" vertical="center" wrapText="1"/>
    </xf>
    <xf numFmtId="0" fontId="67" fillId="24" borderId="55" xfId="201" quotePrefix="1" applyFont="1" applyFill="1" applyBorder="1" applyAlignment="1">
      <alignment horizontal="center" vertical="center" wrapText="1"/>
    </xf>
    <xf numFmtId="0" fontId="47" fillId="24" borderId="55" xfId="372" quotePrefix="1" applyFont="1" applyFill="1" applyBorder="1" applyAlignment="1">
      <alignment horizontal="right" vertical="center" wrapText="1" shrinkToFit="1" readingOrder="2"/>
    </xf>
    <xf numFmtId="0" fontId="67" fillId="24" borderId="55" xfId="1" quotePrefix="1" applyFont="1" applyFill="1" applyBorder="1" applyAlignment="1">
      <alignment horizontal="center" vertical="center" wrapText="1"/>
    </xf>
    <xf numFmtId="0" fontId="55" fillId="24" borderId="43" xfId="0" applyFont="1" applyFill="1" applyBorder="1"/>
    <xf numFmtId="0" fontId="67" fillId="24" borderId="21" xfId="201" quotePrefix="1" applyFont="1" applyFill="1" applyBorder="1" applyAlignment="1">
      <alignment horizontal="center" vertical="center" wrapText="1"/>
    </xf>
    <xf numFmtId="0" fontId="47" fillId="24" borderId="21" xfId="372" quotePrefix="1" applyFont="1" applyFill="1" applyBorder="1" applyAlignment="1">
      <alignment horizontal="right" vertical="center" wrapText="1" shrinkToFit="1" readingOrder="2"/>
    </xf>
    <xf numFmtId="0" fontId="67" fillId="24" borderId="21" xfId="1" quotePrefix="1" applyFont="1" applyFill="1" applyBorder="1" applyAlignment="1">
      <alignment horizontal="center" vertical="center" wrapText="1"/>
    </xf>
    <xf numFmtId="0" fontId="67" fillId="24" borderId="55" xfId="163" applyFont="1" applyFill="1" applyBorder="1" applyAlignment="1">
      <alignment horizontal="center" vertical="center" wrapText="1"/>
    </xf>
    <xf numFmtId="0" fontId="47" fillId="24" borderId="10" xfId="372" applyFont="1" applyFill="1" applyBorder="1" applyAlignment="1">
      <alignment horizontal="right" vertical="center" wrapText="1" shrinkToFit="1" readingOrder="2"/>
    </xf>
    <xf numFmtId="0" fontId="67" fillId="24" borderId="45" xfId="1" quotePrefix="1" applyFont="1" applyFill="1" applyBorder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67" fillId="24" borderId="31" xfId="201" quotePrefix="1" applyFont="1" applyFill="1" applyBorder="1" applyAlignment="1">
      <alignment horizontal="center" vertical="center" wrapText="1"/>
    </xf>
    <xf numFmtId="0" fontId="47" fillId="24" borderId="31" xfId="372" quotePrefix="1" applyFont="1" applyFill="1" applyBorder="1" applyAlignment="1">
      <alignment horizontal="right" vertical="center" wrapText="1" shrinkToFit="1" readingOrder="2"/>
    </xf>
    <xf numFmtId="0" fontId="67" fillId="24" borderId="31" xfId="1" quotePrefix="1" applyFont="1" applyFill="1" applyBorder="1" applyAlignment="1">
      <alignment horizontal="center" vertical="center" wrapText="1"/>
    </xf>
    <xf numFmtId="0" fontId="67" fillId="24" borderId="44" xfId="1" quotePrefix="1" applyFont="1" applyFill="1" applyBorder="1" applyAlignment="1">
      <alignment horizontal="center" vertical="center"/>
    </xf>
    <xf numFmtId="0" fontId="32" fillId="24" borderId="31" xfId="201" quotePrefix="1" applyFont="1" applyFill="1" applyBorder="1" applyAlignment="1">
      <alignment horizontal="center" vertical="center" wrapText="1"/>
    </xf>
    <xf numFmtId="0" fontId="44" fillId="24" borderId="31" xfId="372" quotePrefix="1" applyFont="1" applyFill="1" applyBorder="1" applyAlignment="1">
      <alignment horizontal="center" vertical="center" wrapText="1" shrinkToFit="1" readingOrder="2"/>
    </xf>
    <xf numFmtId="0" fontId="32" fillId="24" borderId="31" xfId="1" quotePrefix="1" applyFont="1" applyFill="1" applyBorder="1" applyAlignment="1">
      <alignment horizontal="center" vertical="center" wrapText="1"/>
    </xf>
    <xf numFmtId="49" fontId="67" fillId="24" borderId="15" xfId="2" applyNumberFormat="1" applyFont="1" applyFill="1" applyBorder="1" applyAlignment="1">
      <alignment horizontal="center" vertical="center" wrapText="1"/>
    </xf>
    <xf numFmtId="0" fontId="47" fillId="24" borderId="15" xfId="2" applyFont="1" applyFill="1" applyBorder="1" applyAlignment="1">
      <alignment horizontal="right" vertical="center" wrapText="1"/>
    </xf>
    <xf numFmtId="0" fontId="67" fillId="24" borderId="15" xfId="174" applyFont="1" applyFill="1" applyBorder="1" applyAlignment="1">
      <alignment horizontal="center" vertical="center" wrapText="1"/>
    </xf>
    <xf numFmtId="0" fontId="44" fillId="24" borderId="15" xfId="2" applyFont="1" applyFill="1" applyBorder="1" applyAlignment="1">
      <alignment horizontal="center" vertical="center" wrapText="1"/>
    </xf>
    <xf numFmtId="0" fontId="32" fillId="24" borderId="15" xfId="174" applyFont="1" applyFill="1" applyBorder="1" applyAlignment="1">
      <alignment horizontal="center" vertical="center" wrapText="1"/>
    </xf>
    <xf numFmtId="0" fontId="67" fillId="24" borderId="55" xfId="174" applyFont="1" applyFill="1" applyBorder="1" applyAlignment="1">
      <alignment horizontal="center" vertical="center" wrapText="1"/>
    </xf>
    <xf numFmtId="0" fontId="67" fillId="24" borderId="15" xfId="201" quotePrefix="1" applyFont="1" applyFill="1" applyBorder="1" applyAlignment="1">
      <alignment horizontal="center" vertical="center" wrapText="1"/>
    </xf>
    <xf numFmtId="0" fontId="67" fillId="24" borderId="55" xfId="366" applyNumberFormat="1" applyFont="1" applyFill="1" applyBorder="1" applyAlignment="1">
      <alignment horizontal="center" vertical="center" wrapText="1" shrinkToFit="1"/>
    </xf>
    <xf numFmtId="0" fontId="67" fillId="24" borderId="60" xfId="0" applyFont="1" applyFill="1" applyBorder="1" applyAlignment="1">
      <alignment horizontal="center" vertical="center"/>
    </xf>
    <xf numFmtId="0" fontId="67" fillId="24" borderId="31" xfId="344" applyFont="1" applyFill="1" applyBorder="1" applyAlignment="1">
      <alignment horizontal="center" vertical="center" wrapText="1"/>
    </xf>
    <xf numFmtId="0" fontId="67" fillId="24" borderId="26" xfId="344" applyFont="1" applyFill="1" applyBorder="1" applyAlignment="1">
      <alignment horizontal="center" vertical="center" wrapText="1"/>
    </xf>
    <xf numFmtId="0" fontId="47" fillId="24" borderId="26" xfId="372" applyFont="1" applyFill="1" applyBorder="1" applyAlignment="1">
      <alignment horizontal="right" vertical="center" wrapText="1" shrinkToFit="1" readingOrder="2"/>
    </xf>
    <xf numFmtId="0" fontId="67" fillId="24" borderId="55" xfId="245" applyFont="1" applyFill="1" applyBorder="1" applyAlignment="1">
      <alignment horizontal="center" vertical="center" shrinkToFit="1"/>
    </xf>
    <xf numFmtId="49" fontId="67" fillId="24" borderId="31" xfId="108" applyNumberFormat="1" applyFont="1" applyFill="1" applyBorder="1" applyAlignment="1">
      <alignment horizontal="center" vertical="center" wrapText="1" shrinkToFit="1"/>
    </xf>
    <xf numFmtId="0" fontId="67" fillId="24" borderId="65" xfId="1" applyFont="1" applyFill="1" applyBorder="1" applyAlignment="1">
      <alignment horizontal="center" vertical="center" wrapText="1"/>
    </xf>
    <xf numFmtId="0" fontId="67" fillId="24" borderId="16" xfId="1" applyFont="1" applyFill="1" applyBorder="1" applyAlignment="1">
      <alignment horizontal="center" vertical="center" wrapText="1"/>
    </xf>
    <xf numFmtId="0" fontId="67" fillId="24" borderId="30" xfId="1" applyFont="1" applyFill="1" applyBorder="1" applyAlignment="1">
      <alignment horizontal="center" vertical="center"/>
    </xf>
    <xf numFmtId="49" fontId="67" fillId="24" borderId="21" xfId="108" applyNumberFormat="1" applyFont="1" applyFill="1" applyBorder="1" applyAlignment="1">
      <alignment horizontal="center" vertical="center" wrapText="1" shrinkToFit="1"/>
    </xf>
    <xf numFmtId="0" fontId="47" fillId="24" borderId="21" xfId="372" applyFont="1" applyFill="1" applyBorder="1" applyAlignment="1">
      <alignment horizontal="right" vertical="center" wrapText="1" shrinkToFit="1" readingOrder="2"/>
    </xf>
    <xf numFmtId="0" fontId="67" fillId="24" borderId="33" xfId="1" applyFont="1" applyFill="1" applyBorder="1" applyAlignment="1">
      <alignment horizontal="center" vertical="center"/>
    </xf>
    <xf numFmtId="0" fontId="73" fillId="24" borderId="15" xfId="376" applyFont="1" applyFill="1" applyBorder="1" applyAlignment="1">
      <alignment horizontal="center" vertical="center" wrapText="1"/>
    </xf>
    <xf numFmtId="0" fontId="44" fillId="24" borderId="15" xfId="376" applyFont="1" applyFill="1" applyBorder="1" applyAlignment="1">
      <alignment horizontal="center" vertical="center" wrapText="1"/>
    </xf>
    <xf numFmtId="165" fontId="67" fillId="24" borderId="55" xfId="0" applyNumberFormat="1" applyFont="1" applyFill="1" applyBorder="1" applyAlignment="1">
      <alignment horizontal="center" vertical="center" wrapText="1"/>
    </xf>
    <xf numFmtId="165" fontId="67" fillId="24" borderId="55" xfId="0" applyNumberFormat="1" applyFont="1" applyFill="1" applyBorder="1" applyAlignment="1">
      <alignment horizontal="center" vertical="center" wrapText="1" shrinkToFit="1"/>
    </xf>
    <xf numFmtId="0" fontId="67" fillId="24" borderId="55" xfId="362" applyNumberFormat="1" applyFont="1" applyFill="1" applyBorder="1" applyAlignment="1">
      <alignment horizontal="center" vertical="center" wrapText="1" shrinkToFit="1"/>
    </xf>
    <xf numFmtId="0" fontId="67" fillId="24" borderId="55" xfId="201" applyFont="1" applyFill="1" applyBorder="1" applyAlignment="1">
      <alignment horizontal="center" vertical="center" wrapText="1"/>
    </xf>
    <xf numFmtId="0" fontId="67" fillId="24" borderId="20" xfId="353" applyNumberFormat="1" applyFont="1" applyFill="1" applyBorder="1" applyAlignment="1">
      <alignment horizontal="center" vertical="center" wrapText="1" shrinkToFit="1"/>
    </xf>
    <xf numFmtId="0" fontId="67" fillId="24" borderId="15" xfId="372" applyFont="1" applyFill="1" applyBorder="1" applyAlignment="1">
      <alignment horizontal="center" vertical="center" wrapText="1" shrinkToFit="1"/>
    </xf>
    <xf numFmtId="0" fontId="67" fillId="24" borderId="55" xfId="62" applyFont="1" applyFill="1" applyBorder="1" applyAlignment="1">
      <alignment horizontal="center" vertical="center" wrapText="1" shrinkToFit="1"/>
    </xf>
    <xf numFmtId="0" fontId="67" fillId="24" borderId="55" xfId="339" applyNumberFormat="1" applyFont="1" applyFill="1" applyBorder="1" applyAlignment="1">
      <alignment horizontal="center" vertical="center" wrapText="1" shrinkToFit="1"/>
    </xf>
    <xf numFmtId="0" fontId="47" fillId="24" borderId="31" xfId="0" applyFont="1" applyFill="1" applyBorder="1" applyAlignment="1">
      <alignment horizontal="center" vertical="center" wrapText="1"/>
    </xf>
    <xf numFmtId="0" fontId="47" fillId="24" borderId="15" xfId="0" applyFont="1" applyFill="1" applyBorder="1" applyAlignment="1">
      <alignment horizontal="right" vertical="center" wrapText="1"/>
    </xf>
    <xf numFmtId="0" fontId="67" fillId="24" borderId="31" xfId="0" applyFont="1" applyFill="1" applyBorder="1" applyAlignment="1">
      <alignment horizontal="center"/>
    </xf>
    <xf numFmtId="0" fontId="73" fillId="24" borderId="31" xfId="1" applyFont="1" applyFill="1" applyBorder="1" applyAlignment="1">
      <alignment horizontal="center" vertical="center"/>
    </xf>
    <xf numFmtId="0" fontId="67" fillId="24" borderId="15" xfId="0" applyFont="1" applyFill="1" applyBorder="1" applyAlignment="1">
      <alignment horizontal="center"/>
    </xf>
    <xf numFmtId="0" fontId="67" fillId="24" borderId="55" xfId="93" applyFont="1" applyFill="1" applyBorder="1" applyAlignment="1">
      <alignment horizontal="center" vertical="center" wrapText="1"/>
    </xf>
    <xf numFmtId="0" fontId="67" fillId="24" borderId="15" xfId="344" quotePrefix="1" applyFont="1" applyFill="1" applyBorder="1" applyAlignment="1">
      <alignment horizontal="center" vertical="center" wrapText="1"/>
    </xf>
    <xf numFmtId="0" fontId="44" fillId="24" borderId="15" xfId="372" quotePrefix="1" applyFont="1" applyFill="1" applyBorder="1" applyAlignment="1">
      <alignment horizontal="center" vertical="center" wrapText="1" shrinkToFit="1" readingOrder="2"/>
    </xf>
    <xf numFmtId="0" fontId="32" fillId="24" borderId="15" xfId="1" quotePrefix="1" applyFont="1" applyFill="1" applyBorder="1" applyAlignment="1">
      <alignment horizontal="center" vertical="center" wrapText="1"/>
    </xf>
    <xf numFmtId="49" fontId="67" fillId="24" borderId="55" xfId="0" applyNumberFormat="1" applyFont="1" applyFill="1" applyBorder="1" applyAlignment="1">
      <alignment horizontal="center" vertical="center" wrapText="1"/>
    </xf>
    <xf numFmtId="0" fontId="67" fillId="24" borderId="55" xfId="344" quotePrefix="1" applyFont="1" applyFill="1" applyBorder="1" applyAlignment="1">
      <alignment horizontal="center" vertical="center" wrapText="1"/>
    </xf>
    <xf numFmtId="0" fontId="67" fillId="24" borderId="55" xfId="174" applyFont="1" applyFill="1" applyBorder="1" applyAlignment="1">
      <alignment horizontal="center" vertical="center" wrapText="1" shrinkToFit="1"/>
    </xf>
    <xf numFmtId="0" fontId="73" fillId="24" borderId="31" xfId="0" applyFont="1" applyFill="1" applyBorder="1" applyAlignment="1">
      <alignment horizontal="center" vertical="center"/>
    </xf>
    <xf numFmtId="0" fontId="67" fillId="24" borderId="45" xfId="1" applyFont="1" applyFill="1" applyBorder="1" applyAlignment="1">
      <alignment horizontal="center" vertical="center" wrapText="1"/>
    </xf>
    <xf numFmtId="0" fontId="55" fillId="24" borderId="0" xfId="0" applyFont="1" applyFill="1" applyAlignment="1">
      <alignment wrapText="1"/>
    </xf>
    <xf numFmtId="0" fontId="67" fillId="24" borderId="45" xfId="2" applyFont="1" applyFill="1" applyBorder="1" applyAlignment="1">
      <alignment horizontal="center" vertical="center" wrapText="1" shrinkToFit="1"/>
    </xf>
    <xf numFmtId="0" fontId="67" fillId="24" borderId="55" xfId="344" applyFont="1" applyFill="1" applyBorder="1" applyAlignment="1">
      <alignment horizontal="center" vertical="center" wrapText="1" shrinkToFit="1"/>
    </xf>
    <xf numFmtId="0" fontId="67" fillId="24" borderId="45" xfId="1" quotePrefix="1" applyFont="1" applyFill="1" applyBorder="1" applyAlignment="1">
      <alignment horizontal="center" vertical="center" wrapText="1"/>
    </xf>
    <xf numFmtId="0" fontId="67" fillId="24" borderId="67" xfId="1" applyFont="1" applyFill="1" applyBorder="1" applyAlignment="1">
      <alignment horizontal="center" vertical="center" wrapText="1"/>
    </xf>
    <xf numFmtId="0" fontId="73" fillId="24" borderId="44" xfId="376" applyFont="1" applyFill="1" applyBorder="1" applyAlignment="1">
      <alignment horizontal="center" vertical="center" wrapText="1"/>
    </xf>
    <xf numFmtId="0" fontId="55" fillId="24" borderId="60" xfId="0" applyFont="1" applyFill="1" applyBorder="1" applyAlignment="1">
      <alignment wrapText="1"/>
    </xf>
    <xf numFmtId="0" fontId="67" fillId="24" borderId="31" xfId="372" applyFont="1" applyFill="1" applyBorder="1" applyAlignment="1">
      <alignment horizontal="center" vertical="center" wrapText="1" shrinkToFit="1"/>
    </xf>
    <xf numFmtId="0" fontId="67" fillId="24" borderId="15" xfId="372" quotePrefix="1" applyFont="1" applyFill="1" applyBorder="1" applyAlignment="1">
      <alignment horizontal="center" vertical="center" wrapText="1" shrinkToFit="1"/>
    </xf>
    <xf numFmtId="0" fontId="67" fillId="24" borderId="10" xfId="368" applyNumberFormat="1" applyFont="1" applyFill="1" applyBorder="1" applyAlignment="1">
      <alignment horizontal="center" vertical="center" wrapText="1"/>
    </xf>
    <xf numFmtId="0" fontId="67" fillId="24" borderId="31" xfId="62" applyFont="1" applyFill="1" applyBorder="1" applyAlignment="1">
      <alignment horizontal="center" vertical="center" wrapText="1" shrinkToFit="1"/>
    </xf>
    <xf numFmtId="0" fontId="32" fillId="24" borderId="31" xfId="62" applyFont="1" applyFill="1" applyBorder="1" applyAlignment="1">
      <alignment horizontal="center" vertical="center" wrapText="1" shrinkToFit="1"/>
    </xf>
    <xf numFmtId="49" fontId="67" fillId="24" borderId="55" xfId="62" applyNumberFormat="1" applyFont="1" applyFill="1" applyBorder="1" applyAlignment="1">
      <alignment horizontal="center" vertical="center" wrapText="1" shrinkToFit="1"/>
    </xf>
    <xf numFmtId="49" fontId="67" fillId="24" borderId="31" xfId="0" applyNumberFormat="1" applyFont="1" applyFill="1" applyBorder="1" applyAlignment="1">
      <alignment horizontal="center" vertical="center" wrapText="1"/>
    </xf>
    <xf numFmtId="0" fontId="67" fillId="24" borderId="31" xfId="344" quotePrefix="1" applyFont="1" applyFill="1" applyBorder="1" applyAlignment="1">
      <alignment horizontal="center" vertical="center" wrapText="1"/>
    </xf>
    <xf numFmtId="0" fontId="67" fillId="24" borderId="31" xfId="174" applyFont="1" applyFill="1" applyBorder="1" applyAlignment="1">
      <alignment horizontal="center" vertical="center" wrapText="1" shrinkToFit="1"/>
    </xf>
    <xf numFmtId="0" fontId="44" fillId="24" borderId="31" xfId="0" applyFont="1" applyFill="1" applyBorder="1" applyAlignment="1">
      <alignment horizontal="center" vertical="center" wrapText="1"/>
    </xf>
    <xf numFmtId="0" fontId="73" fillId="24" borderId="44" xfId="376" applyFont="1" applyFill="1" applyBorder="1" applyAlignment="1">
      <alignment horizontal="center" vertical="center"/>
    </xf>
    <xf numFmtId="2" fontId="67" fillId="24" borderId="15" xfId="0" applyNumberFormat="1" applyFont="1" applyFill="1" applyBorder="1" applyAlignment="1">
      <alignment horizontal="center" vertical="center"/>
    </xf>
    <xf numFmtId="0" fontId="44" fillId="24" borderId="15" xfId="0" applyFont="1" applyFill="1" applyBorder="1" applyAlignment="1">
      <alignment horizontal="center" vertical="center" wrapText="1"/>
    </xf>
    <xf numFmtId="0" fontId="47" fillId="24" borderId="57" xfId="0" applyFont="1" applyFill="1" applyBorder="1" applyAlignment="1">
      <alignment horizontal="right" vertical="center" wrapText="1"/>
    </xf>
    <xf numFmtId="49" fontId="67" fillId="24" borderId="31" xfId="63" applyNumberFormat="1" applyFont="1" applyFill="1" applyBorder="1" applyAlignment="1">
      <alignment horizontal="center" vertical="center" wrapText="1" shrinkToFit="1"/>
    </xf>
    <xf numFmtId="0" fontId="47" fillId="24" borderId="31" xfId="0" applyFont="1" applyFill="1" applyBorder="1" applyAlignment="1">
      <alignment horizontal="right" vertical="center"/>
    </xf>
    <xf numFmtId="0" fontId="67" fillId="24" borderId="31" xfId="2" applyFont="1" applyFill="1" applyBorder="1" applyAlignment="1">
      <alignment horizontal="center" vertical="center" wrapText="1" shrinkToFit="1"/>
    </xf>
    <xf numFmtId="49" fontId="32" fillId="24" borderId="31" xfId="63" applyNumberFormat="1" applyFont="1" applyFill="1" applyBorder="1" applyAlignment="1">
      <alignment horizontal="center" vertical="center" wrapText="1" shrinkToFit="1"/>
    </xf>
    <xf numFmtId="0" fontId="44" fillId="24" borderId="31" xfId="0" applyFont="1" applyFill="1" applyBorder="1" applyAlignment="1">
      <alignment horizontal="center" vertical="center"/>
    </xf>
    <xf numFmtId="0" fontId="32" fillId="24" borderId="31" xfId="2" applyFont="1" applyFill="1" applyBorder="1" applyAlignment="1">
      <alignment horizontal="center" vertical="center" wrapText="1" shrinkToFit="1"/>
    </xf>
    <xf numFmtId="0" fontId="67" fillId="24" borderId="15" xfId="362" quotePrefix="1" applyNumberFormat="1" applyFont="1" applyFill="1" applyBorder="1" applyAlignment="1">
      <alignment horizontal="center" vertical="center" wrapText="1"/>
    </xf>
    <xf numFmtId="0" fontId="67" fillId="24" borderId="15" xfId="362" applyNumberFormat="1" applyFont="1" applyFill="1" applyBorder="1" applyAlignment="1">
      <alignment horizontal="center" vertical="center" wrapText="1"/>
    </xf>
    <xf numFmtId="0" fontId="67" fillId="24" borderId="55" xfId="361" applyNumberFormat="1" applyFont="1" applyFill="1" applyBorder="1" applyAlignment="1">
      <alignment horizontal="center" vertical="center" wrapText="1" shrinkToFit="1"/>
    </xf>
    <xf numFmtId="0" fontId="67" fillId="24" borderId="15" xfId="1" applyFont="1" applyFill="1" applyBorder="1" applyAlignment="1">
      <alignment horizontal="center" vertical="center"/>
    </xf>
    <xf numFmtId="0" fontId="32" fillId="24" borderId="15" xfId="0" applyFont="1" applyFill="1" applyBorder="1" applyAlignment="1">
      <alignment horizontal="center" vertical="center"/>
    </xf>
    <xf numFmtId="0" fontId="67" fillId="24" borderId="45" xfId="174" applyFont="1" applyFill="1" applyBorder="1" applyAlignment="1">
      <alignment horizontal="center" vertical="center" wrapText="1" shrinkToFit="1"/>
    </xf>
    <xf numFmtId="0" fontId="67" fillId="24" borderId="55" xfId="2" applyFont="1" applyFill="1" applyBorder="1" applyAlignment="1">
      <alignment horizontal="center" vertical="center" wrapText="1" shrinkToFit="1"/>
    </xf>
    <xf numFmtId="0" fontId="73" fillId="24" borderId="31" xfId="377" applyFont="1" applyFill="1" applyBorder="1" applyAlignment="1">
      <alignment horizontal="center" vertical="center" wrapText="1"/>
    </xf>
    <xf numFmtId="0" fontId="44" fillId="24" borderId="31" xfId="377" applyFont="1" applyFill="1" applyBorder="1" applyAlignment="1">
      <alignment horizontal="center" vertical="center" wrapText="1"/>
    </xf>
    <xf numFmtId="0" fontId="67" fillId="24" borderId="22" xfId="0" applyFont="1" applyFill="1" applyBorder="1" applyAlignment="1">
      <alignment horizontal="center"/>
    </xf>
    <xf numFmtId="0" fontId="67" fillId="24" borderId="55" xfId="0" applyFont="1" applyFill="1" applyBorder="1" applyAlignment="1">
      <alignment horizontal="center"/>
    </xf>
    <xf numFmtId="0" fontId="67" fillId="24" borderId="10" xfId="344" applyFont="1" applyFill="1" applyBorder="1" applyAlignment="1">
      <alignment horizontal="center" vertical="center" wrapText="1"/>
    </xf>
    <xf numFmtId="49" fontId="58" fillId="24" borderId="15" xfId="63" applyNumberFormat="1" applyFont="1" applyFill="1" applyBorder="1" applyAlignment="1">
      <alignment horizontal="center" vertical="center" wrapText="1" shrinkToFit="1"/>
    </xf>
    <xf numFmtId="0" fontId="58" fillId="24" borderId="15" xfId="0" applyFont="1" applyFill="1" applyBorder="1" applyAlignment="1">
      <alignment horizontal="center" vertical="center" wrapText="1"/>
    </xf>
    <xf numFmtId="0" fontId="73" fillId="24" borderId="15" xfId="0" applyFont="1" applyFill="1" applyBorder="1" applyAlignment="1">
      <alignment horizontal="center" vertical="center"/>
    </xf>
    <xf numFmtId="0" fontId="44" fillId="24" borderId="15" xfId="0" applyFont="1" applyFill="1" applyBorder="1" applyAlignment="1">
      <alignment horizontal="center" vertical="center"/>
    </xf>
    <xf numFmtId="0" fontId="73" fillId="24" borderId="30" xfId="0" applyFont="1" applyFill="1" applyBorder="1" applyAlignment="1">
      <alignment horizontal="center" vertical="center"/>
    </xf>
    <xf numFmtId="49" fontId="67" fillId="24" borderId="55" xfId="63" applyNumberFormat="1" applyFont="1" applyFill="1" applyBorder="1" applyAlignment="1">
      <alignment horizontal="center" vertical="center" wrapText="1" shrinkToFit="1"/>
    </xf>
    <xf numFmtId="0" fontId="70" fillId="24" borderId="55" xfId="0" applyFont="1" applyFill="1" applyBorder="1" applyAlignment="1">
      <alignment horizontal="center" vertical="center" wrapText="1"/>
    </xf>
    <xf numFmtId="0" fontId="47" fillId="24" borderId="51" xfId="0" applyFont="1" applyFill="1" applyBorder="1" applyAlignment="1">
      <alignment horizontal="right" vertical="center" wrapText="1"/>
    </xf>
    <xf numFmtId="49" fontId="67" fillId="24" borderId="55" xfId="330" applyNumberFormat="1" applyFont="1" applyFill="1" applyBorder="1" applyAlignment="1">
      <alignment horizontal="center" vertical="center" wrapText="1"/>
    </xf>
    <xf numFmtId="0" fontId="67" fillId="24" borderId="55" xfId="341" applyFont="1" applyFill="1" applyBorder="1" applyAlignment="1">
      <alignment horizontal="center" vertical="center" wrapText="1"/>
    </xf>
    <xf numFmtId="0" fontId="67" fillId="24" borderId="55" xfId="122" applyFont="1" applyFill="1" applyBorder="1" applyAlignment="1">
      <alignment horizontal="center" vertical="center" wrapText="1"/>
    </xf>
    <xf numFmtId="0" fontId="67" fillId="24" borderId="51" xfId="1" applyFont="1" applyFill="1" applyBorder="1" applyAlignment="1">
      <alignment horizontal="center" vertical="center"/>
    </xf>
    <xf numFmtId="0" fontId="95" fillId="24" borderId="55" xfId="375" applyFont="1" applyFill="1" applyBorder="1" applyAlignment="1">
      <alignment horizontal="center" vertical="center" wrapText="1"/>
    </xf>
    <xf numFmtId="0" fontId="47" fillId="24" borderId="55" xfId="0" applyFont="1" applyFill="1" applyBorder="1" applyAlignment="1">
      <alignment horizontal="right" vertical="center" wrapText="1" readingOrder="2"/>
    </xf>
    <xf numFmtId="0" fontId="92" fillId="24" borderId="55" xfId="0" applyFont="1" applyFill="1" applyBorder="1" applyAlignment="1">
      <alignment horizontal="center" vertical="center" wrapText="1"/>
    </xf>
    <xf numFmtId="0" fontId="67" fillId="24" borderId="55" xfId="333" applyNumberFormat="1" applyFont="1" applyFill="1" applyBorder="1" applyAlignment="1">
      <alignment horizontal="center" vertical="center" shrinkToFit="1"/>
    </xf>
    <xf numFmtId="0" fontId="92" fillId="24" borderId="57" xfId="0" applyFont="1" applyFill="1" applyBorder="1" applyAlignment="1">
      <alignment horizontal="center" vertical="center" wrapText="1"/>
    </xf>
    <xf numFmtId="0" fontId="67" fillId="24" borderId="57" xfId="1" quotePrefix="1" applyFont="1" applyFill="1" applyBorder="1" applyAlignment="1">
      <alignment horizontal="center" vertical="center" wrapText="1"/>
    </xf>
    <xf numFmtId="0" fontId="47" fillId="24" borderId="57" xfId="372" quotePrefix="1" applyFont="1" applyFill="1" applyBorder="1" applyAlignment="1">
      <alignment horizontal="right" vertical="center" wrapText="1" shrinkToFit="1" readingOrder="2"/>
    </xf>
    <xf numFmtId="0" fontId="55" fillId="24" borderId="11" xfId="0" applyFont="1" applyFill="1" applyBorder="1"/>
    <xf numFmtId="169" fontId="67" fillId="24" borderId="23" xfId="1" applyNumberFormat="1" applyFont="1" applyFill="1" applyBorder="1" applyAlignment="1">
      <alignment horizontal="center" vertical="center" wrapText="1"/>
    </xf>
    <xf numFmtId="0" fontId="55" fillId="24" borderId="57" xfId="0" applyFont="1" applyFill="1" applyBorder="1"/>
    <xf numFmtId="0" fontId="67" fillId="24" borderId="10" xfId="344" applyFont="1" applyFill="1" applyBorder="1" applyAlignment="1">
      <alignment horizontal="center" vertical="center" wrapText="1" shrinkToFit="1"/>
    </xf>
    <xf numFmtId="0" fontId="67" fillId="24" borderId="51" xfId="1" applyFont="1" applyFill="1" applyBorder="1" applyAlignment="1">
      <alignment horizontal="center" vertical="center" wrapText="1"/>
    </xf>
    <xf numFmtId="49" fontId="67" fillId="24" borderId="55" xfId="352" applyNumberFormat="1" applyFont="1" applyFill="1" applyBorder="1" applyAlignment="1">
      <alignment horizontal="center" vertical="center" wrapText="1" shrinkToFit="1"/>
    </xf>
    <xf numFmtId="0" fontId="67" fillId="24" borderId="50" xfId="1" applyFont="1" applyFill="1" applyBorder="1" applyAlignment="1">
      <alignment horizontal="center" vertical="center" wrapText="1"/>
    </xf>
    <xf numFmtId="0" fontId="73" fillId="24" borderId="15" xfId="377" applyFont="1" applyFill="1" applyBorder="1" applyAlignment="1">
      <alignment horizontal="center" vertical="center" wrapText="1"/>
    </xf>
    <xf numFmtId="0" fontId="44" fillId="24" borderId="15" xfId="377" applyFont="1" applyFill="1" applyBorder="1" applyAlignment="1">
      <alignment horizontal="center" vertical="center" wrapText="1"/>
    </xf>
    <xf numFmtId="0" fontId="67" fillId="24" borderId="45" xfId="2" applyFont="1" applyFill="1" applyBorder="1" applyAlignment="1">
      <alignment horizontal="center" vertical="center" shrinkToFit="1"/>
    </xf>
    <xf numFmtId="0" fontId="73" fillId="24" borderId="31" xfId="376" applyFont="1" applyFill="1" applyBorder="1" applyAlignment="1">
      <alignment horizontal="center" vertical="center"/>
    </xf>
    <xf numFmtId="0" fontId="45" fillId="24" borderId="28" xfId="0" applyFont="1" applyFill="1" applyBorder="1" applyAlignment="1">
      <alignment horizontal="center" vertical="center" wrapText="1"/>
    </xf>
    <xf numFmtId="0" fontId="90" fillId="24" borderId="22" xfId="0" applyFont="1" applyFill="1" applyBorder="1" applyAlignment="1">
      <alignment horizontal="center" vertical="center" wrapText="1"/>
    </xf>
    <xf numFmtId="0" fontId="47" fillId="24" borderId="22" xfId="0" applyFont="1" applyFill="1" applyBorder="1" applyAlignment="1">
      <alignment horizontal="center" vertical="center" wrapText="1"/>
    </xf>
    <xf numFmtId="0" fontId="46" fillId="24" borderId="22" xfId="0" applyFont="1" applyFill="1" applyBorder="1" applyAlignment="1">
      <alignment horizontal="center" vertical="center" wrapText="1"/>
    </xf>
    <xf numFmtId="0" fontId="96" fillId="24" borderId="22" xfId="0" applyFont="1" applyFill="1" applyBorder="1" applyAlignment="1">
      <alignment horizontal="center" vertical="center" wrapText="1"/>
    </xf>
    <xf numFmtId="0" fontId="90" fillId="24" borderId="22" xfId="0" applyFont="1" applyFill="1" applyBorder="1" applyAlignment="1">
      <alignment horizontal="right" vertical="center" wrapText="1"/>
    </xf>
    <xf numFmtId="0" fontId="67" fillId="24" borderId="53" xfId="0" applyFont="1" applyFill="1" applyBorder="1" applyAlignment="1">
      <alignment horizontal="center" vertical="center" wrapText="1"/>
    </xf>
    <xf numFmtId="0" fontId="47" fillId="24" borderId="15" xfId="0" applyFont="1" applyFill="1" applyBorder="1" applyAlignment="1">
      <alignment horizontal="center" vertical="center" wrapText="1"/>
    </xf>
    <xf numFmtId="0" fontId="46" fillId="24" borderId="15" xfId="0" applyFont="1" applyFill="1" applyBorder="1" applyAlignment="1">
      <alignment horizontal="center" vertical="center" wrapText="1"/>
    </xf>
    <xf numFmtId="0" fontId="90" fillId="24" borderId="15" xfId="0" applyFont="1" applyFill="1" applyBorder="1" applyAlignment="1">
      <alignment horizontal="center" vertical="center" wrapText="1"/>
    </xf>
    <xf numFmtId="2" fontId="90" fillId="24" borderId="15" xfId="0" applyNumberFormat="1" applyFont="1" applyFill="1" applyBorder="1" applyAlignment="1">
      <alignment horizontal="center" vertical="center" wrapText="1"/>
    </xf>
    <xf numFmtId="0" fontId="96" fillId="24" borderId="15" xfId="0" applyFont="1" applyFill="1" applyBorder="1" applyAlignment="1">
      <alignment horizontal="center" vertical="center" wrapText="1"/>
    </xf>
    <xf numFmtId="0" fontId="90" fillId="24" borderId="15" xfId="0" applyFont="1" applyFill="1" applyBorder="1" applyAlignment="1">
      <alignment horizontal="right" vertical="center" wrapText="1"/>
    </xf>
    <xf numFmtId="0" fontId="67" fillId="24" borderId="30" xfId="0" applyFont="1" applyFill="1" applyBorder="1" applyAlignment="1">
      <alignment horizontal="center" vertical="center" wrapText="1"/>
    </xf>
    <xf numFmtId="0" fontId="67" fillId="24" borderId="33" xfId="0" applyFont="1" applyFill="1" applyBorder="1" applyAlignment="1">
      <alignment horizontal="center" vertical="center"/>
    </xf>
    <xf numFmtId="0" fontId="67" fillId="24" borderId="31" xfId="362" applyNumberFormat="1" applyFont="1" applyFill="1" applyBorder="1" applyAlignment="1">
      <alignment horizontal="center" vertical="center" wrapText="1"/>
    </xf>
    <xf numFmtId="0" fontId="32" fillId="24" borderId="31" xfId="362" applyNumberFormat="1" applyFont="1" applyFill="1" applyBorder="1" applyAlignment="1">
      <alignment horizontal="center" vertical="center" wrapText="1"/>
    </xf>
    <xf numFmtId="0" fontId="73" fillId="24" borderId="31" xfId="380" applyFont="1" applyFill="1" applyBorder="1" applyAlignment="1">
      <alignment horizontal="center" vertical="center" wrapText="1"/>
    </xf>
    <xf numFmtId="9" fontId="44" fillId="24" borderId="31" xfId="381" applyFont="1" applyFill="1" applyBorder="1" applyAlignment="1">
      <alignment horizontal="center" vertical="center" wrapText="1"/>
    </xf>
    <xf numFmtId="9" fontId="73" fillId="24" borderId="31" xfId="381" applyFont="1" applyFill="1" applyBorder="1" applyAlignment="1">
      <alignment horizontal="center" vertical="center" wrapText="1"/>
    </xf>
    <xf numFmtId="0" fontId="73" fillId="24" borderId="15" xfId="380" applyFont="1" applyFill="1" applyBorder="1" applyAlignment="1">
      <alignment horizontal="center" vertical="center" wrapText="1"/>
    </xf>
    <xf numFmtId="0" fontId="44" fillId="24" borderId="15" xfId="380" applyFont="1" applyFill="1" applyBorder="1" applyAlignment="1">
      <alignment horizontal="center" vertical="center" wrapText="1"/>
    </xf>
    <xf numFmtId="168" fontId="32" fillId="24" borderId="31" xfId="1" applyNumberFormat="1" applyFont="1" applyFill="1" applyBorder="1" applyAlignment="1">
      <alignment horizontal="center" vertical="center" wrapText="1"/>
    </xf>
    <xf numFmtId="0" fontId="47" fillId="24" borderId="10" xfId="2" applyFont="1" applyFill="1" applyBorder="1" applyAlignment="1">
      <alignment horizontal="right" vertical="center" wrapText="1"/>
    </xf>
    <xf numFmtId="49" fontId="67" fillId="24" borderId="55" xfId="336" applyNumberFormat="1" applyFont="1" applyFill="1" applyBorder="1" applyAlignment="1">
      <alignment horizontal="center" vertical="center" wrapText="1" shrinkToFit="1"/>
    </xf>
    <xf numFmtId="0" fontId="46" fillId="24" borderId="36" xfId="0" applyFont="1" applyFill="1" applyBorder="1" applyAlignment="1">
      <alignment horizontal="center" vertical="center" wrapText="1"/>
    </xf>
    <xf numFmtId="0" fontId="89" fillId="24" borderId="36" xfId="0" applyFont="1" applyFill="1" applyBorder="1" applyAlignment="1">
      <alignment horizontal="center" vertical="center" wrapText="1"/>
    </xf>
    <xf numFmtId="0" fontId="96" fillId="24" borderId="36" xfId="0" applyFont="1" applyFill="1" applyBorder="1" applyAlignment="1">
      <alignment horizontal="center" vertical="center" wrapText="1"/>
    </xf>
    <xf numFmtId="0" fontId="89" fillId="24" borderId="36" xfId="0" applyFont="1" applyFill="1" applyBorder="1" applyAlignment="1">
      <alignment horizontal="right" vertical="center" wrapText="1"/>
    </xf>
    <xf numFmtId="0" fontId="47" fillId="24" borderId="34" xfId="0" applyFont="1" applyFill="1" applyBorder="1" applyAlignment="1">
      <alignment horizontal="center" vertical="center" wrapText="1"/>
    </xf>
    <xf numFmtId="0" fontId="67" fillId="24" borderId="15" xfId="2" applyFont="1" applyFill="1" applyBorder="1" applyAlignment="1">
      <alignment horizontal="center" vertical="center" wrapText="1"/>
    </xf>
    <xf numFmtId="0" fontId="32" fillId="24" borderId="15" xfId="0" applyFont="1" applyFill="1" applyBorder="1" applyAlignment="1">
      <alignment horizontal="center" vertical="center" wrapText="1"/>
    </xf>
    <xf numFmtId="0" fontId="55" fillId="24" borderId="30" xfId="0" applyFont="1" applyFill="1" applyBorder="1" applyAlignment="1">
      <alignment horizontal="center" vertical="center"/>
    </xf>
    <xf numFmtId="0" fontId="67" fillId="24" borderId="10" xfId="2" applyFont="1" applyFill="1" applyBorder="1" applyAlignment="1">
      <alignment horizontal="center" vertical="center" wrapText="1"/>
    </xf>
    <xf numFmtId="49" fontId="67" fillId="24" borderId="15" xfId="0" applyNumberFormat="1" applyFont="1" applyFill="1" applyBorder="1" applyAlignment="1">
      <alignment horizontal="center" vertical="center" wrapText="1"/>
    </xf>
    <xf numFmtId="49" fontId="90" fillId="24" borderId="55" xfId="0" applyNumberFormat="1" applyFont="1" applyFill="1" applyBorder="1" applyAlignment="1">
      <alignment horizontal="center" vertical="center" wrapText="1"/>
    </xf>
    <xf numFmtId="168" fontId="67" fillId="24" borderId="31" xfId="0" applyNumberFormat="1" applyFont="1" applyFill="1" applyBorder="1" applyAlignment="1">
      <alignment horizontal="center" vertical="center" wrapText="1" readingOrder="2"/>
    </xf>
    <xf numFmtId="49" fontId="67" fillId="24" borderId="31" xfId="62" applyNumberFormat="1" applyFont="1" applyFill="1" applyBorder="1" applyAlignment="1">
      <alignment horizontal="center" vertical="center" wrapText="1" shrinkToFit="1"/>
    </xf>
    <xf numFmtId="0" fontId="67" fillId="24" borderId="57" xfId="344" applyFont="1" applyFill="1" applyBorder="1" applyAlignment="1">
      <alignment horizontal="center" vertical="center" wrapText="1" shrinkToFit="1"/>
    </xf>
    <xf numFmtId="0" fontId="55" fillId="24" borderId="10" xfId="0" applyFont="1" applyFill="1" applyBorder="1"/>
    <xf numFmtId="0" fontId="90" fillId="24" borderId="0" xfId="0" applyFont="1" applyFill="1" applyAlignment="1">
      <alignment horizontal="center" vertical="center" wrapText="1"/>
    </xf>
    <xf numFmtId="0" fontId="46" fillId="24" borderId="38" xfId="0" applyFont="1" applyFill="1" applyBorder="1" applyAlignment="1">
      <alignment horizontal="center" vertical="center" wrapText="1"/>
    </xf>
    <xf numFmtId="0" fontId="90" fillId="24" borderId="38" xfId="0" applyFont="1" applyFill="1" applyBorder="1" applyAlignment="1">
      <alignment horizontal="center" vertical="center" wrapText="1"/>
    </xf>
    <xf numFmtId="0" fontId="96" fillId="24" borderId="0" xfId="0" applyFont="1" applyFill="1" applyAlignment="1">
      <alignment horizontal="center" vertical="center" wrapText="1"/>
    </xf>
    <xf numFmtId="0" fontId="90" fillId="24" borderId="38" xfId="0" applyFont="1" applyFill="1" applyBorder="1" applyAlignment="1">
      <alignment horizontal="right" vertical="center" wrapText="1"/>
    </xf>
    <xf numFmtId="0" fontId="67" fillId="24" borderId="37" xfId="0" applyFont="1" applyFill="1" applyBorder="1" applyAlignment="1">
      <alignment horizontal="center" vertical="center" wrapText="1"/>
    </xf>
    <xf numFmtId="0" fontId="47" fillId="24" borderId="31" xfId="0" applyFont="1" applyFill="1" applyBorder="1" applyAlignment="1">
      <alignment horizontal="center" vertical="center" readingOrder="2"/>
    </xf>
    <xf numFmtId="0" fontId="46" fillId="24" borderId="31" xfId="0" applyFont="1" applyFill="1" applyBorder="1" applyAlignment="1">
      <alignment horizontal="center" vertical="center" readingOrder="2"/>
    </xf>
    <xf numFmtId="0" fontId="55" fillId="24" borderId="15" xfId="0" applyFont="1" applyFill="1" applyBorder="1"/>
    <xf numFmtId="0" fontId="55" fillId="24" borderId="47" xfId="0" applyFont="1" applyFill="1" applyBorder="1"/>
    <xf numFmtId="0" fontId="32" fillId="24" borderId="31" xfId="344" applyFont="1" applyFill="1" applyBorder="1" applyAlignment="1">
      <alignment horizontal="center" vertical="center" wrapText="1"/>
    </xf>
    <xf numFmtId="0" fontId="73" fillId="24" borderId="31" xfId="378" applyFont="1" applyFill="1" applyBorder="1" applyAlignment="1">
      <alignment horizontal="center" vertical="center" wrapText="1"/>
    </xf>
    <xf numFmtId="0" fontId="44" fillId="24" borderId="31" xfId="378" applyFont="1" applyFill="1" applyBorder="1" applyAlignment="1">
      <alignment horizontal="center" vertical="center" wrapText="1"/>
    </xf>
    <xf numFmtId="0" fontId="73" fillId="24" borderId="44" xfId="379" applyFont="1" applyFill="1" applyBorder="1" applyAlignment="1">
      <alignment horizontal="center" vertical="center"/>
    </xf>
    <xf numFmtId="1" fontId="47" fillId="24" borderId="55" xfId="174" applyNumberFormat="1" applyFont="1" applyFill="1" applyBorder="1" applyAlignment="1">
      <alignment horizontal="center" vertical="center" wrapText="1" readingOrder="2"/>
    </xf>
    <xf numFmtId="1" fontId="46" fillId="24" borderId="55" xfId="174" applyNumberFormat="1" applyFont="1" applyFill="1" applyBorder="1" applyAlignment="1">
      <alignment horizontal="center" vertical="center" wrapText="1" readingOrder="2"/>
    </xf>
    <xf numFmtId="168" fontId="67" fillId="24" borderId="15" xfId="174" applyNumberFormat="1" applyFont="1" applyFill="1" applyBorder="1" applyAlignment="1">
      <alignment horizontal="center" vertical="center" wrapText="1"/>
    </xf>
    <xf numFmtId="0" fontId="46" fillId="24" borderId="15" xfId="1" applyFont="1" applyFill="1" applyBorder="1" applyAlignment="1">
      <alignment vertical="center" wrapText="1" readingOrder="2"/>
    </xf>
    <xf numFmtId="0" fontId="73" fillId="24" borderId="15" xfId="1" applyFont="1" applyFill="1" applyBorder="1" applyAlignment="1">
      <alignment horizontal="center" vertical="center"/>
    </xf>
    <xf numFmtId="0" fontId="73" fillId="24" borderId="15" xfId="1" applyFont="1" applyFill="1" applyBorder="1" applyAlignment="1">
      <alignment horizontal="center" vertical="center" wrapText="1"/>
    </xf>
    <xf numFmtId="0" fontId="44" fillId="24" borderId="15" xfId="378" applyFont="1" applyFill="1" applyBorder="1" applyAlignment="1">
      <alignment horizontal="center" vertical="center" wrapText="1"/>
    </xf>
    <xf numFmtId="0" fontId="73" fillId="24" borderId="15" xfId="378" applyFont="1" applyFill="1" applyBorder="1" applyAlignment="1">
      <alignment horizontal="center" vertical="center" wrapText="1"/>
    </xf>
    <xf numFmtId="0" fontId="73" fillId="24" borderId="30" xfId="1" applyFont="1" applyFill="1" applyBorder="1" applyAlignment="1">
      <alignment horizontal="center" vertical="center"/>
    </xf>
    <xf numFmtId="168" fontId="67" fillId="24" borderId="57" xfId="174" applyNumberFormat="1" applyFont="1" applyFill="1" applyBorder="1" applyAlignment="1">
      <alignment horizontal="center" vertical="center" wrapText="1" readingOrder="2"/>
    </xf>
    <xf numFmtId="0" fontId="32" fillId="24" borderId="15" xfId="1" applyFont="1" applyFill="1" applyBorder="1" applyAlignment="1">
      <alignment horizontal="left" vertical="center" wrapText="1"/>
    </xf>
    <xf numFmtId="0" fontId="44" fillId="24" borderId="15" xfId="372" applyFont="1" applyFill="1" applyBorder="1" applyAlignment="1">
      <alignment horizontal="right" vertical="center" wrapText="1" shrinkToFit="1" readingOrder="2"/>
    </xf>
    <xf numFmtId="0" fontId="55" fillId="24" borderId="30" xfId="0" applyFont="1" applyFill="1" applyBorder="1"/>
    <xf numFmtId="0" fontId="32" fillId="24" borderId="31" xfId="1" applyFont="1" applyFill="1" applyBorder="1" applyAlignment="1">
      <alignment horizontal="left" vertical="center" wrapText="1"/>
    </xf>
    <xf numFmtId="0" fontId="44" fillId="24" borderId="31" xfId="372" applyFont="1" applyFill="1" applyBorder="1" applyAlignment="1">
      <alignment horizontal="right" vertical="center" wrapText="1" shrinkToFit="1" readingOrder="2"/>
    </xf>
    <xf numFmtId="0" fontId="55" fillId="24" borderId="44" xfId="0" applyFont="1" applyFill="1" applyBorder="1"/>
    <xf numFmtId="49" fontId="67" fillId="24" borderId="45" xfId="1" applyNumberFormat="1" applyFont="1" applyFill="1" applyBorder="1" applyAlignment="1">
      <alignment horizontal="center" vertical="center"/>
    </xf>
    <xf numFmtId="0" fontId="44" fillId="24" borderId="55" xfId="372" quotePrefix="1" applyFont="1" applyFill="1" applyBorder="1" applyAlignment="1">
      <alignment horizontal="right" vertical="center" wrapText="1" shrinkToFit="1" readingOrder="2"/>
    </xf>
    <xf numFmtId="0" fontId="67" fillId="24" borderId="55" xfId="2" quotePrefix="1" applyFont="1" applyFill="1" applyBorder="1" applyAlignment="1">
      <alignment horizontal="center" vertical="center" wrapText="1"/>
    </xf>
    <xf numFmtId="0" fontId="90" fillId="24" borderId="55" xfId="362" applyNumberFormat="1" applyFont="1" applyFill="1" applyBorder="1" applyAlignment="1">
      <alignment horizontal="center" vertical="center" wrapText="1"/>
    </xf>
    <xf numFmtId="0" fontId="92" fillId="24" borderId="15" xfId="0" applyFont="1" applyFill="1" applyBorder="1" applyAlignment="1">
      <alignment horizontal="center" vertical="center"/>
    </xf>
    <xf numFmtId="0" fontId="47" fillId="24" borderId="15" xfId="2" applyFont="1" applyFill="1" applyBorder="1" applyAlignment="1">
      <alignment horizontal="right" vertical="center" wrapText="1" readingOrder="2"/>
    </xf>
    <xf numFmtId="0" fontId="92" fillId="24" borderId="15" xfId="2" applyFont="1" applyFill="1" applyBorder="1" applyAlignment="1">
      <alignment horizontal="center" vertical="center" wrapText="1" shrinkToFit="1"/>
    </xf>
    <xf numFmtId="0" fontId="92" fillId="24" borderId="55" xfId="0" applyFont="1" applyFill="1" applyBorder="1" applyAlignment="1">
      <alignment horizontal="center" vertical="center"/>
    </xf>
    <xf numFmtId="0" fontId="47" fillId="24" borderId="55" xfId="2" quotePrefix="1" applyFont="1" applyFill="1" applyBorder="1" applyAlignment="1">
      <alignment horizontal="right" vertical="center" wrapText="1" readingOrder="2"/>
    </xf>
    <xf numFmtId="0" fontId="92" fillId="24" borderId="55" xfId="2" applyFont="1" applyFill="1" applyBorder="1" applyAlignment="1">
      <alignment horizontal="center" vertical="center" wrapText="1" shrinkToFit="1"/>
    </xf>
    <xf numFmtId="0" fontId="47" fillId="24" borderId="57" xfId="2" quotePrefix="1" applyFont="1" applyFill="1" applyBorder="1" applyAlignment="1">
      <alignment horizontal="right" vertical="center" wrapText="1" readingOrder="2"/>
    </xf>
    <xf numFmtId="0" fontId="92" fillId="24" borderId="57" xfId="1" applyFont="1" applyFill="1" applyBorder="1" applyAlignment="1">
      <alignment horizontal="center" vertical="center" wrapText="1"/>
    </xf>
    <xf numFmtId="0" fontId="47" fillId="24" borderId="55" xfId="2" applyFont="1" applyFill="1" applyBorder="1" applyAlignment="1">
      <alignment horizontal="right" vertical="center" wrapText="1" readingOrder="2"/>
    </xf>
    <xf numFmtId="0" fontId="92" fillId="24" borderId="55" xfId="1" applyFont="1" applyFill="1" applyBorder="1" applyAlignment="1">
      <alignment horizontal="center" vertical="center" wrapText="1"/>
    </xf>
    <xf numFmtId="0" fontId="67" fillId="24" borderId="31" xfId="1" applyFont="1" applyFill="1" applyBorder="1" applyAlignment="1">
      <alignment horizontal="left" vertical="center" wrapText="1"/>
    </xf>
    <xf numFmtId="0" fontId="73" fillId="24" borderId="31" xfId="1" applyFont="1" applyFill="1" applyBorder="1" applyAlignment="1">
      <alignment horizontal="left" vertical="center"/>
    </xf>
    <xf numFmtId="0" fontId="46" fillId="24" borderId="0" xfId="0" applyFont="1" applyFill="1" applyAlignment="1">
      <alignment horizontal="center" vertical="center" wrapText="1"/>
    </xf>
    <xf numFmtId="0" fontId="90" fillId="24" borderId="0" xfId="0" applyFont="1" applyFill="1" applyAlignment="1">
      <alignment horizontal="right" vertical="center" wrapText="1"/>
    </xf>
    <xf numFmtId="1" fontId="47" fillId="24" borderId="15" xfId="336" applyNumberFormat="1" applyFont="1" applyFill="1" applyBorder="1" applyAlignment="1">
      <alignment horizontal="center" vertical="center" wrapText="1" readingOrder="2"/>
    </xf>
    <xf numFmtId="1" fontId="46" fillId="24" borderId="15" xfId="336" applyNumberFormat="1" applyFont="1" applyFill="1" applyBorder="1" applyAlignment="1">
      <alignment horizontal="center" vertical="center" wrapText="1" readingOrder="2"/>
    </xf>
    <xf numFmtId="0" fontId="67" fillId="24" borderId="35" xfId="1" quotePrefix="1" applyFont="1" applyFill="1" applyBorder="1" applyAlignment="1">
      <alignment horizontal="center" vertical="center"/>
    </xf>
    <xf numFmtId="0" fontId="32" fillId="24" borderId="15" xfId="1" quotePrefix="1" applyFont="1" applyFill="1" applyBorder="1" applyAlignment="1">
      <alignment horizontal="left" vertical="center" wrapText="1"/>
    </xf>
    <xf numFmtId="0" fontId="44" fillId="24" borderId="15" xfId="372" quotePrefix="1" applyFont="1" applyFill="1" applyBorder="1" applyAlignment="1">
      <alignment horizontal="right" vertical="center" wrapText="1" shrinkToFit="1" readingOrder="2"/>
    </xf>
    <xf numFmtId="1" fontId="47" fillId="24" borderId="10" xfId="336" applyNumberFormat="1" applyFont="1" applyFill="1" applyBorder="1" applyAlignment="1">
      <alignment horizontal="center" vertical="center" wrapText="1" readingOrder="2"/>
    </xf>
    <xf numFmtId="1" fontId="46" fillId="24" borderId="10" xfId="336" applyNumberFormat="1" applyFont="1" applyFill="1" applyBorder="1" applyAlignment="1">
      <alignment horizontal="center" vertical="center" wrapText="1" readingOrder="2"/>
    </xf>
    <xf numFmtId="0" fontId="67" fillId="24" borderId="33" xfId="1" quotePrefix="1" applyFont="1" applyFill="1" applyBorder="1" applyAlignment="1">
      <alignment horizontal="center" vertical="center"/>
    </xf>
    <xf numFmtId="2" fontId="67" fillId="24" borderId="15" xfId="1" applyNumberFormat="1" applyFont="1" applyFill="1" applyBorder="1" applyAlignment="1">
      <alignment horizontal="center" vertical="center" wrapText="1" readingOrder="2"/>
    </xf>
    <xf numFmtId="49" fontId="32" fillId="24" borderId="31" xfId="63" applyNumberFormat="1" applyFont="1" applyFill="1" applyBorder="1" applyAlignment="1">
      <alignment horizontal="left" vertical="center" wrapText="1" shrinkToFit="1"/>
    </xf>
    <xf numFmtId="0" fontId="44" fillId="24" borderId="31" xfId="0" applyFont="1" applyFill="1" applyBorder="1" applyAlignment="1">
      <alignment horizontal="right" vertical="center"/>
    </xf>
    <xf numFmtId="0" fontId="67" fillId="24" borderId="15" xfId="344" applyFont="1" applyFill="1" applyBorder="1" applyAlignment="1">
      <alignment horizontal="center" vertical="center" wrapText="1" shrinkToFit="1"/>
    </xf>
    <xf numFmtId="49" fontId="58" fillId="24" borderId="10" xfId="2" applyNumberFormat="1" applyFont="1" applyFill="1" applyBorder="1" applyAlignment="1">
      <alignment horizontal="center" vertical="center" wrapText="1"/>
    </xf>
    <xf numFmtId="0" fontId="67" fillId="24" borderId="55" xfId="333" applyNumberFormat="1" applyFont="1" applyFill="1" applyBorder="1" applyAlignment="1">
      <alignment horizontal="center" vertical="center" wrapText="1" shrinkToFit="1"/>
    </xf>
    <xf numFmtId="0" fontId="67" fillId="24" borderId="55" xfId="362" applyNumberFormat="1" applyFont="1" applyFill="1" applyBorder="1" applyAlignment="1">
      <alignment horizontal="center" vertical="center" wrapText="1"/>
    </xf>
    <xf numFmtId="0" fontId="32" fillId="24" borderId="15" xfId="362" applyNumberFormat="1" applyFont="1" applyFill="1" applyBorder="1" applyAlignment="1">
      <alignment horizontal="left" vertical="center" wrapText="1"/>
    </xf>
    <xf numFmtId="0" fontId="47" fillId="24" borderId="55" xfId="174" applyFont="1" applyFill="1" applyBorder="1" applyAlignment="1">
      <alignment horizontal="right" vertical="center" wrapText="1"/>
    </xf>
    <xf numFmtId="0" fontId="67" fillId="24" borderId="15" xfId="2" applyFont="1" applyFill="1" applyBorder="1" applyAlignment="1">
      <alignment horizontal="center" vertical="center" wrapText="1" shrinkToFit="1"/>
    </xf>
    <xf numFmtId="49" fontId="32" fillId="24" borderId="15" xfId="2" applyNumberFormat="1" applyFont="1" applyFill="1" applyBorder="1" applyAlignment="1">
      <alignment horizontal="left" vertical="center" wrapText="1"/>
    </xf>
    <xf numFmtId="0" fontId="44" fillId="24" borderId="15" xfId="2" applyFont="1" applyFill="1" applyBorder="1" applyAlignment="1">
      <alignment horizontal="right" vertical="center" wrapText="1"/>
    </xf>
    <xf numFmtId="0" fontId="32" fillId="24" borderId="15" xfId="2" applyFont="1" applyFill="1" applyBorder="1" applyAlignment="1">
      <alignment horizontal="center" vertical="center" wrapText="1" shrinkToFit="1"/>
    </xf>
    <xf numFmtId="168" fontId="67" fillId="24" borderId="45" xfId="0" applyNumberFormat="1" applyFont="1" applyFill="1" applyBorder="1" applyAlignment="1">
      <alignment horizontal="center" vertical="center"/>
    </xf>
    <xf numFmtId="0" fontId="67" fillId="24" borderId="29" xfId="1" quotePrefix="1" applyFont="1" applyFill="1" applyBorder="1" applyAlignment="1">
      <alignment horizontal="center" vertical="center" wrapText="1"/>
    </xf>
    <xf numFmtId="0" fontId="47" fillId="24" borderId="55" xfId="201" applyFont="1" applyFill="1" applyBorder="1" applyAlignment="1">
      <alignment horizontal="right" vertical="center" wrapText="1"/>
    </xf>
    <xf numFmtId="0" fontId="92" fillId="24" borderId="55" xfId="362" applyNumberFormat="1" applyFont="1" applyFill="1" applyBorder="1" applyAlignment="1">
      <alignment horizontal="center" vertical="center" wrapText="1"/>
    </xf>
    <xf numFmtId="49" fontId="47" fillId="24" borderId="55" xfId="336" applyNumberFormat="1" applyFont="1" applyFill="1" applyBorder="1" applyAlignment="1">
      <alignment horizontal="center" vertical="center" wrapText="1" readingOrder="2"/>
    </xf>
    <xf numFmtId="49" fontId="46" fillId="24" borderId="55" xfId="336" applyNumberFormat="1" applyFont="1" applyFill="1" applyBorder="1" applyAlignment="1">
      <alignment horizontal="center" vertical="center" wrapText="1" readingOrder="2"/>
    </xf>
    <xf numFmtId="0" fontId="44" fillId="24" borderId="31" xfId="372" quotePrefix="1" applyFont="1" applyFill="1" applyBorder="1" applyAlignment="1">
      <alignment horizontal="right" vertical="center" wrapText="1" shrinkToFit="1" readingOrder="2"/>
    </xf>
    <xf numFmtId="0" fontId="73" fillId="24" borderId="44" xfId="0" applyFont="1" applyFill="1" applyBorder="1" applyAlignment="1">
      <alignment horizontal="center" vertical="center"/>
    </xf>
    <xf numFmtId="0" fontId="67" fillId="24" borderId="15" xfId="336" applyNumberFormat="1" applyFont="1" applyFill="1" applyBorder="1" applyAlignment="1">
      <alignment horizontal="center" vertical="center" wrapText="1"/>
    </xf>
    <xf numFmtId="0" fontId="67" fillId="24" borderId="55" xfId="375" applyFont="1" applyFill="1" applyBorder="1" applyAlignment="1">
      <alignment horizontal="center" vertical="center" wrapText="1" shrinkToFit="1"/>
    </xf>
    <xf numFmtId="0" fontId="32" fillId="24" borderId="31" xfId="362" applyNumberFormat="1" applyFont="1" applyFill="1" applyBorder="1" applyAlignment="1">
      <alignment horizontal="left" vertical="center" wrapText="1"/>
    </xf>
    <xf numFmtId="0" fontId="55" fillId="24" borderId="48" xfId="0" applyFont="1" applyFill="1" applyBorder="1"/>
    <xf numFmtId="0" fontId="67" fillId="24" borderId="57" xfId="2" applyFont="1" applyFill="1" applyBorder="1" applyAlignment="1">
      <alignment horizontal="center" vertical="center" wrapText="1"/>
    </xf>
    <xf numFmtId="49" fontId="67" fillId="24" borderId="57" xfId="2" applyNumberFormat="1" applyFont="1" applyFill="1" applyBorder="1" applyAlignment="1">
      <alignment horizontal="center" vertical="center" wrapText="1"/>
    </xf>
    <xf numFmtId="0" fontId="47" fillId="24" borderId="57" xfId="2" applyFont="1" applyFill="1" applyBorder="1" applyAlignment="1">
      <alignment horizontal="right" vertical="center" wrapText="1"/>
    </xf>
    <xf numFmtId="0" fontId="67" fillId="24" borderId="55" xfId="333" applyNumberFormat="1" applyFont="1" applyFill="1" applyBorder="1" applyAlignment="1">
      <alignment horizontal="center" vertical="center" wrapText="1"/>
    </xf>
    <xf numFmtId="49" fontId="47" fillId="24" borderId="31" xfId="336" applyNumberFormat="1" applyFont="1" applyFill="1" applyBorder="1" applyAlignment="1">
      <alignment horizontal="center" vertical="center" wrapText="1" readingOrder="2"/>
    </xf>
    <xf numFmtId="49" fontId="46" fillId="24" borderId="31" xfId="336" applyNumberFormat="1" applyFont="1" applyFill="1" applyBorder="1" applyAlignment="1">
      <alignment horizontal="center" vertical="center" wrapText="1" readingOrder="2"/>
    </xf>
    <xf numFmtId="168" fontId="67" fillId="24" borderId="31" xfId="336" applyNumberFormat="1" applyFont="1" applyFill="1" applyBorder="1" applyAlignment="1">
      <alignment horizontal="center" vertical="center" wrapText="1"/>
    </xf>
    <xf numFmtId="0" fontId="67" fillId="24" borderId="31" xfId="336" applyNumberFormat="1" applyFont="1" applyFill="1" applyBorder="1" applyAlignment="1">
      <alignment horizontal="center" vertical="center" wrapText="1"/>
    </xf>
    <xf numFmtId="0" fontId="47" fillId="24" borderId="15" xfId="201" quotePrefix="1" applyFont="1" applyFill="1" applyBorder="1" applyAlignment="1">
      <alignment horizontal="right" vertical="center" wrapText="1"/>
    </xf>
    <xf numFmtId="0" fontId="67" fillId="24" borderId="15" xfId="2" quotePrefix="1" applyFont="1" applyFill="1" applyBorder="1" applyAlignment="1">
      <alignment horizontal="center" vertical="center" wrapText="1" shrinkToFit="1"/>
    </xf>
    <xf numFmtId="0" fontId="67" fillId="24" borderId="30" xfId="2" quotePrefix="1" applyFont="1" applyFill="1" applyBorder="1" applyAlignment="1">
      <alignment horizontal="center" vertical="center" shrinkToFit="1"/>
    </xf>
    <xf numFmtId="0" fontId="47" fillId="24" borderId="15" xfId="0" applyFont="1" applyFill="1" applyBorder="1" applyAlignment="1">
      <alignment horizontal="right" vertical="center"/>
    </xf>
    <xf numFmtId="0" fontId="67" fillId="24" borderId="10" xfId="2" applyFont="1" applyFill="1" applyBorder="1" applyAlignment="1">
      <alignment horizontal="center" vertical="center" wrapText="1" shrinkToFit="1"/>
    </xf>
    <xf numFmtId="0" fontId="67" fillId="24" borderId="21" xfId="2" applyFont="1" applyFill="1" applyBorder="1" applyAlignment="1">
      <alignment horizontal="center" vertical="center" wrapText="1" shrinkToFit="1"/>
    </xf>
    <xf numFmtId="0" fontId="67" fillId="24" borderId="55" xfId="373" applyFont="1" applyFill="1" applyBorder="1" applyAlignment="1">
      <alignment horizontal="center" vertical="center" wrapText="1"/>
    </xf>
    <xf numFmtId="166" fontId="67" fillId="24" borderId="55" xfId="181" applyNumberFormat="1" applyFont="1" applyFill="1" applyBorder="1" applyAlignment="1">
      <alignment horizontal="center" vertical="center" wrapText="1"/>
    </xf>
    <xf numFmtId="1" fontId="47" fillId="24" borderId="16" xfId="0" applyNumberFormat="1" applyFont="1" applyFill="1" applyBorder="1" applyAlignment="1">
      <alignment horizontal="center" vertical="center" wrapText="1" readingOrder="2"/>
    </xf>
    <xf numFmtId="0" fontId="67" fillId="24" borderId="15" xfId="2" quotePrefix="1" applyFont="1" applyFill="1" applyBorder="1" applyAlignment="1">
      <alignment horizontal="center" vertical="center" wrapText="1"/>
    </xf>
    <xf numFmtId="1" fontId="47" fillId="24" borderId="50" xfId="0" applyNumberFormat="1" applyFont="1" applyFill="1" applyBorder="1" applyAlignment="1">
      <alignment horizontal="center" vertical="center" wrapText="1" readingOrder="2"/>
    </xf>
    <xf numFmtId="49" fontId="47" fillId="24" borderId="55" xfId="2" applyNumberFormat="1" applyFont="1" applyFill="1" applyBorder="1" applyAlignment="1">
      <alignment horizontal="right" vertical="center" wrapText="1"/>
    </xf>
    <xf numFmtId="1" fontId="47" fillId="24" borderId="50" xfId="0" applyNumberFormat="1" applyFont="1" applyFill="1" applyBorder="1" applyAlignment="1">
      <alignment horizontal="center" vertical="center" wrapText="1" readingOrder="1"/>
    </xf>
    <xf numFmtId="0" fontId="67" fillId="24" borderId="57" xfId="2" quotePrefix="1" applyFont="1" applyFill="1" applyBorder="1" applyAlignment="1">
      <alignment horizontal="center" vertical="center" wrapText="1"/>
    </xf>
    <xf numFmtId="49" fontId="47" fillId="24" borderId="57" xfId="2" applyNumberFormat="1" applyFont="1" applyFill="1" applyBorder="1" applyAlignment="1">
      <alignment horizontal="right" vertical="center" wrapText="1"/>
    </xf>
    <xf numFmtId="0" fontId="67" fillId="24" borderId="57" xfId="2" applyFont="1" applyFill="1" applyBorder="1" applyAlignment="1">
      <alignment horizontal="center" vertical="center" wrapText="1" shrinkToFit="1"/>
    </xf>
    <xf numFmtId="0" fontId="67" fillId="24" borderId="63" xfId="2" applyFont="1" applyFill="1" applyBorder="1" applyAlignment="1">
      <alignment horizontal="center" vertical="center" shrinkToFit="1"/>
    </xf>
    <xf numFmtId="0" fontId="67" fillId="24" borderId="30" xfId="2" applyFont="1" applyFill="1" applyBorder="1" applyAlignment="1">
      <alignment horizontal="center" vertical="center" shrinkToFit="1"/>
    </xf>
    <xf numFmtId="0" fontId="67" fillId="24" borderId="55" xfId="0" applyFont="1" applyFill="1" applyBorder="1" applyAlignment="1">
      <alignment horizontal="center" vertical="center" readingOrder="1"/>
    </xf>
    <xf numFmtId="0" fontId="92" fillId="24" borderId="10" xfId="0" applyFont="1" applyFill="1" applyBorder="1" applyAlignment="1">
      <alignment horizontal="center" vertical="center"/>
    </xf>
    <xf numFmtId="49" fontId="90" fillId="24" borderId="15" xfId="63" applyNumberFormat="1" applyFont="1" applyFill="1" applyBorder="1" applyAlignment="1">
      <alignment horizontal="center" vertical="center" wrapText="1" shrinkToFit="1"/>
    </xf>
    <xf numFmtId="49" fontId="89" fillId="24" borderId="15" xfId="63" applyNumberFormat="1" applyFont="1" applyFill="1" applyBorder="1" applyAlignment="1">
      <alignment horizontal="right" vertical="center" wrapText="1" shrinkToFit="1"/>
    </xf>
    <xf numFmtId="0" fontId="67" fillId="24" borderId="37" xfId="2" applyFont="1" applyFill="1" applyBorder="1" applyAlignment="1">
      <alignment horizontal="center" vertical="center" shrinkToFit="1"/>
    </xf>
    <xf numFmtId="0" fontId="67" fillId="24" borderId="0" xfId="1" applyFont="1" applyFill="1" applyAlignment="1">
      <alignment horizontal="center" vertical="center" wrapText="1"/>
    </xf>
    <xf numFmtId="0" fontId="47" fillId="24" borderId="0" xfId="0" applyFont="1" applyFill="1" applyAlignment="1">
      <alignment horizontal="right" vertical="center"/>
    </xf>
    <xf numFmtId="0" fontId="67" fillId="24" borderId="0" xfId="0" applyFont="1" applyFill="1" applyAlignment="1">
      <alignment horizontal="center" vertical="top"/>
    </xf>
    <xf numFmtId="0" fontId="93" fillId="24" borderId="0" xfId="0" applyFont="1" applyFill="1" applyAlignment="1">
      <alignment horizontal="center" vertical="center"/>
    </xf>
    <xf numFmtId="0" fontId="55" fillId="24" borderId="0" xfId="0" applyFont="1" applyFill="1" applyAlignment="1">
      <alignment vertical="top"/>
    </xf>
    <xf numFmtId="0" fontId="93" fillId="24" borderId="0" xfId="2" applyFont="1" applyFill="1" applyAlignment="1">
      <alignment horizontal="center" vertical="center" wrapText="1" shrinkToFit="1"/>
    </xf>
    <xf numFmtId="0" fontId="93" fillId="24" borderId="0" xfId="174" applyFont="1" applyFill="1" applyAlignment="1">
      <alignment horizontal="center" vertical="center" wrapText="1"/>
    </xf>
    <xf numFmtId="168" fontId="67" fillId="24" borderId="0" xfId="0" applyNumberFormat="1" applyFont="1" applyFill="1" applyAlignment="1">
      <alignment horizontal="center"/>
    </xf>
    <xf numFmtId="0" fontId="55" fillId="24" borderId="17" xfId="0" applyFont="1" applyFill="1" applyBorder="1" applyAlignment="1">
      <alignment horizontal="center"/>
    </xf>
    <xf numFmtId="0" fontId="67" fillId="24" borderId="0" xfId="0" applyFont="1" applyFill="1" applyAlignment="1">
      <alignment horizontal="center" readingOrder="2"/>
    </xf>
    <xf numFmtId="0" fontId="47" fillId="24" borderId="0" xfId="0" applyFont="1" applyFill="1" applyAlignment="1">
      <alignment horizontal="right"/>
    </xf>
    <xf numFmtId="0" fontId="32" fillId="24" borderId="75" xfId="344" applyFont="1" applyFill="1" applyBorder="1" applyAlignment="1">
      <alignment horizontal="center" vertical="center" wrapText="1"/>
    </xf>
    <xf numFmtId="0" fontId="44" fillId="24" borderId="75" xfId="372" applyFont="1" applyFill="1" applyBorder="1" applyAlignment="1">
      <alignment horizontal="center" vertical="center" wrapText="1" shrinkToFit="1" readingOrder="2"/>
    </xf>
    <xf numFmtId="0" fontId="32" fillId="24" borderId="75" xfId="1" applyFont="1" applyFill="1" applyBorder="1" applyAlignment="1">
      <alignment horizontal="center" vertical="center" wrapText="1"/>
    </xf>
    <xf numFmtId="0" fontId="73" fillId="24" borderId="75" xfId="376" applyFont="1" applyFill="1" applyBorder="1" applyAlignment="1">
      <alignment horizontal="center" vertical="center" wrapText="1"/>
    </xf>
    <xf numFmtId="0" fontId="44" fillId="24" borderId="75" xfId="376" applyFont="1" applyFill="1" applyBorder="1" applyAlignment="1">
      <alignment horizontal="center" vertical="center" wrapText="1"/>
    </xf>
    <xf numFmtId="0" fontId="55" fillId="24" borderId="75" xfId="0" applyFont="1" applyFill="1" applyBorder="1" applyAlignment="1">
      <alignment horizontal="center"/>
    </xf>
    <xf numFmtId="0" fontId="55" fillId="24" borderId="75" xfId="0" applyFont="1" applyFill="1" applyBorder="1" applyAlignment="1">
      <alignment horizontal="center" vertical="center"/>
    </xf>
    <xf numFmtId="0" fontId="44" fillId="24" borderId="75" xfId="0" applyFont="1" applyFill="1" applyBorder="1" applyAlignment="1">
      <alignment horizontal="center" vertical="center"/>
    </xf>
    <xf numFmtId="0" fontId="73" fillId="24" borderId="75" xfId="376" applyFont="1" applyFill="1" applyBorder="1" applyAlignment="1">
      <alignment horizontal="center" vertical="center"/>
    </xf>
    <xf numFmtId="49" fontId="32" fillId="24" borderId="75" xfId="2" applyNumberFormat="1" applyFont="1" applyFill="1" applyBorder="1" applyAlignment="1">
      <alignment horizontal="center" vertical="center" wrapText="1"/>
    </xf>
    <xf numFmtId="0" fontId="44" fillId="24" borderId="75" xfId="2" quotePrefix="1" applyFont="1" applyFill="1" applyBorder="1" applyAlignment="1">
      <alignment horizontal="center" vertical="center" wrapText="1"/>
    </xf>
    <xf numFmtId="0" fontId="32" fillId="24" borderId="75" xfId="0" applyFont="1" applyFill="1" applyBorder="1" applyAlignment="1">
      <alignment horizontal="center" vertical="center" wrapText="1" shrinkToFit="1"/>
    </xf>
    <xf numFmtId="49" fontId="47" fillId="24" borderId="75" xfId="1" applyNumberFormat="1" applyFont="1" applyFill="1" applyBorder="1" applyAlignment="1">
      <alignment horizontal="center" vertical="center" wrapText="1" readingOrder="2"/>
    </xf>
    <xf numFmtId="49" fontId="46" fillId="24" borderId="75" xfId="1" applyNumberFormat="1" applyFont="1" applyFill="1" applyBorder="1" applyAlignment="1">
      <alignment horizontal="center" vertical="center" wrapText="1" readingOrder="2"/>
    </xf>
    <xf numFmtId="49" fontId="32" fillId="24" borderId="75" xfId="1" applyNumberFormat="1" applyFont="1" applyFill="1" applyBorder="1" applyAlignment="1">
      <alignment horizontal="center" vertical="center" wrapText="1"/>
    </xf>
    <xf numFmtId="0" fontId="32" fillId="24" borderId="75" xfId="372" applyFont="1" applyFill="1" applyBorder="1" applyAlignment="1">
      <alignment horizontal="center" vertical="center" wrapText="1" shrinkToFit="1"/>
    </xf>
    <xf numFmtId="0" fontId="47" fillId="24" borderId="75" xfId="0" applyFont="1" applyFill="1" applyBorder="1" applyAlignment="1">
      <alignment horizontal="center" vertical="center" wrapText="1"/>
    </xf>
    <xf numFmtId="0" fontId="32" fillId="24" borderId="31" xfId="339" applyNumberFormat="1" applyFont="1" applyFill="1" applyBorder="1" applyAlignment="1">
      <alignment horizontal="center" vertical="center" wrapText="1" shrinkToFit="1"/>
    </xf>
    <xf numFmtId="0" fontId="72" fillId="24" borderId="62" xfId="0" applyFont="1" applyFill="1" applyBorder="1" applyAlignment="1">
      <alignment horizontal="center" vertical="center" wrapText="1" readingOrder="2"/>
    </xf>
    <xf numFmtId="0" fontId="73" fillId="24" borderId="75" xfId="1" applyFont="1" applyFill="1" applyBorder="1" applyAlignment="1">
      <alignment horizontal="center" vertical="center" wrapText="1"/>
    </xf>
    <xf numFmtId="0" fontId="74" fillId="24" borderId="75" xfId="376" applyFont="1" applyFill="1" applyBorder="1" applyAlignment="1">
      <alignment horizontal="center" vertical="center" wrapText="1"/>
    </xf>
    <xf numFmtId="0" fontId="44" fillId="24" borderId="75" xfId="2" applyFont="1" applyFill="1" applyBorder="1" applyAlignment="1">
      <alignment horizontal="center" vertical="center" wrapText="1"/>
    </xf>
    <xf numFmtId="0" fontId="73" fillId="24" borderId="75" xfId="1" applyFont="1" applyFill="1" applyBorder="1" applyAlignment="1">
      <alignment horizontal="center" vertical="center"/>
    </xf>
    <xf numFmtId="0" fontId="44" fillId="24" borderId="75" xfId="0" applyFont="1" applyFill="1" applyBorder="1" applyAlignment="1">
      <alignment horizontal="center" vertical="center" wrapText="1"/>
    </xf>
    <xf numFmtId="0" fontId="32" fillId="24" borderId="75" xfId="336" applyNumberFormat="1" applyFont="1" applyFill="1" applyBorder="1" applyAlignment="1">
      <alignment horizontal="center" vertical="center" wrapText="1" shrinkToFit="1"/>
    </xf>
    <xf numFmtId="0" fontId="32" fillId="24" borderId="75" xfId="359" applyNumberFormat="1" applyFont="1" applyFill="1" applyBorder="1" applyAlignment="1">
      <alignment horizontal="center" vertical="center" wrapText="1" shrinkToFit="1"/>
    </xf>
    <xf numFmtId="0" fontId="44" fillId="24" borderId="75" xfId="372" quotePrefix="1" applyFont="1" applyFill="1" applyBorder="1" applyAlignment="1">
      <alignment horizontal="center" vertical="center" wrapText="1" shrinkToFit="1" readingOrder="2"/>
    </xf>
    <xf numFmtId="0" fontId="32" fillId="24" borderId="75" xfId="1" quotePrefix="1" applyFont="1" applyFill="1" applyBorder="1" applyAlignment="1">
      <alignment horizontal="center" vertical="center" wrapText="1"/>
    </xf>
    <xf numFmtId="0" fontId="59" fillId="24" borderId="75" xfId="0" applyFont="1" applyFill="1" applyBorder="1" applyAlignment="1">
      <alignment horizontal="center" vertical="center" wrapText="1"/>
    </xf>
    <xf numFmtId="0" fontId="32" fillId="24" borderId="75" xfId="163" applyFont="1" applyFill="1" applyBorder="1" applyAlignment="1">
      <alignment horizontal="center" vertical="center" wrapText="1"/>
    </xf>
    <xf numFmtId="0" fontId="73" fillId="24" borderId="75" xfId="377" applyFont="1" applyFill="1" applyBorder="1" applyAlignment="1">
      <alignment horizontal="center" vertical="center" wrapText="1"/>
    </xf>
    <xf numFmtId="0" fontId="44" fillId="24" borderId="75" xfId="377" applyFont="1" applyFill="1" applyBorder="1" applyAlignment="1">
      <alignment horizontal="center" vertical="center" wrapText="1"/>
    </xf>
    <xf numFmtId="0" fontId="73" fillId="24" borderId="75" xfId="376" applyFont="1" applyFill="1" applyBorder="1" applyAlignment="1">
      <alignment horizontal="center" vertical="center" wrapText="1" readingOrder="2"/>
    </xf>
    <xf numFmtId="0" fontId="32" fillId="24" borderId="75" xfId="174" applyFont="1" applyFill="1" applyBorder="1" applyAlignment="1">
      <alignment horizontal="center" vertical="center" wrapText="1"/>
    </xf>
    <xf numFmtId="0" fontId="44" fillId="24" borderId="75" xfId="1" applyFont="1" applyFill="1" applyBorder="1" applyAlignment="1">
      <alignment horizontal="center" vertical="center" wrapText="1"/>
    </xf>
    <xf numFmtId="0" fontId="32" fillId="24" borderId="75" xfId="366" applyNumberFormat="1" applyFont="1" applyFill="1" applyBorder="1" applyAlignment="1">
      <alignment horizontal="center" vertical="center" wrapText="1" shrinkToFit="1"/>
    </xf>
    <xf numFmtId="0" fontId="32" fillId="24" borderId="75" xfId="376" applyFont="1" applyFill="1" applyBorder="1" applyAlignment="1">
      <alignment horizontal="center" vertical="center"/>
    </xf>
    <xf numFmtId="0" fontId="32" fillId="24" borderId="75" xfId="245" applyFont="1" applyFill="1" applyBorder="1" applyAlignment="1">
      <alignment horizontal="center" vertical="center" shrinkToFit="1"/>
    </xf>
    <xf numFmtId="165" fontId="32" fillId="24" borderId="75" xfId="0" applyNumberFormat="1" applyFont="1" applyFill="1" applyBorder="1" applyAlignment="1">
      <alignment horizontal="center" vertical="center" wrapText="1"/>
    </xf>
    <xf numFmtId="165" fontId="32" fillId="24" borderId="75" xfId="0" applyNumberFormat="1" applyFont="1" applyFill="1" applyBorder="1" applyAlignment="1">
      <alignment horizontal="center" vertical="center" wrapText="1" shrinkToFit="1"/>
    </xf>
    <xf numFmtId="0" fontId="32" fillId="24" borderId="75" xfId="362" applyNumberFormat="1" applyFont="1" applyFill="1" applyBorder="1" applyAlignment="1">
      <alignment horizontal="center" vertical="center" wrapText="1"/>
    </xf>
    <xf numFmtId="0" fontId="32" fillId="24" borderId="75" xfId="362" applyNumberFormat="1" applyFont="1" applyFill="1" applyBorder="1" applyAlignment="1">
      <alignment horizontal="center" vertical="center" wrapText="1" shrinkToFit="1"/>
    </xf>
    <xf numFmtId="0" fontId="32" fillId="24" borderId="75" xfId="201" applyFont="1" applyFill="1" applyBorder="1" applyAlignment="1">
      <alignment horizontal="center" vertical="center" wrapText="1"/>
    </xf>
    <xf numFmtId="0" fontId="32" fillId="24" borderId="75" xfId="62" applyFont="1" applyFill="1" applyBorder="1" applyAlignment="1">
      <alignment horizontal="center" vertical="center" wrapText="1" shrinkToFit="1"/>
    </xf>
    <xf numFmtId="0" fontId="32" fillId="24" borderId="75" xfId="339" applyNumberFormat="1" applyFont="1" applyFill="1" applyBorder="1" applyAlignment="1">
      <alignment horizontal="center" vertical="center" wrapText="1" shrinkToFit="1"/>
    </xf>
    <xf numFmtId="0" fontId="32" fillId="24" borderId="75" xfId="0" applyFont="1" applyFill="1" applyBorder="1" applyAlignment="1">
      <alignment horizontal="center" vertical="center" wrapText="1"/>
    </xf>
    <xf numFmtId="0" fontId="32" fillId="24" borderId="75" xfId="93" applyFont="1" applyFill="1" applyBorder="1" applyAlignment="1">
      <alignment horizontal="center" vertical="center" wrapText="1"/>
    </xf>
    <xf numFmtId="49" fontId="32" fillId="24" borderId="75" xfId="0" applyNumberFormat="1" applyFont="1" applyFill="1" applyBorder="1" applyAlignment="1">
      <alignment horizontal="center" vertical="center" wrapText="1"/>
    </xf>
    <xf numFmtId="0" fontId="32" fillId="24" borderId="75" xfId="174" applyFont="1" applyFill="1" applyBorder="1" applyAlignment="1">
      <alignment horizontal="center" vertical="center" wrapText="1" shrinkToFit="1"/>
    </xf>
    <xf numFmtId="0" fontId="32" fillId="24" borderId="75" xfId="1" applyFont="1" applyFill="1" applyBorder="1" applyAlignment="1">
      <alignment horizontal="center" vertical="center"/>
    </xf>
    <xf numFmtId="0" fontId="55" fillId="24" borderId="75" xfId="0" applyFont="1" applyFill="1" applyBorder="1" applyAlignment="1">
      <alignment horizontal="center" wrapText="1"/>
    </xf>
    <xf numFmtId="0" fontId="32" fillId="24" borderId="75" xfId="344" applyFont="1" applyFill="1" applyBorder="1" applyAlignment="1">
      <alignment horizontal="center" vertical="center" wrapText="1" shrinkToFit="1"/>
    </xf>
    <xf numFmtId="0" fontId="32" fillId="24" borderId="75" xfId="344" quotePrefix="1" applyFont="1" applyFill="1" applyBorder="1" applyAlignment="1">
      <alignment horizontal="center" vertical="center" wrapText="1"/>
    </xf>
    <xf numFmtId="0" fontId="55" fillId="24" borderId="75" xfId="0" applyFont="1" applyFill="1" applyBorder="1" applyAlignment="1">
      <alignment horizontal="center" vertical="center" wrapText="1"/>
    </xf>
    <xf numFmtId="0" fontId="44" fillId="24" borderId="75" xfId="376" applyFont="1" applyFill="1" applyBorder="1" applyAlignment="1">
      <alignment horizontal="center" vertical="center"/>
    </xf>
    <xf numFmtId="0" fontId="73" fillId="24" borderId="75" xfId="0" applyFont="1" applyFill="1" applyBorder="1" applyAlignment="1">
      <alignment horizontal="center" vertical="center"/>
    </xf>
    <xf numFmtId="49" fontId="32" fillId="24" borderId="75" xfId="62" applyNumberFormat="1" applyFont="1" applyFill="1" applyBorder="1" applyAlignment="1">
      <alignment horizontal="center" vertical="center" wrapText="1" shrinkToFit="1"/>
    </xf>
    <xf numFmtId="0" fontId="32" fillId="24" borderId="75" xfId="344" applyFont="1" applyFill="1" applyBorder="1" applyAlignment="1">
      <alignment horizontal="center" vertical="center"/>
    </xf>
    <xf numFmtId="0" fontId="32" fillId="24" borderId="75" xfId="361" applyNumberFormat="1" applyFont="1" applyFill="1" applyBorder="1" applyAlignment="1">
      <alignment horizontal="center" vertical="center" wrapText="1" shrinkToFit="1"/>
    </xf>
    <xf numFmtId="0" fontId="32" fillId="24" borderId="75" xfId="0" applyFont="1" applyFill="1" applyBorder="1" applyAlignment="1">
      <alignment horizontal="center" vertical="center"/>
    </xf>
    <xf numFmtId="0" fontId="44" fillId="24" borderId="75" xfId="1" applyFont="1" applyFill="1" applyBorder="1" applyAlignment="1">
      <alignment horizontal="center" vertical="center"/>
    </xf>
    <xf numFmtId="0" fontId="58" fillId="24" borderId="75" xfId="0" applyFont="1" applyFill="1" applyBorder="1" applyAlignment="1">
      <alignment horizontal="center" vertical="center"/>
    </xf>
    <xf numFmtId="0" fontId="32" fillId="24" borderId="75" xfId="2" applyFont="1" applyFill="1" applyBorder="1" applyAlignment="1">
      <alignment horizontal="center" vertical="center" wrapText="1" shrinkToFit="1"/>
    </xf>
    <xf numFmtId="0" fontId="47" fillId="24" borderId="75" xfId="372" applyFont="1" applyFill="1" applyBorder="1" applyAlignment="1">
      <alignment horizontal="right" vertical="center" wrapText="1" shrinkToFit="1" readingOrder="2"/>
    </xf>
    <xf numFmtId="0" fontId="56" fillId="24" borderId="75" xfId="1" applyFont="1" applyFill="1" applyBorder="1" applyAlignment="1">
      <alignment horizontal="center" vertical="center" wrapText="1"/>
    </xf>
    <xf numFmtId="49" fontId="32" fillId="24" borderId="75" xfId="63" applyNumberFormat="1" applyFont="1" applyFill="1" applyBorder="1" applyAlignment="1">
      <alignment horizontal="center" vertical="center" wrapText="1" shrinkToFit="1"/>
    </xf>
    <xf numFmtId="49" fontId="32" fillId="24" borderId="75" xfId="330" applyNumberFormat="1" applyFont="1" applyFill="1" applyBorder="1" applyAlignment="1">
      <alignment horizontal="center" vertical="center" wrapText="1"/>
    </xf>
    <xf numFmtId="0" fontId="32" fillId="24" borderId="75" xfId="341" applyFont="1" applyFill="1" applyBorder="1" applyAlignment="1">
      <alignment horizontal="center" vertical="center" wrapText="1"/>
    </xf>
    <xf numFmtId="0" fontId="32" fillId="24" borderId="75" xfId="122" applyFont="1" applyFill="1" applyBorder="1" applyAlignment="1">
      <alignment horizontal="center" vertical="center" wrapText="1"/>
    </xf>
    <xf numFmtId="0" fontId="44" fillId="24" borderId="75" xfId="0" applyFont="1" applyFill="1" applyBorder="1" applyAlignment="1">
      <alignment horizontal="center" vertical="center" wrapText="1" readingOrder="2"/>
    </xf>
    <xf numFmtId="0" fontId="32" fillId="24" borderId="75" xfId="333" applyNumberFormat="1" applyFont="1" applyFill="1" applyBorder="1" applyAlignment="1">
      <alignment horizontal="center" vertical="center" shrinkToFit="1"/>
    </xf>
    <xf numFmtId="0" fontId="48" fillId="24" borderId="75" xfId="372" applyFont="1" applyFill="1" applyBorder="1" applyAlignment="1">
      <alignment horizontal="center" vertical="center" wrapText="1" shrinkToFit="1" readingOrder="2"/>
    </xf>
    <xf numFmtId="0" fontId="73" fillId="24" borderId="75" xfId="380" applyFont="1" applyFill="1" applyBorder="1" applyAlignment="1">
      <alignment horizontal="center" vertical="center" wrapText="1"/>
    </xf>
    <xf numFmtId="0" fontId="44" fillId="24" borderId="75" xfId="380" applyFont="1" applyFill="1" applyBorder="1" applyAlignment="1">
      <alignment horizontal="center" vertical="center" wrapText="1"/>
    </xf>
    <xf numFmtId="0" fontId="32" fillId="24" borderId="75" xfId="2" applyFont="1" applyFill="1" applyBorder="1" applyAlignment="1">
      <alignment horizontal="center" vertical="center" wrapText="1"/>
    </xf>
    <xf numFmtId="9" fontId="44" fillId="24" borderId="75" xfId="381" applyFont="1" applyFill="1" applyBorder="1" applyAlignment="1">
      <alignment horizontal="center" vertical="center" wrapText="1"/>
    </xf>
    <xf numFmtId="9" fontId="73" fillId="24" borderId="75" xfId="381" applyFont="1" applyFill="1" applyBorder="1" applyAlignment="1">
      <alignment horizontal="center" vertical="center" wrapText="1"/>
    </xf>
    <xf numFmtId="1" fontId="73" fillId="24" borderId="75" xfId="381" applyNumberFormat="1" applyFont="1" applyFill="1" applyBorder="1" applyAlignment="1">
      <alignment horizontal="center" vertical="center" wrapText="1"/>
    </xf>
    <xf numFmtId="168" fontId="32" fillId="24" borderId="75" xfId="1" applyNumberFormat="1" applyFont="1" applyFill="1" applyBorder="1" applyAlignment="1">
      <alignment horizontal="center" vertical="center" wrapText="1"/>
    </xf>
    <xf numFmtId="0" fontId="58" fillId="24" borderId="75" xfId="1" applyFont="1" applyFill="1" applyBorder="1" applyAlignment="1">
      <alignment horizontal="center" vertical="center"/>
    </xf>
    <xf numFmtId="49" fontId="32" fillId="24" borderId="75" xfId="336" applyNumberFormat="1" applyFont="1" applyFill="1" applyBorder="1" applyAlignment="1">
      <alignment horizontal="center" vertical="center" wrapText="1" shrinkToFit="1"/>
    </xf>
    <xf numFmtId="0" fontId="77" fillId="24" borderId="75" xfId="0" applyFont="1" applyFill="1" applyBorder="1" applyAlignment="1">
      <alignment horizontal="center" vertical="center"/>
    </xf>
    <xf numFmtId="0" fontId="73" fillId="24" borderId="75" xfId="378" applyFont="1" applyFill="1" applyBorder="1" applyAlignment="1">
      <alignment horizontal="center" vertical="center" wrapText="1"/>
    </xf>
    <xf numFmtId="0" fontId="44" fillId="24" borderId="75" xfId="378" applyFont="1" applyFill="1" applyBorder="1" applyAlignment="1">
      <alignment horizontal="center" vertical="center" wrapText="1"/>
    </xf>
    <xf numFmtId="0" fontId="73" fillId="24" borderId="75" xfId="378" applyFont="1" applyFill="1" applyBorder="1" applyAlignment="1">
      <alignment horizontal="center" vertical="center" wrapText="1" readingOrder="2"/>
    </xf>
    <xf numFmtId="0" fontId="73" fillId="24" borderId="75" xfId="379" applyFont="1" applyFill="1" applyBorder="1" applyAlignment="1">
      <alignment horizontal="center" vertical="center"/>
    </xf>
    <xf numFmtId="0" fontId="55" fillId="24" borderId="75" xfId="122" applyFont="1" applyFill="1" applyBorder="1" applyAlignment="1">
      <alignment horizontal="center" vertical="center" wrapText="1"/>
    </xf>
    <xf numFmtId="0" fontId="32" fillId="24" borderId="75" xfId="1" applyFont="1" applyFill="1" applyBorder="1" applyAlignment="1">
      <alignment horizontal="left" vertical="center" wrapText="1"/>
    </xf>
    <xf numFmtId="0" fontId="44" fillId="24" borderId="75" xfId="372" applyFont="1" applyFill="1" applyBorder="1" applyAlignment="1">
      <alignment horizontal="right" vertical="center" wrapText="1" shrinkToFit="1" readingOrder="2"/>
    </xf>
    <xf numFmtId="0" fontId="55" fillId="24" borderId="75" xfId="0" applyFont="1" applyFill="1" applyBorder="1"/>
    <xf numFmtId="0" fontId="32" fillId="24" borderId="75" xfId="0" applyFont="1" applyFill="1" applyBorder="1" applyAlignment="1">
      <alignment horizontal="left" vertical="center" wrapText="1"/>
    </xf>
    <xf numFmtId="0" fontId="73" fillId="24" borderId="75" xfId="379" applyFont="1" applyFill="1" applyBorder="1" applyAlignment="1">
      <alignment horizontal="center" vertical="center" wrapText="1"/>
    </xf>
    <xf numFmtId="0" fontId="32" fillId="24" borderId="75" xfId="366" applyNumberFormat="1" applyFont="1" applyFill="1" applyBorder="1" applyAlignment="1">
      <alignment horizontal="left" vertical="center" wrapText="1" shrinkToFit="1"/>
    </xf>
    <xf numFmtId="49" fontId="32" fillId="24" borderId="75" xfId="2" applyNumberFormat="1" applyFont="1" applyFill="1" applyBorder="1" applyAlignment="1">
      <alignment horizontal="left" vertical="center" wrapText="1"/>
    </xf>
    <xf numFmtId="0" fontId="32" fillId="24" borderId="75" xfId="344" applyFont="1" applyFill="1" applyBorder="1" applyAlignment="1">
      <alignment horizontal="left" vertical="center" wrapText="1"/>
    </xf>
    <xf numFmtId="0" fontId="32" fillId="24" borderId="75" xfId="1" quotePrefix="1" applyFont="1" applyFill="1" applyBorder="1" applyAlignment="1">
      <alignment horizontal="left" vertical="center" wrapText="1"/>
    </xf>
    <xf numFmtId="0" fontId="44" fillId="24" borderId="75" xfId="372" quotePrefix="1" applyFont="1" applyFill="1" applyBorder="1" applyAlignment="1">
      <alignment horizontal="right" vertical="center" wrapText="1" shrinkToFit="1" readingOrder="2"/>
    </xf>
    <xf numFmtId="0" fontId="44" fillId="24" borderId="75" xfId="2" applyFont="1" applyFill="1" applyBorder="1" applyAlignment="1">
      <alignment horizontal="right" vertical="center" wrapText="1" readingOrder="2"/>
    </xf>
    <xf numFmtId="0" fontId="50" fillId="24" borderId="75" xfId="2" applyFont="1" applyFill="1" applyBorder="1" applyAlignment="1">
      <alignment horizontal="center" vertical="center" wrapText="1" shrinkToFit="1"/>
    </xf>
    <xf numFmtId="0" fontId="44" fillId="24" borderId="75" xfId="2" quotePrefix="1" applyFont="1" applyFill="1" applyBorder="1" applyAlignment="1">
      <alignment horizontal="right" vertical="center" wrapText="1" readingOrder="2"/>
    </xf>
    <xf numFmtId="0" fontId="50" fillId="24" borderId="75" xfId="1" applyFont="1" applyFill="1" applyBorder="1" applyAlignment="1">
      <alignment horizontal="center" vertical="center" wrapText="1"/>
    </xf>
    <xf numFmtId="0" fontId="32" fillId="24" borderId="75" xfId="344" applyFont="1" applyFill="1" applyBorder="1" applyAlignment="1">
      <alignment horizontal="left" vertical="center" wrapText="1" shrinkToFit="1"/>
    </xf>
    <xf numFmtId="0" fontId="44" fillId="24" borderId="75" xfId="2" applyFont="1" applyFill="1" applyBorder="1" applyAlignment="1">
      <alignment horizontal="right" vertical="center" wrapText="1"/>
    </xf>
    <xf numFmtId="0" fontId="32" fillId="24" borderId="75" xfId="333" applyNumberFormat="1" applyFont="1" applyFill="1" applyBorder="1" applyAlignment="1">
      <alignment horizontal="left" vertical="center" wrapText="1" shrinkToFit="1"/>
    </xf>
    <xf numFmtId="0" fontId="32" fillId="24" borderId="75" xfId="362" applyNumberFormat="1" applyFont="1" applyFill="1" applyBorder="1" applyAlignment="1">
      <alignment horizontal="left" vertical="center" wrapText="1"/>
    </xf>
    <xf numFmtId="0" fontId="32" fillId="24" borderId="75" xfId="2" applyFont="1" applyFill="1" applyBorder="1" applyAlignment="1">
      <alignment horizontal="left" vertical="center" wrapText="1"/>
    </xf>
    <xf numFmtId="0" fontId="44" fillId="24" borderId="75" xfId="174" applyFont="1" applyFill="1" applyBorder="1" applyAlignment="1">
      <alignment horizontal="right" vertical="center" wrapText="1"/>
    </xf>
    <xf numFmtId="168" fontId="32" fillId="24" borderId="75" xfId="0" applyNumberFormat="1" applyFont="1" applyFill="1" applyBorder="1" applyAlignment="1">
      <alignment horizontal="center" vertical="center"/>
    </xf>
    <xf numFmtId="0" fontId="32" fillId="24" borderId="75" xfId="0" applyFont="1" applyFill="1" applyBorder="1" applyAlignment="1">
      <alignment horizontal="left" vertical="center" wrapText="1" shrinkToFit="1"/>
    </xf>
    <xf numFmtId="0" fontId="44" fillId="24" borderId="75" xfId="201" applyFont="1" applyFill="1" applyBorder="1" applyAlignment="1">
      <alignment horizontal="right" vertical="center" wrapText="1"/>
    </xf>
    <xf numFmtId="0" fontId="32" fillId="24" borderId="75" xfId="0" applyFont="1" applyFill="1" applyBorder="1" applyAlignment="1">
      <alignment vertical="center" wrapText="1"/>
    </xf>
    <xf numFmtId="49" fontId="47" fillId="24" borderId="75" xfId="336" applyNumberFormat="1" applyFont="1" applyFill="1" applyBorder="1" applyAlignment="1">
      <alignment horizontal="center" vertical="center" wrapText="1" readingOrder="2"/>
    </xf>
    <xf numFmtId="49" fontId="46" fillId="24" borderId="75" xfId="336" applyNumberFormat="1" applyFont="1" applyFill="1" applyBorder="1" applyAlignment="1">
      <alignment horizontal="center" vertical="center" wrapText="1" readingOrder="2"/>
    </xf>
    <xf numFmtId="0" fontId="32" fillId="24" borderId="75" xfId="375" applyFont="1" applyFill="1" applyBorder="1" applyAlignment="1">
      <alignment horizontal="center" vertical="center" wrapText="1" shrinkToFit="1"/>
    </xf>
    <xf numFmtId="0" fontId="47" fillId="24" borderId="75" xfId="0" applyFont="1" applyFill="1" applyBorder="1" applyAlignment="1">
      <alignment horizontal="center" vertical="center"/>
    </xf>
    <xf numFmtId="0" fontId="78" fillId="24" borderId="75" xfId="0" applyFont="1" applyFill="1" applyBorder="1" applyAlignment="1">
      <alignment horizontal="center" vertical="center"/>
    </xf>
    <xf numFmtId="0" fontId="73" fillId="24" borderId="75" xfId="0" applyFont="1" applyFill="1" applyBorder="1" applyAlignment="1">
      <alignment horizontal="center" vertical="center" wrapText="1"/>
    </xf>
    <xf numFmtId="0" fontId="32" fillId="24" borderId="75" xfId="201" quotePrefix="1" applyFont="1" applyFill="1" applyBorder="1" applyAlignment="1">
      <alignment horizontal="center" vertical="center" wrapText="1"/>
    </xf>
    <xf numFmtId="49" fontId="32" fillId="24" borderId="75" xfId="108" applyNumberFormat="1" applyFont="1" applyFill="1" applyBorder="1" applyAlignment="1">
      <alignment horizontal="center" vertical="center" wrapText="1" shrinkToFit="1"/>
    </xf>
    <xf numFmtId="0" fontId="32" fillId="24" borderId="75" xfId="368" applyNumberFormat="1" applyFont="1" applyFill="1" applyBorder="1" applyAlignment="1">
      <alignment horizontal="center" vertical="center" wrapText="1"/>
    </xf>
    <xf numFmtId="0" fontId="32" fillId="24" borderId="75" xfId="0" quotePrefix="1" applyFont="1" applyFill="1" applyBorder="1" applyAlignment="1">
      <alignment horizontal="center" vertical="center" wrapText="1"/>
    </xf>
    <xf numFmtId="1" fontId="47" fillId="24" borderId="75" xfId="336" applyNumberFormat="1" applyFont="1" applyFill="1" applyBorder="1" applyAlignment="1">
      <alignment horizontal="center" vertical="center" wrapText="1" readingOrder="2"/>
    </xf>
    <xf numFmtId="1" fontId="46" fillId="24" borderId="75" xfId="336" applyNumberFormat="1" applyFont="1" applyFill="1" applyBorder="1" applyAlignment="1">
      <alignment horizontal="center" vertical="center" wrapText="1" readingOrder="2"/>
    </xf>
    <xf numFmtId="0" fontId="73" fillId="24" borderId="75" xfId="0" applyFont="1" applyFill="1" applyBorder="1" applyAlignment="1">
      <alignment horizontal="left" vertical="center"/>
    </xf>
    <xf numFmtId="1" fontId="47" fillId="24" borderId="75" xfId="0" applyNumberFormat="1" applyFont="1" applyFill="1" applyBorder="1" applyAlignment="1">
      <alignment horizontal="center" vertical="center" wrapText="1" readingOrder="1"/>
    </xf>
    <xf numFmtId="0" fontId="32" fillId="24" borderId="15" xfId="344" applyFont="1" applyFill="1" applyBorder="1" applyAlignment="1">
      <alignment horizontal="left" vertical="center" wrapText="1" shrinkToFit="1"/>
    </xf>
    <xf numFmtId="0" fontId="44" fillId="24" borderId="15" xfId="2" applyFont="1" applyFill="1" applyBorder="1" applyAlignment="1">
      <alignment horizontal="right" vertical="center" wrapText="1" readingOrder="2"/>
    </xf>
    <xf numFmtId="0" fontId="50" fillId="24" borderId="15" xfId="2" applyFont="1" applyFill="1" applyBorder="1" applyAlignment="1">
      <alignment horizontal="center" vertical="center" wrapText="1" shrinkToFit="1"/>
    </xf>
    <xf numFmtId="0" fontId="32" fillId="24" borderId="15" xfId="2" applyFont="1" applyFill="1" applyBorder="1" applyAlignment="1">
      <alignment horizontal="center" vertical="center" wrapText="1"/>
    </xf>
    <xf numFmtId="49" fontId="32" fillId="24" borderId="31" xfId="62" applyNumberFormat="1" applyFont="1" applyFill="1" applyBorder="1" applyAlignment="1">
      <alignment horizontal="center" vertical="center" wrapText="1" shrinkToFit="1"/>
    </xf>
    <xf numFmtId="0" fontId="32" fillId="24" borderId="31" xfId="0" applyFont="1" applyFill="1" applyBorder="1" applyAlignment="1">
      <alignment horizontal="center" vertical="center"/>
    </xf>
    <xf numFmtId="0" fontId="58" fillId="24" borderId="31" xfId="1" applyFont="1" applyFill="1" applyBorder="1" applyAlignment="1">
      <alignment horizontal="center" vertical="center"/>
    </xf>
    <xf numFmtId="49" fontId="32" fillId="24" borderId="31" xfId="201" applyNumberFormat="1" applyFont="1" applyFill="1" applyBorder="1" applyAlignment="1">
      <alignment horizontal="center" vertical="center" wrapText="1"/>
    </xf>
    <xf numFmtId="0" fontId="54" fillId="24" borderId="15" xfId="0" applyFont="1" applyFill="1" applyBorder="1" applyAlignment="1">
      <alignment horizontal="center" vertical="center" wrapText="1"/>
    </xf>
    <xf numFmtId="0" fontId="45" fillId="24" borderId="15" xfId="0" applyFont="1" applyFill="1" applyBorder="1" applyAlignment="1">
      <alignment horizontal="center" vertical="center" wrapText="1"/>
    </xf>
    <xf numFmtId="49" fontId="32" fillId="24" borderId="15" xfId="63" applyNumberFormat="1" applyFont="1" applyFill="1" applyBorder="1" applyAlignment="1">
      <alignment horizontal="center" vertical="center" wrapText="1" shrinkToFit="1"/>
    </xf>
    <xf numFmtId="0" fontId="32" fillId="24" borderId="15" xfId="362" applyNumberFormat="1" applyFont="1" applyFill="1" applyBorder="1" applyAlignment="1">
      <alignment horizontal="center" vertical="center" wrapText="1"/>
    </xf>
    <xf numFmtId="0" fontId="32" fillId="24" borderId="15" xfId="372" quotePrefix="1" applyFont="1" applyFill="1" applyBorder="1" applyAlignment="1">
      <alignment horizontal="center" vertical="center" wrapText="1" shrinkToFit="1"/>
    </xf>
    <xf numFmtId="0" fontId="73" fillId="24" borderId="15" xfId="376" applyFont="1" applyFill="1" applyBorder="1" applyAlignment="1">
      <alignment horizontal="center" vertical="center" wrapText="1" readingOrder="2"/>
    </xf>
    <xf numFmtId="0" fontId="32" fillId="24" borderId="15" xfId="201" quotePrefix="1" applyFont="1" applyFill="1" applyBorder="1" applyAlignment="1">
      <alignment horizontal="center" vertical="center" wrapText="1"/>
    </xf>
    <xf numFmtId="0" fontId="55" fillId="24" borderId="76" xfId="0" applyFont="1" applyFill="1" applyBorder="1" applyAlignment="1">
      <alignment horizontal="center"/>
    </xf>
    <xf numFmtId="0" fontId="73" fillId="24" borderId="76" xfId="376" applyFont="1" applyFill="1" applyBorder="1" applyAlignment="1">
      <alignment horizontal="center" vertical="center" wrapText="1"/>
    </xf>
    <xf numFmtId="0" fontId="58" fillId="24" borderId="76" xfId="376" applyFont="1" applyFill="1" applyBorder="1" applyAlignment="1">
      <alignment horizontal="center" vertical="center" wrapText="1"/>
    </xf>
    <xf numFmtId="0" fontId="73" fillId="24" borderId="76" xfId="1" applyFont="1" applyFill="1" applyBorder="1" applyAlignment="1">
      <alignment horizontal="center" vertical="center"/>
    </xf>
    <xf numFmtId="0" fontId="73" fillId="24" borderId="76" xfId="376" applyFont="1" applyFill="1" applyBorder="1" applyAlignment="1">
      <alignment horizontal="center" vertical="center"/>
    </xf>
    <xf numFmtId="0" fontId="59" fillId="24" borderId="76" xfId="0" applyFont="1" applyFill="1" applyBorder="1" applyAlignment="1">
      <alignment horizontal="center" vertical="center" wrapText="1"/>
    </xf>
    <xf numFmtId="0" fontId="55" fillId="24" borderId="76" xfId="0" applyFont="1" applyFill="1" applyBorder="1" applyAlignment="1">
      <alignment horizontal="center" wrapText="1"/>
    </xf>
    <xf numFmtId="0" fontId="73" fillId="24" borderId="76" xfId="0" applyFont="1" applyFill="1" applyBorder="1" applyAlignment="1">
      <alignment horizontal="center" vertical="center"/>
    </xf>
    <xf numFmtId="0" fontId="73" fillId="24" borderId="76" xfId="380" applyFont="1" applyFill="1" applyBorder="1" applyAlignment="1">
      <alignment horizontal="center" vertical="center" wrapText="1"/>
    </xf>
    <xf numFmtId="0" fontId="55" fillId="24" borderId="76" xfId="0" applyFont="1" applyFill="1" applyBorder="1" applyAlignment="1">
      <alignment horizontal="center" vertical="center"/>
    </xf>
    <xf numFmtId="0" fontId="73" fillId="24" borderId="76" xfId="379" applyFont="1" applyFill="1" applyBorder="1" applyAlignment="1">
      <alignment horizontal="center" vertical="center"/>
    </xf>
    <xf numFmtId="0" fontId="73" fillId="24" borderId="76" xfId="379" applyFont="1" applyFill="1" applyBorder="1" applyAlignment="1">
      <alignment horizontal="center" vertical="center" wrapText="1"/>
    </xf>
    <xf numFmtId="0" fontId="55" fillId="24" borderId="76" xfId="0" applyFont="1" applyFill="1" applyBorder="1"/>
    <xf numFmtId="0" fontId="52" fillId="24" borderId="59" xfId="0" applyFont="1" applyFill="1" applyBorder="1" applyAlignment="1">
      <alignment horizontal="center" vertical="center" wrapText="1" readingOrder="2"/>
    </xf>
    <xf numFmtId="168" fontId="52" fillId="24" borderId="59" xfId="0" applyNumberFormat="1" applyFont="1" applyFill="1" applyBorder="1" applyAlignment="1">
      <alignment horizontal="center" vertical="center" wrapText="1"/>
    </xf>
    <xf numFmtId="0" fontId="52" fillId="24" borderId="59" xfId="0" applyFont="1" applyFill="1" applyBorder="1" applyAlignment="1">
      <alignment horizontal="center" vertical="center"/>
    </xf>
    <xf numFmtId="0" fontId="32" fillId="24" borderId="15" xfId="336" applyNumberFormat="1" applyFont="1" applyFill="1" applyBorder="1" applyAlignment="1">
      <alignment horizontal="center" vertical="center" wrapText="1" shrinkToFit="1"/>
    </xf>
    <xf numFmtId="49" fontId="32" fillId="24" borderId="31" xfId="108" applyNumberFormat="1" applyFont="1" applyFill="1" applyBorder="1" applyAlignment="1">
      <alignment horizontal="center" vertical="center" wrapText="1" shrinkToFit="1"/>
    </xf>
    <xf numFmtId="0" fontId="32" fillId="24" borderId="15" xfId="372" applyFont="1" applyFill="1" applyBorder="1" applyAlignment="1">
      <alignment horizontal="center" vertical="center" wrapText="1" shrinkToFit="1"/>
    </xf>
    <xf numFmtId="0" fontId="32" fillId="24" borderId="15" xfId="344" quotePrefix="1" applyFont="1" applyFill="1" applyBorder="1" applyAlignment="1">
      <alignment horizontal="center" vertical="center" wrapText="1"/>
    </xf>
    <xf numFmtId="0" fontId="32" fillId="24" borderId="31" xfId="372" applyFont="1" applyFill="1" applyBorder="1" applyAlignment="1">
      <alignment horizontal="center" vertical="center" wrapText="1" shrinkToFit="1"/>
    </xf>
    <xf numFmtId="49" fontId="32" fillId="24" borderId="31" xfId="0" applyNumberFormat="1" applyFont="1" applyFill="1" applyBorder="1" applyAlignment="1">
      <alignment horizontal="center" vertical="center" wrapText="1"/>
    </xf>
    <xf numFmtId="0" fontId="32" fillId="24" borderId="31" xfId="174" applyFont="1" applyFill="1" applyBorder="1" applyAlignment="1">
      <alignment horizontal="center" vertical="center" wrapText="1" shrinkToFit="1"/>
    </xf>
    <xf numFmtId="0" fontId="32" fillId="24" borderId="15" xfId="362" quotePrefix="1" applyNumberFormat="1" applyFont="1" applyFill="1" applyBorder="1" applyAlignment="1">
      <alignment horizontal="center" vertical="center" wrapText="1"/>
    </xf>
    <xf numFmtId="0" fontId="32" fillId="24" borderId="15" xfId="1" applyFont="1" applyFill="1" applyBorder="1" applyAlignment="1">
      <alignment horizontal="center" vertical="center"/>
    </xf>
    <xf numFmtId="0" fontId="48" fillId="24" borderId="31" xfId="372" applyFont="1" applyFill="1" applyBorder="1" applyAlignment="1">
      <alignment horizontal="center" vertical="center" wrapText="1" shrinkToFit="1" readingOrder="2"/>
    </xf>
    <xf numFmtId="0" fontId="44" fillId="24" borderId="31" xfId="1" applyFont="1" applyFill="1" applyBorder="1" applyAlignment="1">
      <alignment horizontal="center" vertical="center"/>
    </xf>
    <xf numFmtId="0" fontId="73" fillId="24" borderId="15" xfId="1" quotePrefix="1" applyFont="1" applyFill="1" applyBorder="1" applyAlignment="1">
      <alignment horizontal="center" vertical="center"/>
    </xf>
    <xf numFmtId="0" fontId="78" fillId="24" borderId="15" xfId="1" applyFont="1" applyFill="1" applyBorder="1" applyAlignment="1">
      <alignment horizontal="center" vertical="center" wrapText="1"/>
    </xf>
    <xf numFmtId="0" fontId="92" fillId="24" borderId="75" xfId="156" applyFont="1" applyFill="1" applyBorder="1" applyAlignment="1">
      <alignment horizontal="center" vertical="center"/>
    </xf>
    <xf numFmtId="1" fontId="47" fillId="24" borderId="31" xfId="0" applyNumberFormat="1" applyFont="1" applyFill="1" applyBorder="1" applyAlignment="1">
      <alignment horizontal="center" vertical="center" wrapText="1" readingOrder="2"/>
    </xf>
    <xf numFmtId="1" fontId="46" fillId="24" borderId="31" xfId="0" applyNumberFormat="1" applyFont="1" applyFill="1" applyBorder="1" applyAlignment="1">
      <alignment horizontal="center" vertical="center" wrapText="1" readingOrder="2"/>
    </xf>
    <xf numFmtId="0" fontId="67" fillId="24" borderId="23" xfId="0" applyFont="1" applyFill="1" applyBorder="1" applyAlignment="1">
      <alignment horizontal="center" vertical="center"/>
    </xf>
    <xf numFmtId="0" fontId="45" fillId="24" borderId="17" xfId="0" applyFont="1" applyFill="1" applyBorder="1" applyAlignment="1">
      <alignment horizontal="center" vertical="center" wrapText="1"/>
    </xf>
    <xf numFmtId="0" fontId="45" fillId="24" borderId="17" xfId="1" applyFont="1" applyFill="1" applyBorder="1" applyAlignment="1">
      <alignment horizontal="center" vertical="center"/>
    </xf>
    <xf numFmtId="0" fontId="52" fillId="24" borderId="24" xfId="0" applyFont="1" applyFill="1" applyBorder="1" applyAlignment="1">
      <alignment horizontal="center" vertical="center"/>
    </xf>
    <xf numFmtId="0" fontId="90" fillId="24" borderId="23" xfId="0" applyFont="1" applyFill="1" applyBorder="1" applyAlignment="1">
      <alignment horizontal="center" vertical="center" wrapText="1"/>
    </xf>
    <xf numFmtId="0" fontId="89" fillId="24" borderId="23" xfId="0" applyFont="1" applyFill="1" applyBorder="1" applyAlignment="1">
      <alignment horizontal="center" vertical="center" wrapText="1" readingOrder="2"/>
    </xf>
    <xf numFmtId="0" fontId="90" fillId="24" borderId="23" xfId="0" applyFont="1" applyFill="1" applyBorder="1" applyAlignment="1">
      <alignment horizontal="center" vertical="center" wrapText="1" readingOrder="2"/>
    </xf>
    <xf numFmtId="168" fontId="91" fillId="24" borderId="23" xfId="0" applyNumberFormat="1" applyFont="1" applyFill="1" applyBorder="1" applyAlignment="1">
      <alignment horizontal="center" vertical="center" wrapText="1"/>
    </xf>
    <xf numFmtId="0" fontId="89" fillId="24" borderId="23" xfId="0" applyFont="1" applyFill="1" applyBorder="1" applyAlignment="1">
      <alignment horizontal="center" vertical="center" wrapText="1"/>
    </xf>
    <xf numFmtId="0" fontId="91" fillId="24" borderId="23" xfId="0" applyFont="1" applyFill="1" applyBorder="1" applyAlignment="1">
      <alignment horizontal="center" vertical="center" wrapText="1"/>
    </xf>
    <xf numFmtId="168" fontId="89" fillId="24" borderId="23" xfId="0" applyNumberFormat="1" applyFont="1" applyFill="1" applyBorder="1" applyAlignment="1">
      <alignment horizontal="center" vertical="center" wrapText="1"/>
    </xf>
    <xf numFmtId="0" fontId="89" fillId="24" borderId="23" xfId="0" applyFont="1" applyFill="1" applyBorder="1" applyAlignment="1">
      <alignment horizontal="right" vertical="center"/>
    </xf>
    <xf numFmtId="0" fontId="89" fillId="24" borderId="67" xfId="0" applyFont="1" applyFill="1" applyBorder="1" applyAlignment="1">
      <alignment horizontal="center" vertical="center" wrapText="1" readingOrder="2"/>
    </xf>
    <xf numFmtId="0" fontId="97" fillId="24" borderId="59" xfId="0" applyFont="1" applyFill="1" applyBorder="1" applyAlignment="1">
      <alignment horizontal="center" vertical="center" wrapText="1" readingOrder="2"/>
    </xf>
    <xf numFmtId="0" fontId="55" fillId="24" borderId="59" xfId="0" applyFont="1" applyFill="1" applyBorder="1"/>
    <xf numFmtId="0" fontId="93" fillId="24" borderId="15" xfId="0" applyFont="1" applyFill="1" applyBorder="1" applyAlignment="1">
      <alignment horizontal="center" vertical="center" wrapText="1"/>
    </xf>
    <xf numFmtId="0" fontId="93" fillId="24" borderId="15" xfId="0" applyFont="1" applyFill="1" applyBorder="1" applyAlignment="1">
      <alignment horizontal="center" vertical="center" readingOrder="1"/>
    </xf>
    <xf numFmtId="0" fontId="93" fillId="24" borderId="55" xfId="0" applyFont="1" applyFill="1" applyBorder="1" applyAlignment="1">
      <alignment horizontal="center" vertical="center"/>
    </xf>
    <xf numFmtId="0" fontId="93" fillId="24" borderId="55" xfId="0" applyFont="1" applyFill="1" applyBorder="1" applyAlignment="1">
      <alignment horizontal="center" vertical="center" wrapText="1"/>
    </xf>
    <xf numFmtId="0" fontId="55" fillId="24" borderId="0" xfId="0" applyFont="1" applyFill="1" applyAlignment="1">
      <alignment horizontal="center"/>
    </xf>
    <xf numFmtId="0" fontId="55" fillId="24" borderId="55" xfId="0" applyFont="1" applyFill="1" applyBorder="1" applyAlignment="1">
      <alignment horizontal="center"/>
    </xf>
    <xf numFmtId="0" fontId="32" fillId="24" borderId="15" xfId="402" applyFont="1" applyFill="1" applyBorder="1" applyAlignment="1">
      <alignment horizontal="center" vertical="center"/>
    </xf>
    <xf numFmtId="0" fontId="67" fillId="24" borderId="15" xfId="0" applyFont="1" applyFill="1" applyBorder="1" applyAlignment="1">
      <alignment horizontal="left" vertical="center"/>
    </xf>
    <xf numFmtId="0" fontId="97" fillId="24" borderId="0" xfId="0" applyFont="1" applyFill="1" applyAlignment="1">
      <alignment horizontal="center" vertical="center"/>
    </xf>
    <xf numFmtId="0" fontId="32" fillId="24" borderId="15" xfId="0" applyFont="1" applyFill="1" applyBorder="1" applyAlignment="1">
      <alignment horizontal="left" vertical="center"/>
    </xf>
    <xf numFmtId="0" fontId="67" fillId="24" borderId="55" xfId="0" applyFont="1" applyFill="1" applyBorder="1" applyAlignment="1">
      <alignment horizontal="left" vertical="center"/>
    </xf>
    <xf numFmtId="0" fontId="32" fillId="24" borderId="75" xfId="0" applyFont="1" applyFill="1" applyBorder="1" applyAlignment="1">
      <alignment horizontal="left" vertical="center"/>
    </xf>
    <xf numFmtId="0" fontId="67" fillId="24" borderId="57" xfId="0" applyFont="1" applyFill="1" applyBorder="1" applyAlignment="1">
      <alignment horizontal="left" vertical="center"/>
    </xf>
    <xf numFmtId="0" fontId="97" fillId="24" borderId="0" xfId="0" applyFont="1" applyFill="1" applyAlignment="1">
      <alignment vertical="center"/>
    </xf>
    <xf numFmtId="0" fontId="67" fillId="24" borderId="63" xfId="0" applyFont="1" applyFill="1" applyBorder="1" applyAlignment="1">
      <alignment horizontal="center" vertical="center"/>
    </xf>
    <xf numFmtId="0" fontId="92" fillId="24" borderId="55" xfId="340" applyNumberFormat="1" applyFont="1" applyFill="1" applyBorder="1" applyAlignment="1">
      <alignment horizontal="center" vertical="center" wrapText="1" shrinkToFit="1"/>
    </xf>
    <xf numFmtId="0" fontId="93" fillId="24" borderId="55" xfId="405" applyFont="1" applyFill="1" applyBorder="1" applyAlignment="1">
      <alignment horizontal="center" vertical="center" wrapText="1"/>
    </xf>
    <xf numFmtId="0" fontId="98" fillId="24" borderId="75" xfId="0" applyFont="1" applyFill="1" applyBorder="1" applyAlignment="1">
      <alignment horizontal="center" vertical="center" wrapText="1" readingOrder="2"/>
    </xf>
    <xf numFmtId="2" fontId="67" fillId="24" borderId="10" xfId="0" applyNumberFormat="1" applyFont="1" applyFill="1" applyBorder="1" applyAlignment="1">
      <alignment horizontal="center" vertical="center"/>
    </xf>
    <xf numFmtId="0" fontId="32" fillId="24" borderId="57" xfId="362" applyNumberFormat="1" applyFont="1" applyFill="1" applyBorder="1" applyAlignment="1">
      <alignment horizontal="left" vertical="center" wrapText="1"/>
    </xf>
    <xf numFmtId="0" fontId="44" fillId="24" borderId="57" xfId="372" quotePrefix="1" applyFont="1" applyFill="1" applyBorder="1" applyAlignment="1">
      <alignment horizontal="right" vertical="center" wrapText="1" shrinkToFit="1" readingOrder="2"/>
    </xf>
    <xf numFmtId="0" fontId="32" fillId="24" borderId="57" xfId="1" applyFont="1" applyFill="1" applyBorder="1" applyAlignment="1">
      <alignment horizontal="center" vertical="center" wrapText="1"/>
    </xf>
    <xf numFmtId="0" fontId="55" fillId="24" borderId="57" xfId="0" applyFont="1" applyFill="1" applyBorder="1" applyAlignment="1">
      <alignment horizontal="center" vertical="center"/>
    </xf>
    <xf numFmtId="0" fontId="55" fillId="24" borderId="63" xfId="0" applyFont="1" applyFill="1" applyBorder="1"/>
    <xf numFmtId="0" fontId="47" fillId="24" borderId="75" xfId="374" applyFont="1" applyFill="1" applyBorder="1" applyAlignment="1">
      <alignment horizontal="center" vertical="center" readingOrder="2"/>
    </xf>
    <xf numFmtId="0" fontId="46" fillId="24" borderId="75" xfId="374" applyFont="1" applyFill="1" applyBorder="1" applyAlignment="1">
      <alignment horizontal="center" vertical="center" readingOrder="2"/>
    </xf>
    <xf numFmtId="0" fontId="67" fillId="24" borderId="75" xfId="2" applyFont="1" applyFill="1" applyBorder="1" applyAlignment="1">
      <alignment horizontal="center" vertical="center" wrapText="1"/>
    </xf>
    <xf numFmtId="49" fontId="67" fillId="24" borderId="75" xfId="2" applyNumberFormat="1" applyFont="1" applyFill="1" applyBorder="1" applyAlignment="1">
      <alignment horizontal="center" vertical="center" wrapText="1"/>
    </xf>
    <xf numFmtId="0" fontId="47" fillId="24" borderId="75" xfId="2" applyFont="1" applyFill="1" applyBorder="1" applyAlignment="1">
      <alignment horizontal="right" vertical="center" wrapText="1"/>
    </xf>
    <xf numFmtId="0" fontId="67" fillId="24" borderId="51" xfId="0" applyFont="1" applyFill="1" applyBorder="1" applyAlignment="1">
      <alignment horizontal="center" vertical="center"/>
    </xf>
    <xf numFmtId="0" fontId="55" fillId="24" borderId="77" xfId="0" applyFont="1" applyFill="1" applyBorder="1"/>
    <xf numFmtId="0" fontId="67" fillId="24" borderId="76" xfId="0" applyFont="1" applyFill="1" applyBorder="1" applyAlignment="1">
      <alignment horizontal="center" vertical="center"/>
    </xf>
    <xf numFmtId="0" fontId="32" fillId="24" borderId="10" xfId="1" applyFont="1" applyFill="1" applyBorder="1" applyAlignment="1">
      <alignment horizontal="center" vertical="center" wrapText="1"/>
    </xf>
    <xf numFmtId="0" fontId="44" fillId="24" borderId="10" xfId="0" applyFont="1" applyFill="1" applyBorder="1" applyAlignment="1">
      <alignment horizontal="center" vertical="center" wrapText="1"/>
    </xf>
    <xf numFmtId="0" fontId="55" fillId="24" borderId="10" xfId="0" applyFont="1" applyFill="1" applyBorder="1" applyAlignment="1">
      <alignment horizontal="center"/>
    </xf>
    <xf numFmtId="0" fontId="55" fillId="24" borderId="10" xfId="0" applyFont="1" applyFill="1" applyBorder="1" applyAlignment="1">
      <alignment horizontal="center" vertical="center"/>
    </xf>
    <xf numFmtId="0" fontId="55" fillId="24" borderId="33" xfId="0" applyFont="1" applyFill="1" applyBorder="1" applyAlignment="1">
      <alignment horizontal="center"/>
    </xf>
    <xf numFmtId="0" fontId="55" fillId="24" borderId="78" xfId="0" applyFont="1" applyFill="1" applyBorder="1" applyAlignment="1"/>
    <xf numFmtId="0" fontId="32" fillId="24" borderId="10" xfId="1" quotePrefix="1" applyFont="1" applyFill="1" applyBorder="1" applyAlignment="1">
      <alignment horizontal="center" vertical="center" wrapText="1"/>
    </xf>
    <xf numFmtId="0" fontId="44" fillId="24" borderId="10" xfId="372" quotePrefix="1" applyFont="1" applyFill="1" applyBorder="1" applyAlignment="1">
      <alignment horizontal="center" vertical="center" wrapText="1" shrinkToFit="1" readingOrder="2"/>
    </xf>
    <xf numFmtId="0" fontId="55" fillId="24" borderId="60" xfId="0" applyFont="1" applyFill="1" applyBorder="1"/>
    <xf numFmtId="49" fontId="47" fillId="24" borderId="10" xfId="336" applyNumberFormat="1" applyFont="1" applyFill="1" applyBorder="1" applyAlignment="1">
      <alignment horizontal="center" vertical="center" wrapText="1" readingOrder="2"/>
    </xf>
    <xf numFmtId="49" fontId="46" fillId="24" borderId="10" xfId="336" applyNumberFormat="1" applyFont="1" applyFill="1" applyBorder="1" applyAlignment="1">
      <alignment horizontal="center" vertical="center" wrapText="1" readingOrder="2"/>
    </xf>
    <xf numFmtId="0" fontId="32" fillId="24" borderId="10" xfId="1" applyFont="1" applyFill="1" applyBorder="1" applyAlignment="1">
      <alignment horizontal="left" vertical="center" wrapText="1"/>
    </xf>
    <xf numFmtId="0" fontId="44" fillId="24" borderId="10" xfId="372" quotePrefix="1" applyFont="1" applyFill="1" applyBorder="1" applyAlignment="1">
      <alignment horizontal="right" vertical="center" wrapText="1" shrinkToFit="1" readingOrder="2"/>
    </xf>
    <xf numFmtId="0" fontId="55" fillId="24" borderId="33" xfId="0" applyFont="1" applyFill="1" applyBorder="1"/>
    <xf numFmtId="0" fontId="55" fillId="24" borderId="37" xfId="0" applyFont="1" applyFill="1" applyBorder="1" applyAlignment="1"/>
    <xf numFmtId="0" fontId="67" fillId="24" borderId="10" xfId="335" applyFont="1" applyFill="1" applyBorder="1" applyAlignment="1">
      <alignment horizontal="center" vertical="center" wrapText="1"/>
    </xf>
    <xf numFmtId="0" fontId="32" fillId="24" borderId="10" xfId="1" quotePrefix="1" applyFont="1" applyFill="1" applyBorder="1" applyAlignment="1">
      <alignment horizontal="left" vertical="center" wrapText="1"/>
    </xf>
    <xf numFmtId="0" fontId="44" fillId="24" borderId="57" xfId="372" applyFont="1" applyFill="1" applyBorder="1" applyAlignment="1">
      <alignment horizontal="center" vertical="center" wrapText="1" shrinkToFit="1" readingOrder="2"/>
    </xf>
    <xf numFmtId="0" fontId="73" fillId="24" borderId="57" xfId="377" applyFont="1" applyFill="1" applyBorder="1" applyAlignment="1">
      <alignment horizontal="center" vertical="center" wrapText="1"/>
    </xf>
    <xf numFmtId="0" fontId="44" fillId="24" borderId="57" xfId="377" applyFont="1" applyFill="1" applyBorder="1" applyAlignment="1">
      <alignment horizontal="center" vertical="center" wrapText="1"/>
    </xf>
    <xf numFmtId="0" fontId="55" fillId="24" borderId="57" xfId="0" applyFont="1" applyFill="1" applyBorder="1" applyAlignment="1">
      <alignment horizontal="center"/>
    </xf>
    <xf numFmtId="0" fontId="55" fillId="24" borderId="63" xfId="0" applyFont="1" applyFill="1" applyBorder="1" applyAlignment="1">
      <alignment horizontal="center"/>
    </xf>
    <xf numFmtId="0" fontId="67" fillId="24" borderId="75" xfId="344" applyFont="1" applyFill="1" applyBorder="1" applyAlignment="1">
      <alignment horizontal="center" vertical="center" wrapText="1" shrinkToFit="1"/>
    </xf>
    <xf numFmtId="0" fontId="67" fillId="24" borderId="15" xfId="333" applyNumberFormat="1" applyFont="1" applyFill="1" applyBorder="1" applyAlignment="1">
      <alignment horizontal="center" vertical="center" wrapText="1"/>
    </xf>
    <xf numFmtId="0" fontId="67" fillId="24" borderId="75" xfId="333" applyNumberFormat="1" applyFont="1" applyFill="1" applyBorder="1" applyAlignment="1">
      <alignment horizontal="center" vertical="center" wrapText="1"/>
    </xf>
    <xf numFmtId="0" fontId="67" fillId="24" borderId="75" xfId="359" applyNumberFormat="1" applyFont="1" applyFill="1" applyBorder="1" applyAlignment="1">
      <alignment horizontal="center" vertical="center" wrapText="1" shrinkToFit="1"/>
    </xf>
    <xf numFmtId="0" fontId="67" fillId="24" borderId="76" xfId="1" applyFont="1" applyFill="1" applyBorder="1" applyAlignment="1">
      <alignment horizontal="center" vertical="center"/>
    </xf>
    <xf numFmtId="0" fontId="47" fillId="24" borderId="75" xfId="372" quotePrefix="1" applyFont="1" applyFill="1" applyBorder="1" applyAlignment="1">
      <alignment horizontal="right" vertical="center" wrapText="1" shrinkToFit="1" readingOrder="2"/>
    </xf>
    <xf numFmtId="0" fontId="92" fillId="24" borderId="57" xfId="0" applyFont="1" applyFill="1" applyBorder="1" applyAlignment="1">
      <alignment horizontal="center" vertical="center"/>
    </xf>
    <xf numFmtId="0" fontId="47" fillId="24" borderId="57" xfId="2" applyFont="1" applyFill="1" applyBorder="1" applyAlignment="1">
      <alignment horizontal="right" vertical="center" wrapText="1" readingOrder="2"/>
    </xf>
    <xf numFmtId="0" fontId="92" fillId="24" borderId="57" xfId="2" applyFont="1" applyFill="1" applyBorder="1" applyAlignment="1">
      <alignment horizontal="center" vertical="center" wrapText="1" shrinkToFit="1"/>
    </xf>
    <xf numFmtId="0" fontId="67" fillId="24" borderId="15" xfId="1" applyFont="1" applyFill="1" applyBorder="1" applyAlignment="1">
      <alignment horizontal="left" vertical="center" wrapText="1"/>
    </xf>
    <xf numFmtId="0" fontId="32" fillId="24" borderId="57" xfId="0" applyFont="1" applyFill="1" applyBorder="1" applyAlignment="1">
      <alignment horizontal="left" vertical="center"/>
    </xf>
    <xf numFmtId="0" fontId="44" fillId="24" borderId="57" xfId="2" applyFont="1" applyFill="1" applyBorder="1" applyAlignment="1">
      <alignment horizontal="right" vertical="center" wrapText="1" readingOrder="2"/>
    </xf>
    <xf numFmtId="0" fontId="50" fillId="24" borderId="57" xfId="2" applyFont="1" applyFill="1" applyBorder="1" applyAlignment="1">
      <alignment horizontal="center" vertical="center" wrapText="1" shrinkToFit="1"/>
    </xf>
    <xf numFmtId="168" fontId="67" fillId="24" borderId="75" xfId="0" applyNumberFormat="1" applyFont="1" applyFill="1" applyBorder="1" applyAlignment="1">
      <alignment horizontal="center" vertical="center" wrapText="1"/>
    </xf>
    <xf numFmtId="0" fontId="67" fillId="24" borderId="75" xfId="2" quotePrefix="1" applyFont="1" applyFill="1" applyBorder="1" applyAlignment="1">
      <alignment horizontal="center" vertical="center" wrapText="1"/>
    </xf>
    <xf numFmtId="0" fontId="90" fillId="24" borderId="75" xfId="362" applyNumberFormat="1" applyFont="1" applyFill="1" applyBorder="1" applyAlignment="1">
      <alignment horizontal="center" vertical="center" wrapText="1"/>
    </xf>
    <xf numFmtId="0" fontId="89" fillId="24" borderId="75" xfId="362" applyNumberFormat="1" applyFont="1" applyFill="1" applyBorder="1" applyAlignment="1">
      <alignment horizontal="right" vertical="center" wrapText="1"/>
    </xf>
    <xf numFmtId="0" fontId="67" fillId="24" borderId="75" xfId="1" quotePrefix="1" applyFont="1" applyFill="1" applyBorder="1" applyAlignment="1">
      <alignment horizontal="center" vertical="center" wrapText="1"/>
    </xf>
    <xf numFmtId="49" fontId="47" fillId="24" borderId="75" xfId="2" applyNumberFormat="1" applyFont="1" applyFill="1" applyBorder="1" applyAlignment="1">
      <alignment horizontal="right" vertical="center" wrapText="1"/>
    </xf>
    <xf numFmtId="0" fontId="67" fillId="24" borderId="75" xfId="2" applyFont="1" applyFill="1" applyBorder="1" applyAlignment="1">
      <alignment horizontal="center" vertical="center" wrapText="1" shrinkToFit="1"/>
    </xf>
    <xf numFmtId="0" fontId="67" fillId="24" borderId="76" xfId="2" applyFont="1" applyFill="1" applyBorder="1" applyAlignment="1">
      <alignment horizontal="center" vertical="center" shrinkToFit="1"/>
    </xf>
    <xf numFmtId="0" fontId="67" fillId="24" borderId="75" xfId="1" applyFont="1" applyFill="1" applyBorder="1" applyAlignment="1">
      <alignment horizontal="center" vertical="center"/>
    </xf>
    <xf numFmtId="0" fontId="44" fillId="24" borderId="10" xfId="372" applyFont="1" applyFill="1" applyBorder="1" applyAlignment="1">
      <alignment horizontal="center" vertical="center" wrapText="1" shrinkToFit="1" readingOrder="2"/>
    </xf>
    <xf numFmtId="0" fontId="73" fillId="24" borderId="10" xfId="377" applyFont="1" applyFill="1" applyBorder="1" applyAlignment="1">
      <alignment horizontal="center" vertical="center" wrapText="1"/>
    </xf>
    <xf numFmtId="0" fontId="44" fillId="24" borderId="10" xfId="377" applyFont="1" applyFill="1" applyBorder="1" applyAlignment="1">
      <alignment horizontal="center" vertical="center" wrapText="1"/>
    </xf>
    <xf numFmtId="0" fontId="55" fillId="24" borderId="29" xfId="0" applyFont="1" applyFill="1" applyBorder="1" applyAlignment="1">
      <alignment horizontal="center"/>
    </xf>
    <xf numFmtId="0" fontId="55" fillId="24" borderId="0" xfId="0" applyFont="1" applyFill="1" applyBorder="1"/>
    <xf numFmtId="0" fontId="45" fillId="24" borderId="17" xfId="1" applyFont="1" applyFill="1" applyBorder="1" applyAlignment="1">
      <alignment vertical="center"/>
    </xf>
    <xf numFmtId="0" fontId="45" fillId="24" borderId="0" xfId="1" applyFont="1" applyFill="1" applyBorder="1" applyAlignment="1">
      <alignment vertical="center"/>
    </xf>
    <xf numFmtId="0" fontId="67" fillId="24" borderId="31" xfId="1" applyFont="1" applyFill="1" applyBorder="1" applyAlignment="1">
      <alignment horizontal="center" vertical="center"/>
    </xf>
    <xf numFmtId="0" fontId="90" fillId="24" borderId="31" xfId="1" applyFont="1" applyFill="1" applyBorder="1" applyAlignment="1">
      <alignment horizontal="center" vertical="center"/>
    </xf>
    <xf numFmtId="0" fontId="90" fillId="24" borderId="44" xfId="1" applyFont="1" applyFill="1" applyBorder="1" applyAlignment="1">
      <alignment horizontal="center" vertical="center"/>
    </xf>
    <xf numFmtId="0" fontId="90" fillId="24" borderId="0" xfId="1" applyFont="1" applyFill="1" applyBorder="1" applyAlignment="1">
      <alignment horizontal="center" vertical="center"/>
    </xf>
    <xf numFmtId="1" fontId="67" fillId="24" borderId="75" xfId="0" applyNumberFormat="1" applyFont="1" applyFill="1" applyBorder="1" applyAlignment="1">
      <alignment horizontal="center" vertical="center" wrapText="1" readingOrder="1"/>
    </xf>
    <xf numFmtId="1" fontId="67" fillId="24" borderId="75" xfId="0" applyNumberFormat="1" applyFont="1" applyFill="1" applyBorder="1" applyAlignment="1">
      <alignment horizontal="center" vertical="center" wrapText="1" readingOrder="2"/>
    </xf>
    <xf numFmtId="0" fontId="76" fillId="24" borderId="75" xfId="0" applyFont="1" applyFill="1" applyBorder="1" applyAlignment="1">
      <alignment horizontal="center" vertical="center" wrapText="1" readingOrder="2"/>
    </xf>
    <xf numFmtId="0" fontId="95" fillId="24" borderId="31" xfId="334" applyNumberFormat="1" applyFont="1" applyFill="1" applyBorder="1" applyAlignment="1">
      <alignment horizontal="center" vertical="center" wrapText="1"/>
    </xf>
    <xf numFmtId="0" fontId="94" fillId="24" borderId="57" xfId="1" applyFont="1" applyFill="1" applyBorder="1" applyAlignment="1">
      <alignment horizontal="center" vertical="center" wrapText="1"/>
    </xf>
    <xf numFmtId="0" fontId="47" fillId="24" borderId="10" xfId="0" applyFont="1" applyFill="1" applyBorder="1" applyAlignment="1">
      <alignment horizontal="center" vertical="center" wrapText="1"/>
    </xf>
    <xf numFmtId="0" fontId="67" fillId="24" borderId="57" xfId="382" applyFont="1" applyFill="1" applyBorder="1" applyAlignment="1">
      <alignment horizontal="center" vertical="center" wrapText="1"/>
    </xf>
    <xf numFmtId="0" fontId="68" fillId="24" borderId="75" xfId="382" applyFont="1" applyFill="1" applyBorder="1" applyAlignment="1">
      <alignment horizontal="center" vertical="center" wrapText="1"/>
    </xf>
    <xf numFmtId="0" fontId="76" fillId="24" borderId="75" xfId="1" applyFont="1" applyFill="1" applyBorder="1" applyAlignment="1">
      <alignment horizontal="center" vertical="center" wrapText="1" readingOrder="2"/>
    </xf>
    <xf numFmtId="0" fontId="67" fillId="24" borderId="55" xfId="340" applyNumberFormat="1" applyFont="1" applyFill="1" applyBorder="1" applyAlignment="1">
      <alignment horizontal="center" vertical="center" wrapText="1" shrinkToFit="1"/>
    </xf>
    <xf numFmtId="0" fontId="32" fillId="24" borderId="75" xfId="340" applyNumberFormat="1" applyFont="1" applyFill="1" applyBorder="1" applyAlignment="1">
      <alignment horizontal="center" vertical="center" wrapText="1" shrinkToFit="1"/>
    </xf>
    <xf numFmtId="0" fontId="67" fillId="24" borderId="75" xfId="340" applyNumberFormat="1" applyFont="1" applyFill="1" applyBorder="1" applyAlignment="1">
      <alignment horizontal="center" vertical="center" wrapText="1" shrinkToFit="1"/>
    </xf>
    <xf numFmtId="0" fontId="47" fillId="24" borderId="75" xfId="0" applyFont="1" applyFill="1" applyBorder="1" applyAlignment="1">
      <alignment horizontal="right" vertical="center" wrapText="1"/>
    </xf>
    <xf numFmtId="0" fontId="55" fillId="24" borderId="75" xfId="340" applyNumberFormat="1" applyFont="1" applyFill="1" applyBorder="1" applyAlignment="1">
      <alignment horizontal="center" vertical="center" wrapText="1" shrinkToFit="1"/>
    </xf>
    <xf numFmtId="0" fontId="67" fillId="24" borderId="75" xfId="341" applyFont="1" applyFill="1" applyBorder="1" applyAlignment="1">
      <alignment horizontal="center" vertical="center" wrapText="1"/>
    </xf>
    <xf numFmtId="0" fontId="70" fillId="24" borderId="75" xfId="0" applyFont="1" applyFill="1" applyBorder="1" applyAlignment="1">
      <alignment horizontal="center" vertical="center" wrapText="1"/>
    </xf>
    <xf numFmtId="0" fontId="67" fillId="24" borderId="75" xfId="122" applyFont="1" applyFill="1" applyBorder="1" applyAlignment="1">
      <alignment horizontal="center" vertical="center" wrapText="1"/>
    </xf>
    <xf numFmtId="0" fontId="95" fillId="24" borderId="75" xfId="0" applyFont="1" applyFill="1" applyBorder="1" applyAlignment="1">
      <alignment horizontal="center" vertical="center" wrapText="1"/>
    </xf>
    <xf numFmtId="0" fontId="92" fillId="24" borderId="75" xfId="362" applyNumberFormat="1" applyFont="1" applyFill="1" applyBorder="1" applyAlignment="1">
      <alignment horizontal="center" vertical="center" wrapText="1"/>
    </xf>
    <xf numFmtId="0" fontId="67" fillId="24" borderId="10" xfId="122" applyFont="1" applyFill="1" applyBorder="1" applyAlignment="1">
      <alignment horizontal="center" vertical="center" wrapText="1"/>
    </xf>
    <xf numFmtId="0" fontId="32" fillId="24" borderId="57" xfId="344" applyFont="1" applyFill="1" applyBorder="1" applyAlignment="1">
      <alignment horizontal="center" vertical="center" wrapText="1" shrinkToFit="1"/>
    </xf>
    <xf numFmtId="0" fontId="73" fillId="24" borderId="57" xfId="0" applyFont="1" applyFill="1" applyBorder="1" applyAlignment="1">
      <alignment horizontal="center" vertical="center"/>
    </xf>
    <xf numFmtId="0" fontId="44" fillId="24" borderId="57" xfId="0" applyFont="1" applyFill="1" applyBorder="1" applyAlignment="1">
      <alignment horizontal="center" vertical="center"/>
    </xf>
    <xf numFmtId="0" fontId="73" fillId="24" borderId="63" xfId="0" applyFont="1" applyFill="1" applyBorder="1" applyAlignment="1">
      <alignment horizontal="center" vertical="center"/>
    </xf>
    <xf numFmtId="0" fontId="67" fillId="24" borderId="75" xfId="344" applyFont="1" applyFill="1" applyBorder="1" applyAlignment="1">
      <alignment horizontal="center" vertical="center" wrapText="1"/>
    </xf>
    <xf numFmtId="0" fontId="67" fillId="24" borderId="76" xfId="1" quotePrefix="1" applyFont="1" applyFill="1" applyBorder="1" applyAlignment="1">
      <alignment horizontal="center" vertical="center"/>
    </xf>
    <xf numFmtId="0" fontId="67" fillId="24" borderId="57" xfId="344" applyFont="1" applyFill="1" applyBorder="1" applyAlignment="1">
      <alignment horizontal="center" vertical="center" wrapText="1"/>
    </xf>
    <xf numFmtId="0" fontId="47" fillId="24" borderId="57" xfId="1" applyFont="1" applyFill="1" applyBorder="1" applyAlignment="1">
      <alignment horizontal="right" vertical="center" wrapText="1" readingOrder="2"/>
    </xf>
    <xf numFmtId="0" fontId="90" fillId="24" borderId="75" xfId="1" applyFont="1" applyFill="1" applyBorder="1" applyAlignment="1">
      <alignment horizontal="center" vertical="center" wrapText="1" readingOrder="2"/>
    </xf>
    <xf numFmtId="0" fontId="67" fillId="24" borderId="10" xfId="201" quotePrefix="1" applyFont="1" applyFill="1" applyBorder="1" applyAlignment="1">
      <alignment horizontal="center" vertical="center" wrapText="1"/>
    </xf>
    <xf numFmtId="0" fontId="32" fillId="24" borderId="10" xfId="362" applyNumberFormat="1" applyFont="1" applyFill="1" applyBorder="1" applyAlignment="1">
      <alignment horizontal="left" vertical="center" wrapText="1"/>
    </xf>
    <xf numFmtId="1" fontId="47" fillId="24" borderId="23" xfId="0" applyNumberFormat="1" applyFont="1" applyFill="1" applyBorder="1" applyAlignment="1">
      <alignment horizontal="center" vertical="center" wrapText="1" readingOrder="2"/>
    </xf>
    <xf numFmtId="1" fontId="46" fillId="24" borderId="23" xfId="0" applyNumberFormat="1" applyFont="1" applyFill="1" applyBorder="1" applyAlignment="1">
      <alignment horizontal="center" vertical="center" wrapText="1" readingOrder="2"/>
    </xf>
    <xf numFmtId="168" fontId="67" fillId="24" borderId="23" xfId="0" applyNumberFormat="1" applyFont="1" applyFill="1" applyBorder="1" applyAlignment="1">
      <alignment horizontal="center" vertical="center" wrapText="1" readingOrder="2"/>
    </xf>
    <xf numFmtId="0" fontId="93" fillId="24" borderId="23" xfId="0" applyFont="1" applyFill="1" applyBorder="1" applyAlignment="1">
      <alignment horizontal="center" vertical="center" wrapText="1"/>
    </xf>
    <xf numFmtId="0" fontId="67" fillId="24" borderId="23" xfId="2" applyFont="1" applyFill="1" applyBorder="1" applyAlignment="1">
      <alignment horizontal="center" vertical="center" wrapText="1" shrinkToFit="1"/>
    </xf>
    <xf numFmtId="0" fontId="67" fillId="24" borderId="67" xfId="0" applyFont="1" applyFill="1" applyBorder="1" applyAlignment="1">
      <alignment horizontal="center" vertical="center"/>
    </xf>
    <xf numFmtId="0" fontId="32" fillId="24" borderId="23" xfId="362" applyNumberFormat="1" applyFont="1" applyFill="1" applyBorder="1" applyAlignment="1">
      <alignment horizontal="left" vertical="center" wrapText="1"/>
    </xf>
    <xf numFmtId="0" fontId="44" fillId="24" borderId="23" xfId="372" quotePrefix="1" applyFont="1" applyFill="1" applyBorder="1" applyAlignment="1">
      <alignment horizontal="right" vertical="center" wrapText="1" shrinkToFit="1" readingOrder="2"/>
    </xf>
    <xf numFmtId="0" fontId="55" fillId="24" borderId="23" xfId="0" applyFont="1" applyFill="1" applyBorder="1"/>
    <xf numFmtId="0" fontId="55" fillId="24" borderId="23" xfId="0" applyFont="1" applyFill="1" applyBorder="1" applyAlignment="1">
      <alignment horizontal="center" vertical="center"/>
    </xf>
    <xf numFmtId="0" fontId="55" fillId="24" borderId="67" xfId="0" applyFont="1" applyFill="1" applyBorder="1"/>
    <xf numFmtId="0" fontId="67" fillId="24" borderId="75" xfId="245" applyFont="1" applyFill="1" applyBorder="1" applyAlignment="1">
      <alignment horizontal="center" vertical="center" shrinkToFit="1"/>
    </xf>
    <xf numFmtId="0" fontId="44" fillId="24" borderId="10" xfId="372" applyFont="1" applyFill="1" applyBorder="1" applyAlignment="1">
      <alignment horizontal="right" vertical="center" wrapText="1" shrinkToFit="1" readingOrder="2"/>
    </xf>
    <xf numFmtId="0" fontId="47" fillId="24" borderId="26" xfId="0" applyFont="1" applyFill="1" applyBorder="1" applyAlignment="1">
      <alignment horizontal="right" vertical="center" wrapText="1"/>
    </xf>
    <xf numFmtId="0" fontId="67" fillId="24" borderId="35" xfId="0" applyFont="1" applyFill="1" applyBorder="1" applyAlignment="1">
      <alignment horizontal="center" vertical="center"/>
    </xf>
    <xf numFmtId="0" fontId="32" fillId="24" borderId="26" xfId="362" applyNumberFormat="1" applyFont="1" applyFill="1" applyBorder="1" applyAlignment="1">
      <alignment horizontal="left" vertical="center" wrapText="1"/>
    </xf>
    <xf numFmtId="0" fontId="44" fillId="24" borderId="26" xfId="372" quotePrefix="1" applyFont="1" applyFill="1" applyBorder="1" applyAlignment="1">
      <alignment horizontal="right" vertical="center" wrapText="1" shrinkToFit="1" readingOrder="2"/>
    </xf>
    <xf numFmtId="0" fontId="32" fillId="24" borderId="26" xfId="1" applyFont="1" applyFill="1" applyBorder="1" applyAlignment="1">
      <alignment horizontal="center" vertical="center" wrapText="1"/>
    </xf>
    <xf numFmtId="0" fontId="55" fillId="24" borderId="26" xfId="0" applyFont="1" applyFill="1" applyBorder="1"/>
    <xf numFmtId="0" fontId="47" fillId="24" borderId="26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0" fontId="55" fillId="24" borderId="35" xfId="0" applyFont="1" applyFill="1" applyBorder="1"/>
    <xf numFmtId="0" fontId="73" fillId="24" borderId="10" xfId="0" applyFont="1" applyFill="1" applyBorder="1" applyAlignment="1">
      <alignment horizontal="center" vertical="center"/>
    </xf>
    <xf numFmtId="0" fontId="44" fillId="24" borderId="10" xfId="0" applyFont="1" applyFill="1" applyBorder="1" applyAlignment="1">
      <alignment horizontal="center" vertical="center"/>
    </xf>
    <xf numFmtId="0" fontId="67" fillId="24" borderId="75" xfId="0" applyFont="1" applyFill="1" applyBorder="1" applyAlignment="1">
      <alignment horizontal="center" vertical="center" wrapText="1"/>
    </xf>
    <xf numFmtId="0" fontId="47" fillId="24" borderId="75" xfId="1" applyFont="1" applyFill="1" applyBorder="1" applyAlignment="1">
      <alignment horizontal="center" vertical="center" wrapText="1" readingOrder="2"/>
    </xf>
    <xf numFmtId="0" fontId="46" fillId="24" borderId="75" xfId="1" applyFont="1" applyFill="1" applyBorder="1" applyAlignment="1">
      <alignment horizontal="center" vertical="center" wrapText="1" readingOrder="2"/>
    </xf>
    <xf numFmtId="168" fontId="67" fillId="24" borderId="75" xfId="1" applyNumberFormat="1" applyFont="1" applyFill="1" applyBorder="1" applyAlignment="1">
      <alignment horizontal="center" vertical="center" wrapText="1"/>
    </xf>
    <xf numFmtId="0" fontId="67" fillId="24" borderId="21" xfId="0" applyFont="1" applyFill="1" applyBorder="1" applyAlignment="1">
      <alignment horizontal="center" vertical="center" wrapText="1"/>
    </xf>
    <xf numFmtId="0" fontId="67" fillId="24" borderId="10" xfId="0" applyFont="1" applyFill="1" applyBorder="1" applyAlignment="1">
      <alignment horizontal="center" vertical="center" wrapText="1"/>
    </xf>
    <xf numFmtId="0" fontId="47" fillId="24" borderId="21" xfId="1" applyFont="1" applyFill="1" applyBorder="1" applyAlignment="1">
      <alignment horizontal="center" vertical="center" wrapText="1" readingOrder="2"/>
    </xf>
    <xf numFmtId="0" fontId="47" fillId="24" borderId="10" xfId="1" applyFont="1" applyFill="1" applyBorder="1" applyAlignment="1">
      <alignment horizontal="center" vertical="center" wrapText="1" readingOrder="2"/>
    </xf>
    <xf numFmtId="0" fontId="46" fillId="24" borderId="21" xfId="1" applyFont="1" applyFill="1" applyBorder="1" applyAlignment="1">
      <alignment horizontal="center" vertical="center" wrapText="1" readingOrder="2"/>
    </xf>
    <xf numFmtId="0" fontId="46" fillId="24" borderId="10" xfId="1" applyFont="1" applyFill="1" applyBorder="1" applyAlignment="1">
      <alignment horizontal="center" vertical="center" wrapText="1" readingOrder="2"/>
    </xf>
    <xf numFmtId="168" fontId="67" fillId="24" borderId="21" xfId="1" applyNumberFormat="1" applyFont="1" applyFill="1" applyBorder="1" applyAlignment="1">
      <alignment horizontal="center" vertical="center" wrapText="1"/>
    </xf>
    <xf numFmtId="168" fontId="67" fillId="24" borderId="10" xfId="1" applyNumberFormat="1" applyFont="1" applyFill="1" applyBorder="1" applyAlignment="1">
      <alignment horizontal="center" vertical="center" wrapText="1"/>
    </xf>
    <xf numFmtId="0" fontId="67" fillId="24" borderId="57" xfId="0" applyFont="1" applyFill="1" applyBorder="1" applyAlignment="1">
      <alignment horizontal="center" vertical="center" wrapText="1"/>
    </xf>
    <xf numFmtId="0" fontId="47" fillId="24" borderId="57" xfId="1" applyFont="1" applyFill="1" applyBorder="1" applyAlignment="1">
      <alignment horizontal="center" vertical="center" wrapText="1" readingOrder="2"/>
    </xf>
    <xf numFmtId="0" fontId="46" fillId="24" borderId="57" xfId="1" applyFont="1" applyFill="1" applyBorder="1" applyAlignment="1">
      <alignment horizontal="center" vertical="center" wrapText="1" readingOrder="2"/>
    </xf>
    <xf numFmtId="168" fontId="67" fillId="24" borderId="57" xfId="1" applyNumberFormat="1" applyFont="1" applyFill="1" applyBorder="1" applyAlignment="1">
      <alignment horizontal="center" vertical="center" wrapText="1"/>
    </xf>
    <xf numFmtId="0" fontId="47" fillId="24" borderId="55" xfId="1" applyFont="1" applyFill="1" applyBorder="1" applyAlignment="1">
      <alignment horizontal="center" vertical="center" wrapText="1" readingOrder="2"/>
    </xf>
    <xf numFmtId="0" fontId="47" fillId="24" borderId="31" xfId="1" applyFont="1" applyFill="1" applyBorder="1" applyAlignment="1">
      <alignment horizontal="center" vertical="center" wrapText="1" readingOrder="2"/>
    </xf>
    <xf numFmtId="0" fontId="46" fillId="24" borderId="55" xfId="1" applyFont="1" applyFill="1" applyBorder="1" applyAlignment="1">
      <alignment horizontal="center" vertical="center" wrapText="1" readingOrder="2"/>
    </xf>
    <xf numFmtId="0" fontId="46" fillId="24" borderId="31" xfId="1" applyFont="1" applyFill="1" applyBorder="1" applyAlignment="1">
      <alignment horizontal="center" vertical="center" wrapText="1" readingOrder="2"/>
    </xf>
    <xf numFmtId="0" fontId="67" fillId="24" borderId="55" xfId="0" applyFont="1" applyFill="1" applyBorder="1" applyAlignment="1">
      <alignment horizontal="center" vertical="center"/>
    </xf>
    <xf numFmtId="0" fontId="67" fillId="24" borderId="31" xfId="0" applyFont="1" applyFill="1" applyBorder="1" applyAlignment="1">
      <alignment horizontal="center" vertical="center"/>
    </xf>
    <xf numFmtId="0" fontId="67" fillId="24" borderId="55" xfId="0" applyFont="1" applyFill="1" applyBorder="1" applyAlignment="1">
      <alignment horizontal="center" vertical="center" wrapText="1"/>
    </xf>
    <xf numFmtId="0" fontId="67" fillId="24" borderId="31" xfId="0" applyFont="1" applyFill="1" applyBorder="1" applyAlignment="1">
      <alignment horizontal="center" vertical="center" wrapText="1"/>
    </xf>
    <xf numFmtId="0" fontId="67" fillId="24" borderId="57" xfId="0" applyFont="1" applyFill="1" applyBorder="1" applyAlignment="1">
      <alignment horizontal="center" vertical="center"/>
    </xf>
    <xf numFmtId="0" fontId="67" fillId="24" borderId="10" xfId="0" applyFont="1" applyFill="1" applyBorder="1" applyAlignment="1">
      <alignment horizontal="center" vertical="center"/>
    </xf>
    <xf numFmtId="168" fontId="67" fillId="24" borderId="55" xfId="1" applyNumberFormat="1" applyFont="1" applyFill="1" applyBorder="1" applyAlignment="1">
      <alignment horizontal="center" vertical="center" wrapText="1"/>
    </xf>
    <xf numFmtId="0" fontId="67" fillId="24" borderId="55" xfId="1" applyFont="1" applyFill="1" applyBorder="1" applyAlignment="1">
      <alignment horizontal="center" vertical="center" wrapText="1" readingOrder="2"/>
    </xf>
    <xf numFmtId="0" fontId="67" fillId="24" borderId="75" xfId="1" applyFont="1" applyFill="1" applyBorder="1" applyAlignment="1">
      <alignment horizontal="center" vertical="center" wrapText="1"/>
    </xf>
    <xf numFmtId="168" fontId="67" fillId="24" borderId="31" xfId="1" applyNumberFormat="1" applyFont="1" applyFill="1" applyBorder="1" applyAlignment="1">
      <alignment horizontal="center" vertical="center" wrapText="1"/>
    </xf>
    <xf numFmtId="0" fontId="47" fillId="24" borderId="15" xfId="1" applyFont="1" applyFill="1" applyBorder="1" applyAlignment="1">
      <alignment horizontal="center" vertical="center" wrapText="1" readingOrder="2"/>
    </xf>
    <xf numFmtId="0" fontId="46" fillId="24" borderId="15" xfId="1" applyFont="1" applyFill="1" applyBorder="1" applyAlignment="1">
      <alignment horizontal="center" vertical="center" wrapText="1" readingOrder="2"/>
    </xf>
    <xf numFmtId="168" fontId="67" fillId="24" borderId="15" xfId="1" applyNumberFormat="1" applyFont="1" applyFill="1" applyBorder="1" applyAlignment="1">
      <alignment horizontal="center" vertical="center" wrapText="1"/>
    </xf>
    <xf numFmtId="0" fontId="67" fillId="24" borderId="15" xfId="0" applyFont="1" applyFill="1" applyBorder="1" applyAlignment="1">
      <alignment horizontal="center" vertical="center" wrapText="1"/>
    </xf>
    <xf numFmtId="0" fontId="47" fillId="24" borderId="55" xfId="0" applyFont="1" applyFill="1" applyBorder="1" applyAlignment="1">
      <alignment horizontal="center" vertical="center" wrapText="1" readingOrder="2"/>
    </xf>
    <xf numFmtId="0" fontId="46" fillId="24" borderId="55" xfId="0" applyFont="1" applyFill="1" applyBorder="1" applyAlignment="1">
      <alignment horizontal="center" vertical="center" wrapText="1" readingOrder="2"/>
    </xf>
    <xf numFmtId="0" fontId="67" fillId="24" borderId="55" xfId="1" applyFont="1" applyFill="1" applyBorder="1" applyAlignment="1">
      <alignment horizontal="center" vertical="center"/>
    </xf>
    <xf numFmtId="0" fontId="67" fillId="24" borderId="23" xfId="0" applyFont="1" applyFill="1" applyBorder="1" applyAlignment="1">
      <alignment horizontal="center" vertical="center" wrapText="1"/>
    </xf>
    <xf numFmtId="0" fontId="94" fillId="24" borderId="55" xfId="1" applyFont="1" applyFill="1" applyBorder="1" applyAlignment="1">
      <alignment horizontal="center" vertical="center" wrapText="1"/>
    </xf>
    <xf numFmtId="0" fontId="67" fillId="24" borderId="55" xfId="1" applyFont="1" applyFill="1" applyBorder="1" applyAlignment="1">
      <alignment horizontal="center" vertical="center" wrapText="1"/>
    </xf>
    <xf numFmtId="0" fontId="67" fillId="24" borderId="31" xfId="1" applyFont="1" applyFill="1" applyBorder="1" applyAlignment="1">
      <alignment horizontal="center" vertical="center" wrapText="1"/>
    </xf>
    <xf numFmtId="168" fontId="67" fillId="24" borderId="57" xfId="0" applyNumberFormat="1" applyFont="1" applyFill="1" applyBorder="1" applyAlignment="1">
      <alignment horizontal="center" vertical="center" wrapText="1" readingOrder="2"/>
    </xf>
    <xf numFmtId="0" fontId="47" fillId="24" borderId="10" xfId="0" applyFont="1" applyFill="1" applyBorder="1" applyAlignment="1">
      <alignment horizontal="center" vertical="center" wrapText="1" readingOrder="2"/>
    </xf>
    <xf numFmtId="0" fontId="67" fillId="24" borderId="57" xfId="1" applyFont="1" applyFill="1" applyBorder="1" applyAlignment="1">
      <alignment horizontal="center" vertical="center"/>
    </xf>
    <xf numFmtId="0" fontId="67" fillId="24" borderId="10" xfId="1" applyFont="1" applyFill="1" applyBorder="1" applyAlignment="1">
      <alignment horizontal="center" vertical="center"/>
    </xf>
    <xf numFmtId="1" fontId="46" fillId="24" borderId="57" xfId="0" applyNumberFormat="1" applyFont="1" applyFill="1" applyBorder="1" applyAlignment="1">
      <alignment horizontal="center" vertical="center" wrapText="1" readingOrder="2"/>
    </xf>
    <xf numFmtId="1" fontId="46" fillId="24" borderId="10" xfId="0" applyNumberFormat="1" applyFont="1" applyFill="1" applyBorder="1" applyAlignment="1">
      <alignment horizontal="center" vertical="center" wrapText="1" readingOrder="2"/>
    </xf>
    <xf numFmtId="1" fontId="47" fillId="24" borderId="57" xfId="0" applyNumberFormat="1" applyFont="1" applyFill="1" applyBorder="1" applyAlignment="1">
      <alignment horizontal="center" vertical="center" wrapText="1" readingOrder="2"/>
    </xf>
    <xf numFmtId="1" fontId="47" fillId="24" borderId="10" xfId="0" applyNumberFormat="1" applyFont="1" applyFill="1" applyBorder="1" applyAlignment="1">
      <alignment horizontal="center" vertical="center" wrapText="1" readingOrder="2"/>
    </xf>
    <xf numFmtId="0" fontId="47" fillId="24" borderId="75" xfId="0" applyFont="1" applyFill="1" applyBorder="1" applyAlignment="1">
      <alignment horizontal="center" vertical="center" wrapText="1" readingOrder="2"/>
    </xf>
    <xf numFmtId="0" fontId="46" fillId="24" borderId="75" xfId="0" applyFont="1" applyFill="1" applyBorder="1" applyAlignment="1">
      <alignment horizontal="center" vertical="center" wrapText="1" readingOrder="2"/>
    </xf>
    <xf numFmtId="1" fontId="47" fillId="24" borderId="75" xfId="0" applyNumberFormat="1" applyFont="1" applyFill="1" applyBorder="1" applyAlignment="1">
      <alignment horizontal="center" vertical="center" wrapText="1" readingOrder="2"/>
    </xf>
    <xf numFmtId="1" fontId="46" fillId="24" borderId="75" xfId="0" applyNumberFormat="1" applyFont="1" applyFill="1" applyBorder="1" applyAlignment="1">
      <alignment horizontal="center" vertical="center" wrapText="1" readingOrder="2"/>
    </xf>
    <xf numFmtId="1" fontId="47" fillId="24" borderId="15" xfId="0" applyNumberFormat="1" applyFont="1" applyFill="1" applyBorder="1" applyAlignment="1">
      <alignment horizontal="center" vertical="center" wrapText="1" readingOrder="2"/>
    </xf>
    <xf numFmtId="1" fontId="46" fillId="24" borderId="15" xfId="0" applyNumberFormat="1" applyFont="1" applyFill="1" applyBorder="1" applyAlignment="1">
      <alignment horizontal="center" vertical="center" wrapText="1" readingOrder="2"/>
    </xf>
    <xf numFmtId="1" fontId="47" fillId="24" borderId="75" xfId="174" applyNumberFormat="1" applyFont="1" applyFill="1" applyBorder="1" applyAlignment="1">
      <alignment horizontal="center" vertical="center" wrapText="1" readingOrder="2"/>
    </xf>
    <xf numFmtId="1" fontId="46" fillId="24" borderId="75" xfId="174" applyNumberFormat="1" applyFont="1" applyFill="1" applyBorder="1" applyAlignment="1">
      <alignment horizontal="center" vertical="center" wrapText="1" readingOrder="2"/>
    </xf>
    <xf numFmtId="0" fontId="47" fillId="24" borderId="75" xfId="0" applyFont="1" applyFill="1" applyBorder="1" applyAlignment="1">
      <alignment horizontal="center" vertical="center" readingOrder="2"/>
    </xf>
    <xf numFmtId="49" fontId="47" fillId="24" borderId="75" xfId="0" applyNumberFormat="1" applyFont="1" applyFill="1" applyBorder="1" applyAlignment="1">
      <alignment horizontal="center" vertical="center" wrapText="1" readingOrder="2"/>
    </xf>
    <xf numFmtId="49" fontId="46" fillId="24" borderId="75" xfId="0" applyNumberFormat="1" applyFont="1" applyFill="1" applyBorder="1" applyAlignment="1">
      <alignment horizontal="center" vertical="center" wrapText="1" readingOrder="2"/>
    </xf>
    <xf numFmtId="0" fontId="47" fillId="24" borderId="75" xfId="336" applyNumberFormat="1" applyFont="1" applyFill="1" applyBorder="1" applyAlignment="1">
      <alignment horizontal="center" vertical="center" wrapText="1" readingOrder="2"/>
    </xf>
    <xf numFmtId="0" fontId="46" fillId="24" borderId="75" xfId="336" applyNumberFormat="1" applyFont="1" applyFill="1" applyBorder="1" applyAlignment="1">
      <alignment horizontal="center" vertical="center" wrapText="1" readingOrder="2"/>
    </xf>
    <xf numFmtId="0" fontId="67" fillId="24" borderId="57" xfId="1" applyFont="1" applyFill="1" applyBorder="1" applyAlignment="1">
      <alignment horizontal="center" vertical="center" wrapText="1"/>
    </xf>
    <xf numFmtId="0" fontId="67" fillId="24" borderId="21" xfId="1" applyFont="1" applyFill="1" applyBorder="1" applyAlignment="1">
      <alignment horizontal="center" vertical="center" wrapText="1"/>
    </xf>
    <xf numFmtId="0" fontId="67" fillId="24" borderId="10" xfId="1" applyFont="1" applyFill="1" applyBorder="1" applyAlignment="1">
      <alignment horizontal="center" vertical="center" wrapText="1"/>
    </xf>
    <xf numFmtId="168" fontId="67" fillId="24" borderId="57" xfId="0" applyNumberFormat="1" applyFont="1" applyFill="1" applyBorder="1" applyAlignment="1">
      <alignment horizontal="center" vertical="center" wrapText="1"/>
    </xf>
    <xf numFmtId="168" fontId="67" fillId="24" borderId="10" xfId="0" applyNumberFormat="1" applyFont="1" applyFill="1" applyBorder="1" applyAlignment="1">
      <alignment horizontal="center" vertical="center" wrapText="1"/>
    </xf>
    <xf numFmtId="0" fontId="67" fillId="24" borderId="55" xfId="336" applyNumberFormat="1" applyFont="1" applyFill="1" applyBorder="1" applyAlignment="1">
      <alignment horizontal="center" vertical="center" wrapText="1"/>
    </xf>
    <xf numFmtId="168" fontId="67" fillId="24" borderId="57" xfId="1" applyNumberFormat="1" applyFont="1" applyFill="1" applyBorder="1" applyAlignment="1">
      <alignment horizontal="center" vertical="center" wrapText="1" readingOrder="2"/>
    </xf>
    <xf numFmtId="1" fontId="47" fillId="24" borderId="55" xfId="0" applyNumberFormat="1" applyFont="1" applyFill="1" applyBorder="1" applyAlignment="1">
      <alignment horizontal="center" vertical="center" wrapText="1" readingOrder="2"/>
    </xf>
    <xf numFmtId="0" fontId="47" fillId="24" borderId="23" xfId="1" applyFont="1" applyFill="1" applyBorder="1" applyAlignment="1">
      <alignment horizontal="center" vertical="center" wrapText="1" readingOrder="2"/>
    </xf>
    <xf numFmtId="0" fontId="46" fillId="24" borderId="23" xfId="1" applyFont="1" applyFill="1" applyBorder="1" applyAlignment="1">
      <alignment horizontal="center" vertical="center" wrapText="1" readingOrder="2"/>
    </xf>
    <xf numFmtId="168" fontId="67" fillId="24" borderId="23" xfId="1" applyNumberFormat="1" applyFont="1" applyFill="1" applyBorder="1" applyAlignment="1">
      <alignment horizontal="center" vertical="center" wrapText="1"/>
    </xf>
    <xf numFmtId="0" fontId="47" fillId="24" borderId="55" xfId="336" applyNumberFormat="1" applyFont="1" applyFill="1" applyBorder="1" applyAlignment="1">
      <alignment horizontal="center" vertical="center" wrapText="1" readingOrder="2"/>
    </xf>
    <xf numFmtId="0" fontId="67" fillId="24" borderId="21" xfId="0" applyFont="1" applyFill="1" applyBorder="1" applyAlignment="1">
      <alignment horizontal="center" vertical="center"/>
    </xf>
    <xf numFmtId="168" fontId="67" fillId="24" borderId="55" xfId="0" applyNumberFormat="1" applyFont="1" applyFill="1" applyBorder="1" applyAlignment="1">
      <alignment horizontal="center" vertical="center"/>
    </xf>
    <xf numFmtId="0" fontId="47" fillId="24" borderId="0" xfId="0" applyFont="1" applyFill="1" applyAlignment="1">
      <alignment horizontal="center" vertical="center" wrapText="1"/>
    </xf>
    <xf numFmtId="168" fontId="67" fillId="24" borderId="75" xfId="0" applyNumberFormat="1" applyFont="1" applyFill="1" applyBorder="1" applyAlignment="1">
      <alignment horizontal="center" vertical="center" wrapText="1" readingOrder="2"/>
    </xf>
    <xf numFmtId="168" fontId="67" fillId="24" borderId="15" xfId="0" applyNumberFormat="1" applyFont="1" applyFill="1" applyBorder="1" applyAlignment="1">
      <alignment horizontal="center" vertical="center" wrapText="1" readingOrder="2"/>
    </xf>
    <xf numFmtId="0" fontId="67" fillId="24" borderId="15" xfId="0" applyFont="1" applyFill="1" applyBorder="1" applyAlignment="1">
      <alignment horizontal="center" vertical="center"/>
    </xf>
    <xf numFmtId="0" fontId="67" fillId="24" borderId="75" xfId="0" applyFont="1" applyFill="1" applyBorder="1" applyAlignment="1">
      <alignment horizontal="center" vertical="center"/>
    </xf>
    <xf numFmtId="0" fontId="94" fillId="24" borderId="31" xfId="1" applyFont="1" applyFill="1" applyBorder="1" applyAlignment="1">
      <alignment horizontal="center" vertical="center" wrapText="1"/>
    </xf>
    <xf numFmtId="1" fontId="46" fillId="24" borderId="55" xfId="0" applyNumberFormat="1" applyFont="1" applyFill="1" applyBorder="1" applyAlignment="1">
      <alignment horizontal="center" vertical="center" wrapText="1" readingOrder="2"/>
    </xf>
    <xf numFmtId="168" fontId="67" fillId="24" borderId="55" xfId="0" applyNumberFormat="1" applyFont="1" applyFill="1" applyBorder="1" applyAlignment="1">
      <alignment horizontal="center" vertical="center" wrapText="1" readingOrder="2"/>
    </xf>
    <xf numFmtId="0" fontId="67" fillId="24" borderId="15" xfId="1" applyFont="1" applyFill="1" applyBorder="1" applyAlignment="1">
      <alignment horizontal="center" vertical="center" wrapText="1"/>
    </xf>
    <xf numFmtId="168" fontId="67" fillId="24" borderId="10" xfId="336" applyNumberFormat="1" applyFont="1" applyFill="1" applyBorder="1" applyAlignment="1">
      <alignment horizontal="center" vertical="center" wrapText="1"/>
    </xf>
    <xf numFmtId="0" fontId="46" fillId="24" borderId="55" xfId="336" applyNumberFormat="1" applyFont="1" applyFill="1" applyBorder="1" applyAlignment="1">
      <alignment horizontal="center" vertical="center" wrapText="1" readingOrder="2"/>
    </xf>
    <xf numFmtId="168" fontId="67" fillId="24" borderId="15" xfId="0" applyNumberFormat="1" applyFont="1" applyFill="1" applyBorder="1" applyAlignment="1">
      <alignment horizontal="center" vertical="center" wrapText="1"/>
    </xf>
    <xf numFmtId="168" fontId="67" fillId="24" borderId="55" xfId="0" applyNumberFormat="1" applyFont="1" applyFill="1" applyBorder="1" applyAlignment="1">
      <alignment horizontal="center" vertical="center" wrapText="1"/>
    </xf>
    <xf numFmtId="168" fontId="67" fillId="24" borderId="55" xfId="336" applyNumberFormat="1" applyFont="1" applyFill="1" applyBorder="1" applyAlignment="1">
      <alignment horizontal="center" vertical="center" wrapText="1"/>
    </xf>
    <xf numFmtId="0" fontId="67" fillId="24" borderId="55" xfId="155" applyFont="1" applyFill="1" applyBorder="1" applyAlignment="1">
      <alignment horizontal="center" vertical="center" wrapText="1"/>
    </xf>
    <xf numFmtId="49" fontId="47" fillId="24" borderId="55" xfId="0" applyNumberFormat="1" applyFont="1" applyFill="1" applyBorder="1" applyAlignment="1">
      <alignment horizontal="center" vertical="center" wrapText="1" readingOrder="2"/>
    </xf>
    <xf numFmtId="49" fontId="46" fillId="24" borderId="55" xfId="0" applyNumberFormat="1" applyFont="1" applyFill="1" applyBorder="1" applyAlignment="1">
      <alignment horizontal="center" vertical="center" wrapText="1" readingOrder="2"/>
    </xf>
    <xf numFmtId="168" fontId="67" fillId="24" borderId="55" xfId="174" applyNumberFormat="1" applyFont="1" applyFill="1" applyBorder="1" applyAlignment="1">
      <alignment horizontal="center" vertical="center" wrapText="1"/>
    </xf>
    <xf numFmtId="0" fontId="46" fillId="24" borderId="10" xfId="0" applyFont="1" applyFill="1" applyBorder="1" applyAlignment="1">
      <alignment horizontal="center" vertical="center" wrapText="1" readingOrder="2"/>
    </xf>
    <xf numFmtId="0" fontId="67" fillId="24" borderId="23" xfId="1" applyFont="1" applyFill="1" applyBorder="1" applyAlignment="1">
      <alignment horizontal="center" vertical="center" wrapText="1"/>
    </xf>
    <xf numFmtId="2" fontId="67" fillId="24" borderId="57" xfId="0" applyNumberFormat="1" applyFont="1" applyFill="1" applyBorder="1" applyAlignment="1">
      <alignment horizontal="center" vertical="center" wrapText="1"/>
    </xf>
    <xf numFmtId="0" fontId="47" fillId="24" borderId="15" xfId="0" applyFont="1" applyFill="1" applyBorder="1" applyAlignment="1">
      <alignment horizontal="center" vertical="center" wrapText="1" readingOrder="2"/>
    </xf>
    <xf numFmtId="0" fontId="46" fillId="24" borderId="15" xfId="0" applyFont="1" applyFill="1" applyBorder="1" applyAlignment="1">
      <alignment horizontal="center" vertical="center" wrapText="1" readingOrder="2"/>
    </xf>
    <xf numFmtId="0" fontId="67" fillId="24" borderId="10" xfId="336" applyNumberFormat="1" applyFont="1" applyFill="1" applyBorder="1" applyAlignment="1">
      <alignment horizontal="center" vertical="center" wrapText="1"/>
    </xf>
    <xf numFmtId="168" fontId="67" fillId="24" borderId="55" xfId="1" applyNumberFormat="1" applyFont="1" applyFill="1" applyBorder="1" applyAlignment="1">
      <alignment horizontal="center" vertical="center"/>
    </xf>
    <xf numFmtId="0" fontId="94" fillId="24" borderId="15" xfId="1" applyFont="1" applyFill="1" applyBorder="1" applyAlignment="1">
      <alignment horizontal="center" vertical="center" wrapText="1"/>
    </xf>
    <xf numFmtId="0" fontId="67" fillId="24" borderId="26" xfId="1" applyFont="1" applyFill="1" applyBorder="1" applyAlignment="1">
      <alignment horizontal="center" vertical="center" wrapText="1"/>
    </xf>
    <xf numFmtId="168" fontId="67" fillId="24" borderId="21" xfId="1" applyNumberFormat="1" applyFont="1" applyFill="1" applyBorder="1" applyAlignment="1">
      <alignment horizontal="center" vertical="center"/>
    </xf>
    <xf numFmtId="168" fontId="67" fillId="24" borderId="55" xfId="1" applyNumberFormat="1" applyFont="1" applyFill="1" applyBorder="1" applyAlignment="1">
      <alignment horizontal="center" vertical="center" wrapText="1" readingOrder="2"/>
    </xf>
    <xf numFmtId="168" fontId="67" fillId="24" borderId="31" xfId="1" applyNumberFormat="1" applyFont="1" applyFill="1" applyBorder="1" applyAlignment="1">
      <alignment horizontal="center" vertical="center" wrapText="1" readingOrder="2"/>
    </xf>
    <xf numFmtId="168" fontId="67" fillId="24" borderId="15" xfId="1" applyNumberFormat="1" applyFont="1" applyFill="1" applyBorder="1" applyAlignment="1">
      <alignment horizontal="center" vertical="center" wrapText="1" readingOrder="2"/>
    </xf>
    <xf numFmtId="0" fontId="67" fillId="24" borderId="15" xfId="155" applyFont="1" applyFill="1" applyBorder="1" applyAlignment="1">
      <alignment horizontal="center" vertical="center" wrapText="1"/>
    </xf>
    <xf numFmtId="2" fontId="67" fillId="24" borderId="55" xfId="0" applyNumberFormat="1" applyFont="1" applyFill="1" applyBorder="1" applyAlignment="1">
      <alignment horizontal="center" vertical="center" wrapText="1"/>
    </xf>
    <xf numFmtId="0" fontId="67" fillId="24" borderId="57" xfId="155" applyFont="1" applyFill="1" applyBorder="1" applyAlignment="1">
      <alignment horizontal="center" vertical="center" wrapText="1"/>
    </xf>
    <xf numFmtId="49" fontId="47" fillId="24" borderId="31" xfId="0" applyNumberFormat="1" applyFont="1" applyFill="1" applyBorder="1" applyAlignment="1">
      <alignment horizontal="center" vertical="center" wrapText="1" readingOrder="2"/>
    </xf>
    <xf numFmtId="49" fontId="46" fillId="24" borderId="31" xfId="0" applyNumberFormat="1" applyFont="1" applyFill="1" applyBorder="1" applyAlignment="1">
      <alignment horizontal="center" vertical="center" wrapText="1" readingOrder="2"/>
    </xf>
    <xf numFmtId="168" fontId="67" fillId="24" borderId="31" xfId="0" applyNumberFormat="1" applyFont="1" applyFill="1" applyBorder="1" applyAlignment="1">
      <alignment horizontal="center" vertical="center" wrapText="1"/>
    </xf>
    <xf numFmtId="0" fontId="67" fillId="24" borderId="31" xfId="155" applyFont="1" applyFill="1" applyBorder="1" applyAlignment="1">
      <alignment horizontal="center" vertical="center" wrapText="1"/>
    </xf>
    <xf numFmtId="0" fontId="47" fillId="24" borderId="31" xfId="0" applyFont="1" applyFill="1" applyBorder="1" applyAlignment="1">
      <alignment horizontal="center" vertical="center" wrapText="1" readingOrder="2"/>
    </xf>
    <xf numFmtId="0" fontId="46" fillId="24" borderId="75" xfId="0" applyFont="1" applyFill="1" applyBorder="1" applyAlignment="1">
      <alignment horizontal="center" vertical="center" readingOrder="2"/>
    </xf>
    <xf numFmtId="0" fontId="46" fillId="24" borderId="31" xfId="0" applyFont="1" applyFill="1" applyBorder="1" applyAlignment="1">
      <alignment horizontal="center" vertical="center" wrapText="1" readingOrder="2"/>
    </xf>
    <xf numFmtId="0" fontId="55" fillId="24" borderId="55" xfId="1" applyFont="1" applyFill="1" applyBorder="1" applyAlignment="1">
      <alignment horizontal="center" vertical="center" wrapText="1"/>
    </xf>
    <xf numFmtId="0" fontId="47" fillId="24" borderId="75" xfId="1" applyFont="1" applyFill="1" applyBorder="1" applyAlignment="1">
      <alignment horizontal="center" vertical="center" wrapText="1" readingOrder="2"/>
    </xf>
    <xf numFmtId="0" fontId="46" fillId="24" borderId="75" xfId="1" applyFont="1" applyFill="1" applyBorder="1" applyAlignment="1">
      <alignment horizontal="center" vertical="center" wrapText="1" readingOrder="2"/>
    </xf>
    <xf numFmtId="0" fontId="46" fillId="24" borderId="55" xfId="1" applyFont="1" applyFill="1" applyBorder="1" applyAlignment="1">
      <alignment horizontal="center" vertical="center" wrapText="1" readingOrder="2"/>
    </xf>
    <xf numFmtId="0" fontId="67" fillId="24" borderId="55" xfId="0" applyFont="1" applyFill="1" applyBorder="1" applyAlignment="1">
      <alignment horizontal="center" vertical="center" wrapText="1"/>
    </xf>
    <xf numFmtId="168" fontId="67" fillId="24" borderId="55" xfId="1" applyNumberFormat="1" applyFont="1" applyFill="1" applyBorder="1" applyAlignment="1">
      <alignment horizontal="center" vertical="center" wrapText="1"/>
    </xf>
    <xf numFmtId="0" fontId="47" fillId="24" borderId="55" xfId="1" applyFont="1" applyFill="1" applyBorder="1" applyAlignment="1">
      <alignment horizontal="center" vertical="center" wrapText="1" readingOrder="2"/>
    </xf>
    <xf numFmtId="0" fontId="67" fillId="24" borderId="55" xfId="1" applyFont="1" applyFill="1" applyBorder="1" applyAlignment="1">
      <alignment horizontal="center" vertical="center" wrapText="1"/>
    </xf>
    <xf numFmtId="0" fontId="94" fillId="24" borderId="55" xfId="1" applyFont="1" applyFill="1" applyBorder="1" applyAlignment="1">
      <alignment horizontal="center" vertical="center" wrapText="1"/>
    </xf>
    <xf numFmtId="0" fontId="67" fillId="24" borderId="10" xfId="0" quotePrefix="1" applyFont="1" applyFill="1" applyBorder="1" applyAlignment="1">
      <alignment horizontal="center" vertical="center" wrapText="1"/>
    </xf>
    <xf numFmtId="1" fontId="47" fillId="24" borderId="75" xfId="0" applyNumberFormat="1" applyFont="1" applyFill="1" applyBorder="1" applyAlignment="1">
      <alignment horizontal="center" vertical="center" wrapText="1" readingOrder="2"/>
    </xf>
    <xf numFmtId="1" fontId="46" fillId="24" borderId="75" xfId="0" applyNumberFormat="1" applyFont="1" applyFill="1" applyBorder="1" applyAlignment="1">
      <alignment horizontal="center" vertical="center" wrapText="1" readingOrder="2"/>
    </xf>
    <xf numFmtId="168" fontId="67" fillId="24" borderId="10" xfId="1" applyNumberFormat="1" applyFont="1" applyFill="1" applyBorder="1" applyAlignment="1">
      <alignment horizontal="center" vertical="center" wrapText="1"/>
    </xf>
    <xf numFmtId="1" fontId="46" fillId="24" borderId="10" xfId="0" applyNumberFormat="1" applyFont="1" applyFill="1" applyBorder="1" applyAlignment="1">
      <alignment horizontal="center" vertical="center" wrapText="1" readingOrder="2"/>
    </xf>
    <xf numFmtId="0" fontId="67" fillId="24" borderId="10" xfId="0" applyFont="1" applyFill="1" applyBorder="1" applyAlignment="1">
      <alignment horizontal="center" vertical="center" wrapText="1"/>
    </xf>
    <xf numFmtId="0" fontId="67" fillId="24" borderId="31" xfId="0" applyFont="1" applyFill="1" applyBorder="1" applyAlignment="1">
      <alignment horizontal="center" vertical="center" wrapText="1"/>
    </xf>
    <xf numFmtId="0" fontId="67" fillId="24" borderId="75" xfId="0" applyFont="1" applyFill="1" applyBorder="1" applyAlignment="1">
      <alignment horizontal="center" vertical="center" wrapText="1"/>
    </xf>
    <xf numFmtId="0" fontId="67" fillId="24" borderId="10" xfId="1" applyFont="1" applyFill="1" applyBorder="1" applyAlignment="1">
      <alignment horizontal="center" vertical="center" wrapText="1"/>
    </xf>
    <xf numFmtId="1" fontId="47" fillId="24" borderId="10" xfId="0" applyNumberFormat="1" applyFont="1" applyFill="1" applyBorder="1" applyAlignment="1">
      <alignment horizontal="center" vertical="center" wrapText="1" readingOrder="2"/>
    </xf>
    <xf numFmtId="0" fontId="67" fillId="24" borderId="75" xfId="0" applyFont="1" applyFill="1" applyBorder="1" applyAlignment="1">
      <alignment horizontal="center" vertical="center"/>
    </xf>
    <xf numFmtId="0" fontId="67" fillId="24" borderId="26" xfId="1" applyFont="1" applyFill="1" applyBorder="1" applyAlignment="1">
      <alignment horizontal="center" vertical="center" wrapText="1"/>
    </xf>
    <xf numFmtId="0" fontId="67" fillId="24" borderId="75" xfId="1" applyFont="1" applyFill="1" applyBorder="1" applyAlignment="1">
      <alignment horizontal="center" vertical="center" wrapText="1"/>
    </xf>
    <xf numFmtId="168" fontId="67" fillId="24" borderId="75" xfId="0" applyNumberFormat="1" applyFont="1" applyFill="1" applyBorder="1" applyAlignment="1">
      <alignment horizontal="center" vertical="center" wrapText="1" readingOrder="2"/>
    </xf>
    <xf numFmtId="0" fontId="47" fillId="24" borderId="10" xfId="0" applyFont="1" applyFill="1" applyBorder="1" applyAlignment="1">
      <alignment horizontal="center" vertical="center"/>
    </xf>
    <xf numFmtId="0" fontId="55" fillId="24" borderId="29" xfId="0" applyFont="1" applyFill="1" applyBorder="1"/>
    <xf numFmtId="0" fontId="55" fillId="24" borderId="50" xfId="0" applyFont="1" applyFill="1" applyBorder="1"/>
    <xf numFmtId="0" fontId="67" fillId="24" borderId="75" xfId="174" applyFont="1" applyFill="1" applyBorder="1" applyAlignment="1">
      <alignment horizontal="center" vertical="center" wrapText="1"/>
    </xf>
    <xf numFmtId="0" fontId="67" fillId="0" borderId="51" xfId="0" applyFont="1" applyFill="1" applyBorder="1" applyAlignment="1">
      <alignment horizontal="center" vertical="center"/>
    </xf>
    <xf numFmtId="0" fontId="67" fillId="0" borderId="29" xfId="0" applyFont="1" applyFill="1" applyBorder="1" applyAlignment="1">
      <alignment horizontal="center" vertical="center"/>
    </xf>
    <xf numFmtId="0" fontId="67" fillId="0" borderId="76" xfId="0" applyFont="1" applyFill="1" applyBorder="1" applyAlignment="1">
      <alignment horizontal="center" vertical="center"/>
    </xf>
    <xf numFmtId="0" fontId="67" fillId="24" borderId="57" xfId="0" applyFont="1" applyFill="1" applyBorder="1" applyAlignment="1">
      <alignment horizontal="center" vertical="center" wrapText="1"/>
    </xf>
    <xf numFmtId="0" fontId="67" fillId="24" borderId="10" xfId="0" applyFont="1" applyFill="1" applyBorder="1" applyAlignment="1">
      <alignment horizontal="center" vertical="center" wrapText="1"/>
    </xf>
    <xf numFmtId="0" fontId="47" fillId="24" borderId="57" xfId="1" applyFont="1" applyFill="1" applyBorder="1" applyAlignment="1">
      <alignment horizontal="center" vertical="center" wrapText="1" readingOrder="2"/>
    </xf>
    <xf numFmtId="0" fontId="46" fillId="24" borderId="57" xfId="1" applyFont="1" applyFill="1" applyBorder="1" applyAlignment="1">
      <alignment horizontal="center" vertical="center" wrapText="1" readingOrder="2"/>
    </xf>
    <xf numFmtId="168" fontId="67" fillId="24" borderId="57" xfId="1" applyNumberFormat="1" applyFont="1" applyFill="1" applyBorder="1" applyAlignment="1">
      <alignment horizontal="center" vertical="center" wrapText="1"/>
    </xf>
    <xf numFmtId="0" fontId="67" fillId="24" borderId="57" xfId="1" applyFont="1" applyFill="1" applyBorder="1" applyAlignment="1">
      <alignment horizontal="center" vertical="center" wrapText="1"/>
    </xf>
    <xf numFmtId="1" fontId="47" fillId="24" borderId="10" xfId="0" applyNumberFormat="1" applyFont="1" applyFill="1" applyBorder="1" applyAlignment="1">
      <alignment horizontal="center" vertical="center" wrapText="1" readingOrder="2"/>
    </xf>
    <xf numFmtId="1" fontId="46" fillId="24" borderId="10" xfId="0" applyNumberFormat="1" applyFont="1" applyFill="1" applyBorder="1" applyAlignment="1">
      <alignment horizontal="center" vertical="center" wrapText="1" readingOrder="2"/>
    </xf>
    <xf numFmtId="0" fontId="47" fillId="24" borderId="75" xfId="1" applyFont="1" applyFill="1" applyBorder="1" applyAlignment="1">
      <alignment horizontal="center" vertical="center" wrapText="1" readingOrder="2"/>
    </xf>
    <xf numFmtId="0" fontId="46" fillId="24" borderId="75" xfId="1" applyFont="1" applyFill="1" applyBorder="1" applyAlignment="1">
      <alignment horizontal="center" vertical="center" wrapText="1" readingOrder="2"/>
    </xf>
    <xf numFmtId="0" fontId="47" fillId="24" borderId="31" xfId="1" applyFont="1" applyFill="1" applyBorder="1" applyAlignment="1">
      <alignment horizontal="center" vertical="center" wrapText="1" readingOrder="2"/>
    </xf>
    <xf numFmtId="0" fontId="46" fillId="24" borderId="31" xfId="1" applyFont="1" applyFill="1" applyBorder="1" applyAlignment="1">
      <alignment horizontal="center" vertical="center" wrapText="1" readingOrder="2"/>
    </xf>
    <xf numFmtId="168" fontId="67" fillId="24" borderId="31" xfId="1" applyNumberFormat="1" applyFont="1" applyFill="1" applyBorder="1" applyAlignment="1">
      <alignment horizontal="center" vertical="center" wrapText="1"/>
    </xf>
    <xf numFmtId="168" fontId="67" fillId="24" borderId="75" xfId="1" applyNumberFormat="1" applyFont="1" applyFill="1" applyBorder="1" applyAlignment="1">
      <alignment horizontal="center" vertical="center" wrapText="1"/>
    </xf>
    <xf numFmtId="0" fontId="67" fillId="24" borderId="31" xfId="0" applyFont="1" applyFill="1" applyBorder="1" applyAlignment="1">
      <alignment horizontal="center" vertical="center" wrapText="1"/>
    </xf>
    <xf numFmtId="0" fontId="67" fillId="24" borderId="75" xfId="0" applyFont="1" applyFill="1" applyBorder="1" applyAlignment="1">
      <alignment horizontal="center" vertical="center" wrapText="1"/>
    </xf>
    <xf numFmtId="0" fontId="67" fillId="24" borderId="21" xfId="0" applyFont="1" applyFill="1" applyBorder="1" applyAlignment="1">
      <alignment horizontal="center" vertical="center"/>
    </xf>
    <xf numFmtId="0" fontId="67" fillId="24" borderId="10" xfId="0" applyFont="1" applyFill="1" applyBorder="1" applyAlignment="1">
      <alignment horizontal="center" vertical="center"/>
    </xf>
    <xf numFmtId="0" fontId="67" fillId="24" borderId="31" xfId="1" applyFont="1" applyFill="1" applyBorder="1" applyAlignment="1">
      <alignment horizontal="center" vertical="center" wrapText="1"/>
    </xf>
    <xf numFmtId="168" fontId="67" fillId="24" borderId="10" xfId="0" applyNumberFormat="1" applyFont="1" applyFill="1" applyBorder="1" applyAlignment="1">
      <alignment horizontal="center" vertical="center" wrapText="1"/>
    </xf>
    <xf numFmtId="0" fontId="67" fillId="24" borderId="75" xfId="0" applyFont="1" applyFill="1" applyBorder="1" applyAlignment="1">
      <alignment horizontal="center" vertical="center"/>
    </xf>
    <xf numFmtId="0" fontId="67" fillId="24" borderId="57" xfId="0" applyFont="1" applyFill="1" applyBorder="1" applyAlignment="1">
      <alignment horizontal="center" vertical="center"/>
    </xf>
    <xf numFmtId="0" fontId="67" fillId="24" borderId="75" xfId="1" applyFont="1" applyFill="1" applyBorder="1" applyAlignment="1">
      <alignment horizontal="center" vertical="center" wrapText="1"/>
    </xf>
    <xf numFmtId="0" fontId="67" fillId="24" borderId="15" xfId="1" applyFont="1" applyFill="1" applyBorder="1" applyAlignment="1">
      <alignment horizontal="center" vertical="center" wrapText="1"/>
    </xf>
    <xf numFmtId="0" fontId="67" fillId="24" borderId="75" xfId="366" applyNumberFormat="1" applyFont="1" applyFill="1" applyBorder="1" applyAlignment="1">
      <alignment horizontal="center" vertical="center" wrapText="1" shrinkToFit="1"/>
    </xf>
    <xf numFmtId="0" fontId="47" fillId="24" borderId="79" xfId="1" applyFont="1" applyFill="1" applyBorder="1" applyAlignment="1">
      <alignment horizontal="center" vertical="center" wrapText="1" readingOrder="2"/>
    </xf>
    <xf numFmtId="0" fontId="67" fillId="24" borderId="10" xfId="2" quotePrefix="1" applyFont="1" applyFill="1" applyBorder="1" applyAlignment="1">
      <alignment horizontal="center" vertical="center" wrapText="1"/>
    </xf>
    <xf numFmtId="49" fontId="47" fillId="24" borderId="10" xfId="2" applyNumberFormat="1" applyFont="1" applyFill="1" applyBorder="1" applyAlignment="1">
      <alignment horizontal="right" vertical="center" wrapText="1"/>
    </xf>
    <xf numFmtId="0" fontId="67" fillId="24" borderId="33" xfId="2" applyFont="1" applyFill="1" applyBorder="1" applyAlignment="1">
      <alignment horizontal="center" vertical="center" shrinkToFit="1"/>
    </xf>
    <xf numFmtId="0" fontId="67" fillId="24" borderId="15" xfId="0" applyFont="1" applyFill="1" applyBorder="1" applyAlignment="1">
      <alignment horizontal="center" vertical="center" wrapText="1"/>
    </xf>
    <xf numFmtId="0" fontId="67" fillId="24" borderId="55" xfId="0" applyFont="1" applyFill="1" applyBorder="1" applyAlignment="1">
      <alignment horizontal="center" vertical="center" wrapText="1"/>
    </xf>
    <xf numFmtId="0" fontId="67" fillId="24" borderId="21" xfId="0" applyFont="1" applyFill="1" applyBorder="1" applyAlignment="1">
      <alignment horizontal="center" vertical="center" wrapText="1"/>
    </xf>
    <xf numFmtId="0" fontId="67" fillId="24" borderId="75" xfId="0" applyFont="1" applyFill="1" applyBorder="1" applyAlignment="1">
      <alignment horizontal="center" vertical="center" wrapText="1"/>
    </xf>
    <xf numFmtId="0" fontId="67" fillId="24" borderId="21" xfId="0" applyFont="1" applyFill="1" applyBorder="1" applyAlignment="1">
      <alignment horizontal="center" vertical="center"/>
    </xf>
    <xf numFmtId="168" fontId="67" fillId="24" borderId="21" xfId="1" applyNumberFormat="1" applyFont="1" applyFill="1" applyBorder="1" applyAlignment="1">
      <alignment horizontal="center" vertical="center"/>
    </xf>
    <xf numFmtId="0" fontId="67" fillId="24" borderId="55" xfId="1" applyFont="1" applyFill="1" applyBorder="1" applyAlignment="1">
      <alignment horizontal="center" vertical="center" wrapText="1"/>
    </xf>
    <xf numFmtId="0" fontId="79" fillId="0" borderId="54" xfId="0" applyFont="1" applyBorder="1" applyAlignment="1">
      <alignment horizontal="center" vertical="center" wrapText="1" readingOrder="2"/>
    </xf>
    <xf numFmtId="0" fontId="79" fillId="0" borderId="16" xfId="0" applyFont="1" applyBorder="1" applyAlignment="1">
      <alignment horizontal="center" vertical="center" wrapText="1" readingOrder="2"/>
    </xf>
    <xf numFmtId="0" fontId="81" fillId="0" borderId="28" xfId="0" applyFont="1" applyBorder="1" applyAlignment="1">
      <alignment horizontal="center" vertical="center" wrapText="1" readingOrder="2"/>
    </xf>
    <xf numFmtId="0" fontId="81" fillId="0" borderId="22" xfId="0" applyFont="1" applyBorder="1" applyAlignment="1">
      <alignment horizontal="center" vertical="center" wrapText="1" readingOrder="2"/>
    </xf>
    <xf numFmtId="0" fontId="81" fillId="0" borderId="53" xfId="0" applyFont="1" applyBorder="1" applyAlignment="1">
      <alignment horizontal="center" vertical="center" wrapText="1" readingOrder="2"/>
    </xf>
    <xf numFmtId="0" fontId="81" fillId="0" borderId="17" xfId="0" applyFont="1" applyBorder="1" applyAlignment="1">
      <alignment horizontal="center" vertical="center" wrapText="1" readingOrder="2"/>
    </xf>
    <xf numFmtId="0" fontId="81" fillId="0" borderId="0" xfId="0" applyFont="1" applyAlignment="1">
      <alignment horizontal="center" vertical="center" wrapText="1" readingOrder="2"/>
    </xf>
    <xf numFmtId="0" fontId="81" fillId="0" borderId="37" xfId="0" applyFont="1" applyBorder="1" applyAlignment="1">
      <alignment horizontal="center" vertical="center" wrapText="1" readingOrder="2"/>
    </xf>
    <xf numFmtId="0" fontId="81" fillId="0" borderId="52" xfId="0" applyFont="1" applyBorder="1" applyAlignment="1">
      <alignment horizontal="center" vertical="center" wrapText="1" readingOrder="2"/>
    </xf>
    <xf numFmtId="0" fontId="81" fillId="0" borderId="60" xfId="0" applyFont="1" applyBorder="1" applyAlignment="1">
      <alignment horizontal="center" vertical="center" wrapText="1" readingOrder="2"/>
    </xf>
    <xf numFmtId="0" fontId="81" fillId="0" borderId="69" xfId="0" applyFont="1" applyBorder="1" applyAlignment="1">
      <alignment horizontal="center" vertical="center" wrapText="1" readingOrder="2"/>
    </xf>
    <xf numFmtId="0" fontId="0" fillId="0" borderId="2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7" xfId="0" applyBorder="1" applyAlignment="1">
      <alignment horizontal="center"/>
    </xf>
    <xf numFmtId="0" fontId="79" fillId="0" borderId="61" xfId="0" applyFont="1" applyBorder="1" applyAlignment="1">
      <alignment horizontal="center" vertical="center" wrapText="1" readingOrder="2"/>
    </xf>
    <xf numFmtId="0" fontId="79" fillId="0" borderId="50" xfId="0" applyFont="1" applyBorder="1" applyAlignment="1">
      <alignment horizontal="center" vertical="center" wrapText="1" readingOrder="2"/>
    </xf>
    <xf numFmtId="0" fontId="85" fillId="0" borderId="60" xfId="0" applyFont="1" applyBorder="1" applyAlignment="1">
      <alignment horizontal="center" vertical="center" wrapText="1"/>
    </xf>
    <xf numFmtId="0" fontId="85" fillId="0" borderId="69" xfId="0" applyFont="1" applyBorder="1" applyAlignment="1">
      <alignment horizontal="center" vertical="center" wrapText="1"/>
    </xf>
    <xf numFmtId="0" fontId="67" fillId="24" borderId="75" xfId="0" applyFont="1" applyFill="1" applyBorder="1" applyAlignment="1">
      <alignment horizontal="center" vertical="center" wrapText="1"/>
    </xf>
    <xf numFmtId="0" fontId="47" fillId="24" borderId="75" xfId="1" applyFont="1" applyFill="1" applyBorder="1" applyAlignment="1">
      <alignment horizontal="center" vertical="center" wrapText="1" readingOrder="2"/>
    </xf>
    <xf numFmtId="0" fontId="46" fillId="24" borderId="75" xfId="1" applyFont="1" applyFill="1" applyBorder="1" applyAlignment="1">
      <alignment horizontal="center" vertical="center" wrapText="1" readingOrder="2"/>
    </xf>
    <xf numFmtId="168" fontId="67" fillId="24" borderId="75" xfId="1" applyNumberFormat="1" applyFont="1" applyFill="1" applyBorder="1" applyAlignment="1">
      <alignment horizontal="center" vertical="center" wrapText="1"/>
    </xf>
    <xf numFmtId="0" fontId="67" fillId="24" borderId="75" xfId="1" applyFont="1" applyFill="1" applyBorder="1" applyAlignment="1">
      <alignment horizontal="center" vertical="center" wrapText="1"/>
    </xf>
    <xf numFmtId="0" fontId="46" fillId="24" borderId="57" xfId="1" applyFont="1" applyFill="1" applyBorder="1" applyAlignment="1">
      <alignment horizontal="center" vertical="center" wrapText="1" readingOrder="2"/>
    </xf>
    <xf numFmtId="0" fontId="46" fillId="24" borderId="10" xfId="1" applyFont="1" applyFill="1" applyBorder="1" applyAlignment="1">
      <alignment horizontal="center" vertical="center" wrapText="1" readingOrder="2"/>
    </xf>
    <xf numFmtId="168" fontId="67" fillId="24" borderId="57" xfId="1" applyNumberFormat="1" applyFont="1" applyFill="1" applyBorder="1" applyAlignment="1">
      <alignment horizontal="center" vertical="center" wrapText="1"/>
    </xf>
    <xf numFmtId="168" fontId="67" fillId="24" borderId="10" xfId="1" applyNumberFormat="1" applyFont="1" applyFill="1" applyBorder="1" applyAlignment="1">
      <alignment horizontal="center" vertical="center" wrapText="1"/>
    </xf>
    <xf numFmtId="0" fontId="67" fillId="24" borderId="57" xfId="1" applyFont="1" applyFill="1" applyBorder="1" applyAlignment="1">
      <alignment horizontal="center" vertical="center" wrapText="1"/>
    </xf>
    <xf numFmtId="0" fontId="67" fillId="24" borderId="23" xfId="1" applyFont="1" applyFill="1" applyBorder="1" applyAlignment="1">
      <alignment horizontal="center" vertical="center" wrapText="1"/>
    </xf>
    <xf numFmtId="168" fontId="67" fillId="24" borderId="55" xfId="1" applyNumberFormat="1" applyFont="1" applyFill="1" applyBorder="1" applyAlignment="1">
      <alignment horizontal="center" vertical="center" wrapText="1"/>
    </xf>
    <xf numFmtId="2" fontId="67" fillId="24" borderId="26" xfId="0" applyNumberFormat="1" applyFont="1" applyFill="1" applyBorder="1" applyAlignment="1">
      <alignment horizontal="center" vertical="center"/>
    </xf>
    <xf numFmtId="2" fontId="67" fillId="24" borderId="21" xfId="0" applyNumberFormat="1" applyFont="1" applyFill="1" applyBorder="1" applyAlignment="1">
      <alignment horizontal="center" vertical="center"/>
    </xf>
    <xf numFmtId="1" fontId="47" fillId="24" borderId="26" xfId="0" applyNumberFormat="1" applyFont="1" applyFill="1" applyBorder="1" applyAlignment="1">
      <alignment horizontal="center" vertical="center" wrapText="1" readingOrder="2"/>
    </xf>
    <xf numFmtId="1" fontId="47" fillId="24" borderId="21" xfId="0" applyNumberFormat="1" applyFont="1" applyFill="1" applyBorder="1" applyAlignment="1">
      <alignment horizontal="center" vertical="center" wrapText="1" readingOrder="2"/>
    </xf>
    <xf numFmtId="1" fontId="47" fillId="24" borderId="10" xfId="0" applyNumberFormat="1" applyFont="1" applyFill="1" applyBorder="1" applyAlignment="1">
      <alignment horizontal="center" vertical="center" wrapText="1" readingOrder="2"/>
    </xf>
    <xf numFmtId="1" fontId="46" fillId="24" borderId="26" xfId="0" applyNumberFormat="1" applyFont="1" applyFill="1" applyBorder="1" applyAlignment="1">
      <alignment horizontal="center" vertical="center" wrapText="1" readingOrder="2"/>
    </xf>
    <xf numFmtId="1" fontId="46" fillId="24" borderId="21" xfId="0" applyNumberFormat="1" applyFont="1" applyFill="1" applyBorder="1" applyAlignment="1">
      <alignment horizontal="center" vertical="center" wrapText="1" readingOrder="2"/>
    </xf>
    <xf numFmtId="1" fontId="46" fillId="24" borderId="10" xfId="0" applyNumberFormat="1" applyFont="1" applyFill="1" applyBorder="1" applyAlignment="1">
      <alignment horizontal="center" vertical="center" wrapText="1" readingOrder="2"/>
    </xf>
    <xf numFmtId="0" fontId="45" fillId="24" borderId="20" xfId="1" applyFont="1" applyFill="1" applyBorder="1" applyAlignment="1">
      <alignment horizontal="center" vertical="center" wrapText="1"/>
    </xf>
    <xf numFmtId="0" fontId="45" fillId="24" borderId="46" xfId="1" applyFont="1" applyFill="1" applyBorder="1" applyAlignment="1">
      <alignment horizontal="center" vertical="center" wrapText="1"/>
    </xf>
    <xf numFmtId="0" fontId="45" fillId="24" borderId="18" xfId="1" applyFont="1" applyFill="1" applyBorder="1" applyAlignment="1">
      <alignment horizontal="center" vertical="center" wrapText="1"/>
    </xf>
    <xf numFmtId="0" fontId="67" fillId="24" borderId="57" xfId="0" applyFont="1" applyFill="1" applyBorder="1" applyAlignment="1">
      <alignment horizontal="center" vertical="center"/>
    </xf>
    <xf numFmtId="0" fontId="67" fillId="24" borderId="10" xfId="0" applyFont="1" applyFill="1" applyBorder="1" applyAlignment="1">
      <alignment horizontal="center" vertical="center"/>
    </xf>
    <xf numFmtId="1" fontId="47" fillId="24" borderId="57" xfId="0" applyNumberFormat="1" applyFont="1" applyFill="1" applyBorder="1" applyAlignment="1">
      <alignment horizontal="center" vertical="center" wrapText="1" readingOrder="2"/>
    </xf>
    <xf numFmtId="1" fontId="46" fillId="24" borderId="57" xfId="0" applyNumberFormat="1" applyFont="1" applyFill="1" applyBorder="1" applyAlignment="1">
      <alignment horizontal="center" vertical="center" wrapText="1" readingOrder="2"/>
    </xf>
    <xf numFmtId="0" fontId="46" fillId="24" borderId="15" xfId="1" applyFont="1" applyFill="1" applyBorder="1" applyAlignment="1">
      <alignment horizontal="center" vertical="center" wrapText="1" readingOrder="2"/>
    </xf>
    <xf numFmtId="49" fontId="47" fillId="24" borderId="75" xfId="0" applyNumberFormat="1" applyFont="1" applyFill="1" applyBorder="1" applyAlignment="1">
      <alignment horizontal="center" vertical="center" wrapText="1" readingOrder="2"/>
    </xf>
    <xf numFmtId="49" fontId="46" fillId="24" borderId="75" xfId="0" applyNumberFormat="1" applyFont="1" applyFill="1" applyBorder="1" applyAlignment="1">
      <alignment horizontal="center" vertical="center" wrapText="1" readingOrder="2"/>
    </xf>
    <xf numFmtId="0" fontId="47" fillId="24" borderId="75" xfId="0" applyFont="1" applyFill="1" applyBorder="1" applyAlignment="1">
      <alignment horizontal="center" vertical="center" wrapText="1" readingOrder="2"/>
    </xf>
    <xf numFmtId="0" fontId="53" fillId="24" borderId="27" xfId="1" applyFont="1" applyFill="1" applyBorder="1" applyAlignment="1">
      <alignment horizontal="center" vertical="center" wrapText="1"/>
    </xf>
    <xf numFmtId="0" fontId="53" fillId="24" borderId="24" xfId="1" applyFont="1" applyFill="1" applyBorder="1" applyAlignment="1">
      <alignment horizontal="center" vertical="center" wrapText="1"/>
    </xf>
    <xf numFmtId="0" fontId="53" fillId="24" borderId="25" xfId="1" applyFont="1" applyFill="1" applyBorder="1" applyAlignment="1">
      <alignment horizontal="center" vertical="center" wrapText="1"/>
    </xf>
    <xf numFmtId="0" fontId="47" fillId="24" borderId="15" xfId="0" applyFont="1" applyFill="1" applyBorder="1" applyAlignment="1">
      <alignment horizontal="center" vertical="center" wrapText="1" readingOrder="2"/>
    </xf>
    <xf numFmtId="0" fontId="47" fillId="24" borderId="31" xfId="0" applyFont="1" applyFill="1" applyBorder="1" applyAlignment="1">
      <alignment horizontal="center" vertical="center" wrapText="1" readingOrder="2"/>
    </xf>
    <xf numFmtId="0" fontId="67" fillId="24" borderId="55" xfId="0" applyFont="1" applyFill="1" applyBorder="1" applyAlignment="1">
      <alignment horizontal="center" vertical="center" wrapText="1"/>
    </xf>
    <xf numFmtId="0" fontId="47" fillId="24" borderId="57" xfId="1" applyFont="1" applyFill="1" applyBorder="1" applyAlignment="1">
      <alignment horizontal="center" vertical="center" wrapText="1" readingOrder="2"/>
    </xf>
    <xf numFmtId="0" fontId="47" fillId="24" borderId="10" xfId="1" applyFont="1" applyFill="1" applyBorder="1" applyAlignment="1">
      <alignment horizontal="center" vertical="center" wrapText="1" readingOrder="2"/>
    </xf>
    <xf numFmtId="0" fontId="47" fillId="24" borderId="55" xfId="1" applyFont="1" applyFill="1" applyBorder="1" applyAlignment="1">
      <alignment horizontal="center" vertical="center" wrapText="1" readingOrder="2"/>
    </xf>
    <xf numFmtId="0" fontId="46" fillId="24" borderId="57" xfId="0" applyFont="1" applyFill="1" applyBorder="1" applyAlignment="1">
      <alignment horizontal="center" vertical="center" readingOrder="2"/>
    </xf>
    <xf numFmtId="0" fontId="46" fillId="24" borderId="21" xfId="0" applyFont="1" applyFill="1" applyBorder="1" applyAlignment="1">
      <alignment horizontal="center" vertical="center" readingOrder="2"/>
    </xf>
    <xf numFmtId="0" fontId="46" fillId="24" borderId="10" xfId="0" applyFont="1" applyFill="1" applyBorder="1" applyAlignment="1">
      <alignment horizontal="center" vertical="center" readingOrder="2"/>
    </xf>
    <xf numFmtId="1" fontId="46" fillId="24" borderId="55" xfId="0" applyNumberFormat="1" applyFont="1" applyFill="1" applyBorder="1" applyAlignment="1">
      <alignment horizontal="center" vertical="center" wrapText="1" readingOrder="2"/>
    </xf>
    <xf numFmtId="0" fontId="46" fillId="24" borderId="31" xfId="1" applyFont="1" applyFill="1" applyBorder="1" applyAlignment="1">
      <alignment horizontal="center" vertical="center" wrapText="1" readingOrder="2"/>
    </xf>
    <xf numFmtId="0" fontId="67" fillId="24" borderId="57" xfId="0" applyFont="1" applyFill="1" applyBorder="1" applyAlignment="1">
      <alignment horizontal="center" vertical="center" wrapText="1"/>
    </xf>
    <xf numFmtId="0" fontId="67" fillId="24" borderId="10" xfId="0" applyFont="1" applyFill="1" applyBorder="1" applyAlignment="1">
      <alignment horizontal="center" vertical="center" wrapText="1"/>
    </xf>
    <xf numFmtId="0" fontId="46" fillId="24" borderId="55" xfId="0" applyFont="1" applyFill="1" applyBorder="1" applyAlignment="1">
      <alignment horizontal="center" vertical="center" wrapText="1" readingOrder="2"/>
    </xf>
    <xf numFmtId="168" fontId="67" fillId="24" borderId="57" xfId="0" applyNumberFormat="1" applyFont="1" applyFill="1" applyBorder="1" applyAlignment="1">
      <alignment horizontal="center" vertical="center" wrapText="1"/>
    </xf>
    <xf numFmtId="168" fontId="67" fillId="24" borderId="10" xfId="0" applyNumberFormat="1" applyFont="1" applyFill="1" applyBorder="1" applyAlignment="1">
      <alignment horizontal="center" vertical="center" wrapText="1"/>
    </xf>
    <xf numFmtId="168" fontId="67" fillId="24" borderId="21" xfId="1" applyNumberFormat="1" applyFont="1" applyFill="1" applyBorder="1" applyAlignment="1">
      <alignment horizontal="center" vertical="center" wrapText="1"/>
    </xf>
    <xf numFmtId="0" fontId="45" fillId="24" borderId="20" xfId="1" applyFont="1" applyFill="1" applyBorder="1" applyAlignment="1">
      <alignment horizontal="center" vertical="center"/>
    </xf>
    <xf numFmtId="0" fontId="45" fillId="24" borderId="46" xfId="1" applyFont="1" applyFill="1" applyBorder="1" applyAlignment="1">
      <alignment horizontal="center" vertical="center"/>
    </xf>
    <xf numFmtId="0" fontId="45" fillId="24" borderId="18" xfId="1" applyFont="1" applyFill="1" applyBorder="1" applyAlignment="1">
      <alignment horizontal="center" vertical="center"/>
    </xf>
    <xf numFmtId="0" fontId="47" fillId="24" borderId="15" xfId="1" applyFont="1" applyFill="1" applyBorder="1" applyAlignment="1">
      <alignment horizontal="center" vertical="center" wrapText="1" readingOrder="2"/>
    </xf>
    <xf numFmtId="0" fontId="47" fillId="24" borderId="21" xfId="0" applyFont="1" applyFill="1" applyBorder="1" applyAlignment="1">
      <alignment horizontal="center" vertical="center" readingOrder="2"/>
    </xf>
    <xf numFmtId="0" fontId="47" fillId="24" borderId="10" xfId="0" applyFont="1" applyFill="1" applyBorder="1" applyAlignment="1">
      <alignment horizontal="center" vertical="center" readingOrder="2"/>
    </xf>
    <xf numFmtId="0" fontId="99" fillId="24" borderId="15" xfId="0" applyFont="1" applyFill="1" applyBorder="1" applyAlignment="1">
      <alignment horizontal="center" vertical="center" wrapText="1"/>
    </xf>
    <xf numFmtId="0" fontId="99" fillId="24" borderId="75" xfId="0" applyFont="1" applyFill="1" applyBorder="1" applyAlignment="1">
      <alignment horizontal="center" vertical="center" wrapText="1"/>
    </xf>
    <xf numFmtId="0" fontId="99" fillId="24" borderId="31" xfId="0" applyFont="1" applyFill="1" applyBorder="1" applyAlignment="1">
      <alignment horizontal="center" vertical="center" wrapText="1"/>
    </xf>
    <xf numFmtId="0" fontId="45" fillId="24" borderId="27" xfId="1" applyFont="1" applyFill="1" applyBorder="1" applyAlignment="1">
      <alignment horizontal="center" vertical="center"/>
    </xf>
    <xf numFmtId="0" fontId="45" fillId="24" borderId="25" xfId="1" applyFont="1" applyFill="1" applyBorder="1" applyAlignment="1">
      <alignment horizontal="center" vertical="center"/>
    </xf>
    <xf numFmtId="0" fontId="45" fillId="24" borderId="27" xfId="1" applyFont="1" applyFill="1" applyBorder="1" applyAlignment="1">
      <alignment horizontal="center" vertical="center" wrapText="1"/>
    </xf>
    <xf numFmtId="0" fontId="45" fillId="24" borderId="25" xfId="1" applyFont="1" applyFill="1" applyBorder="1" applyAlignment="1">
      <alignment horizontal="center" vertical="center" wrapText="1"/>
    </xf>
    <xf numFmtId="0" fontId="45" fillId="24" borderId="24" xfId="1" applyFont="1" applyFill="1" applyBorder="1" applyAlignment="1">
      <alignment horizontal="center" vertical="center" wrapText="1"/>
    </xf>
    <xf numFmtId="1" fontId="46" fillId="24" borderId="15" xfId="1" applyNumberFormat="1" applyFont="1" applyFill="1" applyBorder="1" applyAlignment="1">
      <alignment horizontal="center" vertical="center" wrapText="1" readingOrder="2"/>
    </xf>
    <xf numFmtId="1" fontId="46" fillId="24" borderId="75" xfId="1" applyNumberFormat="1" applyFont="1" applyFill="1" applyBorder="1" applyAlignment="1">
      <alignment horizontal="center" vertical="center" wrapText="1" readingOrder="2"/>
    </xf>
    <xf numFmtId="1" fontId="46" fillId="24" borderId="57" xfId="1" applyNumberFormat="1" applyFont="1" applyFill="1" applyBorder="1" applyAlignment="1">
      <alignment horizontal="center" vertical="center" wrapText="1" readingOrder="2"/>
    </xf>
    <xf numFmtId="0" fontId="46" fillId="24" borderId="15" xfId="0" applyFont="1" applyFill="1" applyBorder="1" applyAlignment="1">
      <alignment horizontal="center" vertical="center" wrapText="1" readingOrder="2"/>
    </xf>
    <xf numFmtId="0" fontId="46" fillId="24" borderId="31" xfId="0" applyFont="1" applyFill="1" applyBorder="1" applyAlignment="1">
      <alignment horizontal="center" vertical="center" wrapText="1" readingOrder="2"/>
    </xf>
    <xf numFmtId="0" fontId="46" fillId="24" borderId="75" xfId="0" applyFont="1" applyFill="1" applyBorder="1" applyAlignment="1">
      <alignment horizontal="center" vertical="center" wrapText="1" readingOrder="2"/>
    </xf>
    <xf numFmtId="0" fontId="47" fillId="24" borderId="31" xfId="1" applyFont="1" applyFill="1" applyBorder="1" applyAlignment="1">
      <alignment horizontal="center" vertical="center" wrapText="1" readingOrder="2"/>
    </xf>
    <xf numFmtId="1" fontId="47" fillId="24" borderId="15" xfId="1" applyNumberFormat="1" applyFont="1" applyFill="1" applyBorder="1" applyAlignment="1">
      <alignment horizontal="center" vertical="center" wrapText="1" readingOrder="2"/>
    </xf>
    <xf numFmtId="1" fontId="47" fillId="24" borderId="75" xfId="1" applyNumberFormat="1" applyFont="1" applyFill="1" applyBorder="1" applyAlignment="1">
      <alignment horizontal="center" vertical="center" wrapText="1" readingOrder="2"/>
    </xf>
    <xf numFmtId="1" fontId="47" fillId="24" borderId="57" xfId="1" applyNumberFormat="1" applyFont="1" applyFill="1" applyBorder="1" applyAlignment="1">
      <alignment horizontal="center" vertical="center" wrapText="1" readingOrder="2"/>
    </xf>
    <xf numFmtId="0" fontId="48" fillId="24" borderId="0" xfId="0" applyFont="1" applyFill="1" applyAlignment="1">
      <alignment horizontal="center" vertical="center" wrapText="1"/>
    </xf>
    <xf numFmtId="1" fontId="47" fillId="24" borderId="15" xfId="0" applyNumberFormat="1" applyFont="1" applyFill="1" applyBorder="1" applyAlignment="1">
      <alignment horizontal="center" vertical="center" wrapText="1" readingOrder="2"/>
    </xf>
    <xf numFmtId="1" fontId="47" fillId="24" borderId="75" xfId="0" applyNumberFormat="1" applyFont="1" applyFill="1" applyBorder="1" applyAlignment="1">
      <alignment horizontal="center" vertical="center" wrapText="1" readingOrder="2"/>
    </xf>
    <xf numFmtId="1" fontId="46" fillId="24" borderId="15" xfId="0" applyNumberFormat="1" applyFont="1" applyFill="1" applyBorder="1" applyAlignment="1">
      <alignment horizontal="center" vertical="center" wrapText="1" readingOrder="2"/>
    </xf>
    <xf numFmtId="1" fontId="46" fillId="24" borderId="75" xfId="0" applyNumberFormat="1" applyFont="1" applyFill="1" applyBorder="1" applyAlignment="1">
      <alignment horizontal="center" vertical="center" wrapText="1" readingOrder="2"/>
    </xf>
    <xf numFmtId="0" fontId="45" fillId="24" borderId="20" xfId="0" applyFont="1" applyFill="1" applyBorder="1" applyAlignment="1">
      <alignment horizontal="center" vertical="center" wrapText="1"/>
    </xf>
    <xf numFmtId="0" fontId="45" fillId="24" borderId="46" xfId="0" applyFont="1" applyFill="1" applyBorder="1" applyAlignment="1">
      <alignment horizontal="center" vertical="center" wrapText="1"/>
    </xf>
    <xf numFmtId="0" fontId="46" fillId="24" borderId="75" xfId="0" applyFont="1" applyFill="1" applyBorder="1" applyAlignment="1">
      <alignment horizontal="center" vertical="center" readingOrder="2"/>
    </xf>
    <xf numFmtId="0" fontId="47" fillId="24" borderId="75" xfId="0" applyFont="1" applyFill="1" applyBorder="1" applyAlignment="1">
      <alignment horizontal="center" vertical="center" readingOrder="2"/>
    </xf>
    <xf numFmtId="0" fontId="45" fillId="24" borderId="64" xfId="0" applyFont="1" applyFill="1" applyBorder="1" applyAlignment="1">
      <alignment horizontal="center" vertical="center" wrapText="1"/>
    </xf>
    <xf numFmtId="0" fontId="45" fillId="24" borderId="18" xfId="0" applyFont="1" applyFill="1" applyBorder="1" applyAlignment="1">
      <alignment horizontal="center" vertical="center" wrapText="1"/>
    </xf>
    <xf numFmtId="0" fontId="47" fillId="24" borderId="21" xfId="1" applyFont="1" applyFill="1" applyBorder="1" applyAlignment="1">
      <alignment horizontal="center" vertical="center" wrapText="1" readingOrder="2"/>
    </xf>
    <xf numFmtId="0" fontId="46" fillId="24" borderId="21" xfId="1" applyFont="1" applyFill="1" applyBorder="1" applyAlignment="1">
      <alignment horizontal="center" vertical="center" wrapText="1" readingOrder="2"/>
    </xf>
    <xf numFmtId="0" fontId="45" fillId="24" borderId="20" xfId="0" applyFont="1" applyFill="1" applyBorder="1" applyAlignment="1">
      <alignment horizontal="center" vertical="center"/>
    </xf>
    <xf numFmtId="0" fontId="45" fillId="24" borderId="46" xfId="0" applyFont="1" applyFill="1" applyBorder="1" applyAlignment="1">
      <alignment horizontal="center" vertical="center"/>
    </xf>
    <xf numFmtId="0" fontId="45" fillId="24" borderId="18" xfId="0" applyFont="1" applyFill="1" applyBorder="1" applyAlignment="1">
      <alignment horizontal="center" vertical="center"/>
    </xf>
    <xf numFmtId="0" fontId="47" fillId="24" borderId="75" xfId="1" applyFont="1" applyFill="1" applyBorder="1" applyAlignment="1">
      <alignment horizontal="center" vertical="center" wrapText="1" readingOrder="1"/>
    </xf>
    <xf numFmtId="165" fontId="47" fillId="24" borderId="75" xfId="0" applyNumberFormat="1" applyFont="1" applyFill="1" applyBorder="1" applyAlignment="1">
      <alignment horizontal="center" vertical="center" wrapText="1" readingOrder="2"/>
    </xf>
    <xf numFmtId="165" fontId="46" fillId="24" borderId="75" xfId="0" applyNumberFormat="1" applyFont="1" applyFill="1" applyBorder="1" applyAlignment="1">
      <alignment horizontal="center" vertical="center" wrapText="1" readingOrder="2"/>
    </xf>
    <xf numFmtId="0" fontId="46" fillId="24" borderId="55" xfId="1" applyFont="1" applyFill="1" applyBorder="1" applyAlignment="1">
      <alignment horizontal="center" vertical="center" wrapText="1" readingOrder="2"/>
    </xf>
    <xf numFmtId="0" fontId="45" fillId="24" borderId="19" xfId="1" applyFont="1" applyFill="1" applyBorder="1" applyAlignment="1">
      <alignment horizontal="center" vertical="center"/>
    </xf>
    <xf numFmtId="0" fontId="46" fillId="24" borderId="26" xfId="1" applyFont="1" applyFill="1" applyBorder="1" applyAlignment="1">
      <alignment horizontal="center" vertical="center" wrapText="1" readingOrder="2"/>
    </xf>
    <xf numFmtId="168" fontId="67" fillId="24" borderId="55" xfId="0" applyNumberFormat="1" applyFont="1" applyFill="1" applyBorder="1" applyAlignment="1">
      <alignment horizontal="center" vertical="center" wrapText="1"/>
    </xf>
    <xf numFmtId="168" fontId="67" fillId="24" borderId="55" xfId="1" applyNumberFormat="1" applyFont="1" applyFill="1" applyBorder="1" applyAlignment="1">
      <alignment horizontal="center" vertical="center"/>
    </xf>
    <xf numFmtId="168" fontId="67" fillId="24" borderId="31" xfId="1" applyNumberFormat="1" applyFont="1" applyFill="1" applyBorder="1" applyAlignment="1">
      <alignment horizontal="center" vertical="center" wrapText="1"/>
    </xf>
    <xf numFmtId="0" fontId="47" fillId="24" borderId="26" xfId="1" applyFont="1" applyFill="1" applyBorder="1" applyAlignment="1">
      <alignment horizontal="center" vertical="center" wrapText="1" readingOrder="2"/>
    </xf>
    <xf numFmtId="0" fontId="67" fillId="24" borderId="55" xfId="155" applyFont="1" applyFill="1" applyBorder="1" applyAlignment="1">
      <alignment horizontal="center" vertical="center" wrapText="1"/>
    </xf>
    <xf numFmtId="0" fontId="67" fillId="24" borderId="31" xfId="155" applyFont="1" applyFill="1" applyBorder="1" applyAlignment="1">
      <alignment horizontal="center" vertical="center" wrapText="1"/>
    </xf>
    <xf numFmtId="0" fontId="67" fillId="24" borderId="26" xfId="0" applyFont="1" applyFill="1" applyBorder="1" applyAlignment="1">
      <alignment horizontal="center" vertical="center" wrapText="1"/>
    </xf>
    <xf numFmtId="168" fontId="67" fillId="24" borderId="26" xfId="1" applyNumberFormat="1" applyFont="1" applyFill="1" applyBorder="1" applyAlignment="1">
      <alignment horizontal="center" vertical="center" wrapText="1"/>
    </xf>
    <xf numFmtId="0" fontId="67" fillId="24" borderId="55" xfId="1" applyFont="1" applyFill="1" applyBorder="1" applyAlignment="1">
      <alignment horizontal="center" vertical="center" wrapText="1"/>
    </xf>
    <xf numFmtId="168" fontId="67" fillId="24" borderId="15" xfId="1" applyNumberFormat="1" applyFont="1" applyFill="1" applyBorder="1" applyAlignment="1">
      <alignment horizontal="center" vertical="center" wrapText="1"/>
    </xf>
    <xf numFmtId="0" fontId="67" fillId="24" borderId="15" xfId="0" applyFont="1" applyFill="1" applyBorder="1" applyAlignment="1">
      <alignment horizontal="center" vertical="center" wrapText="1"/>
    </xf>
    <xf numFmtId="0" fontId="94" fillId="24" borderId="55" xfId="1" applyFont="1" applyFill="1" applyBorder="1" applyAlignment="1">
      <alignment horizontal="center" vertical="center" wrapText="1"/>
    </xf>
    <xf numFmtId="0" fontId="94" fillId="24" borderId="15" xfId="0" applyFont="1" applyFill="1" applyBorder="1" applyAlignment="1">
      <alignment horizontal="center" vertical="center" wrapText="1"/>
    </xf>
    <xf numFmtId="0" fontId="94" fillId="24" borderId="55" xfId="0" applyFont="1" applyFill="1" applyBorder="1" applyAlignment="1">
      <alignment horizontal="center" vertical="center" wrapText="1"/>
    </xf>
    <xf numFmtId="0" fontId="67" fillId="24" borderId="55" xfId="1" applyFont="1" applyFill="1" applyBorder="1" applyAlignment="1">
      <alignment horizontal="center" vertical="center"/>
    </xf>
    <xf numFmtId="0" fontId="67" fillId="24" borderId="21" xfId="0" applyFont="1" applyFill="1" applyBorder="1" applyAlignment="1">
      <alignment horizontal="center" vertical="center" wrapText="1"/>
    </xf>
    <xf numFmtId="0" fontId="67" fillId="24" borderId="55" xfId="0" applyFont="1" applyFill="1" applyBorder="1" applyAlignment="1">
      <alignment horizontal="center" vertical="center"/>
    </xf>
    <xf numFmtId="168" fontId="67" fillId="24" borderId="26" xfId="1" applyNumberFormat="1" applyFont="1" applyFill="1" applyBorder="1" applyAlignment="1">
      <alignment horizontal="center" vertical="center"/>
    </xf>
    <xf numFmtId="168" fontId="67" fillId="24" borderId="21" xfId="1" applyNumberFormat="1" applyFont="1" applyFill="1" applyBorder="1" applyAlignment="1">
      <alignment horizontal="center" vertical="center"/>
    </xf>
    <xf numFmtId="168" fontId="67" fillId="24" borderId="10" xfId="1" applyNumberFormat="1" applyFont="1" applyFill="1" applyBorder="1" applyAlignment="1">
      <alignment horizontal="center" vertical="center"/>
    </xf>
    <xf numFmtId="0" fontId="67" fillId="24" borderId="31" xfId="0" applyFont="1" applyFill="1" applyBorder="1" applyAlignment="1">
      <alignment horizontal="center" vertical="center" wrapText="1"/>
    </xf>
    <xf numFmtId="0" fontId="46" fillId="24" borderId="75" xfId="1" quotePrefix="1" applyFont="1" applyFill="1" applyBorder="1" applyAlignment="1">
      <alignment horizontal="center" vertical="center" wrapText="1" readingOrder="2"/>
    </xf>
    <xf numFmtId="49" fontId="47" fillId="24" borderId="31" xfId="0" applyNumberFormat="1" applyFont="1" applyFill="1" applyBorder="1" applyAlignment="1">
      <alignment horizontal="center" vertical="center" wrapText="1" readingOrder="2"/>
    </xf>
    <xf numFmtId="49" fontId="46" fillId="24" borderId="31" xfId="0" applyNumberFormat="1" applyFont="1" applyFill="1" applyBorder="1" applyAlignment="1">
      <alignment horizontal="center" vertical="center" wrapText="1" readingOrder="2"/>
    </xf>
    <xf numFmtId="0" fontId="45" fillId="24" borderId="24" xfId="1" applyFont="1" applyFill="1" applyBorder="1" applyAlignment="1">
      <alignment horizontal="center" vertical="center"/>
    </xf>
    <xf numFmtId="0" fontId="67" fillId="24" borderId="31" xfId="0" applyFont="1" applyFill="1" applyBorder="1" applyAlignment="1">
      <alignment horizontal="center" vertical="center"/>
    </xf>
    <xf numFmtId="0" fontId="67" fillId="24" borderId="21" xfId="0" applyFont="1" applyFill="1" applyBorder="1" applyAlignment="1">
      <alignment horizontal="center" vertical="center"/>
    </xf>
    <xf numFmtId="0" fontId="67" fillId="24" borderId="31" xfId="1" applyFont="1" applyFill="1" applyBorder="1" applyAlignment="1">
      <alignment horizontal="center" vertical="center" wrapText="1"/>
    </xf>
    <xf numFmtId="0" fontId="67" fillId="24" borderId="10" xfId="155" applyFont="1" applyFill="1" applyBorder="1" applyAlignment="1">
      <alignment horizontal="center" vertical="center" wrapText="1"/>
    </xf>
    <xf numFmtId="168" fontId="67" fillId="24" borderId="55" xfId="335" applyNumberFormat="1" applyFont="1" applyFill="1" applyBorder="1" applyAlignment="1">
      <alignment horizontal="center" vertical="center" wrapText="1" readingOrder="2"/>
    </xf>
    <xf numFmtId="0" fontId="67" fillId="24" borderId="23" xfId="0" applyFont="1" applyFill="1" applyBorder="1" applyAlignment="1">
      <alignment horizontal="center" vertical="center" wrapText="1"/>
    </xf>
    <xf numFmtId="0" fontId="47" fillId="24" borderId="23" xfId="1" applyFont="1" applyFill="1" applyBorder="1" applyAlignment="1">
      <alignment horizontal="center" vertical="center" wrapText="1" readingOrder="2"/>
    </xf>
    <xf numFmtId="0" fontId="46" fillId="24" borderId="23" xfId="1" applyFont="1" applyFill="1" applyBorder="1" applyAlignment="1">
      <alignment horizontal="center" vertical="center" wrapText="1" readingOrder="2"/>
    </xf>
    <xf numFmtId="168" fontId="67" fillId="24" borderId="23" xfId="1" applyNumberFormat="1" applyFont="1" applyFill="1" applyBorder="1" applyAlignment="1">
      <alignment horizontal="center" vertical="center" wrapText="1"/>
    </xf>
    <xf numFmtId="2" fontId="67" fillId="24" borderId="55" xfId="0" applyNumberFormat="1" applyFont="1" applyFill="1" applyBorder="1" applyAlignment="1">
      <alignment horizontal="center" vertical="center" wrapText="1"/>
    </xf>
    <xf numFmtId="49" fontId="47" fillId="24" borderId="55" xfId="0" applyNumberFormat="1" applyFont="1" applyFill="1" applyBorder="1" applyAlignment="1">
      <alignment horizontal="center" vertical="center" wrapText="1" readingOrder="2"/>
    </xf>
    <xf numFmtId="49" fontId="46" fillId="24" borderId="55" xfId="0" applyNumberFormat="1" applyFont="1" applyFill="1" applyBorder="1" applyAlignment="1">
      <alignment horizontal="center" vertical="center" wrapText="1" readingOrder="2"/>
    </xf>
    <xf numFmtId="168" fontId="67" fillId="24" borderId="31" xfId="0" applyNumberFormat="1" applyFont="1" applyFill="1" applyBorder="1" applyAlignment="1">
      <alignment horizontal="center" vertical="center" wrapText="1"/>
    </xf>
    <xf numFmtId="2" fontId="67" fillId="24" borderId="55" xfId="155" applyNumberFormat="1" applyFont="1" applyFill="1" applyBorder="1" applyAlignment="1">
      <alignment horizontal="center" vertical="center" wrapText="1"/>
    </xf>
    <xf numFmtId="168" fontId="67" fillId="24" borderId="21" xfId="0" applyNumberFormat="1" applyFont="1" applyFill="1" applyBorder="1" applyAlignment="1">
      <alignment horizontal="center" vertical="center" wrapText="1"/>
    </xf>
    <xf numFmtId="0" fontId="67" fillId="24" borderId="26" xfId="155" applyFont="1" applyFill="1" applyBorder="1" applyAlignment="1">
      <alignment horizontal="center" vertical="center" wrapText="1"/>
    </xf>
    <xf numFmtId="168" fontId="67" fillId="24" borderId="26" xfId="1" applyNumberFormat="1" applyFont="1" applyFill="1" applyBorder="1" applyAlignment="1">
      <alignment horizontal="center" vertical="center" wrapText="1" readingOrder="2"/>
    </xf>
    <xf numFmtId="168" fontId="67" fillId="24" borderId="10" xfId="1" applyNumberFormat="1" applyFont="1" applyFill="1" applyBorder="1" applyAlignment="1">
      <alignment horizontal="center" vertical="center" wrapText="1" readingOrder="2"/>
    </xf>
    <xf numFmtId="0" fontId="67" fillId="24" borderId="15" xfId="155" applyFont="1" applyFill="1" applyBorder="1" applyAlignment="1">
      <alignment horizontal="center" vertical="center" wrapText="1"/>
    </xf>
    <xf numFmtId="1" fontId="47" fillId="24" borderId="55" xfId="0" applyNumberFormat="1" applyFont="1" applyFill="1" applyBorder="1" applyAlignment="1">
      <alignment horizontal="center" vertical="center" wrapText="1" readingOrder="2"/>
    </xf>
    <xf numFmtId="0" fontId="46" fillId="24" borderId="21" xfId="1" quotePrefix="1" applyFont="1" applyFill="1" applyBorder="1" applyAlignment="1">
      <alignment horizontal="center" vertical="center" wrapText="1" readingOrder="2"/>
    </xf>
    <xf numFmtId="0" fontId="46" fillId="24" borderId="10" xfId="1" quotePrefix="1" applyFont="1" applyFill="1" applyBorder="1" applyAlignment="1">
      <alignment horizontal="center" vertical="center" wrapText="1" readingOrder="2"/>
    </xf>
    <xf numFmtId="0" fontId="67" fillId="24" borderId="57" xfId="155" applyFont="1" applyFill="1" applyBorder="1" applyAlignment="1">
      <alignment horizontal="center" vertical="center" wrapText="1"/>
    </xf>
    <xf numFmtId="0" fontId="67" fillId="24" borderId="10" xfId="1" applyFont="1" applyFill="1" applyBorder="1" applyAlignment="1">
      <alignment horizontal="center" vertical="center" wrapText="1"/>
    </xf>
    <xf numFmtId="168" fontId="67" fillId="24" borderId="15" xfId="1" applyNumberFormat="1" applyFont="1" applyFill="1" applyBorder="1" applyAlignment="1">
      <alignment horizontal="center" vertical="center" wrapText="1" readingOrder="2"/>
    </xf>
    <xf numFmtId="168" fontId="67" fillId="24" borderId="55" xfId="1" applyNumberFormat="1" applyFont="1" applyFill="1" applyBorder="1" applyAlignment="1">
      <alignment horizontal="center" vertical="center" wrapText="1" readingOrder="2"/>
    </xf>
    <xf numFmtId="168" fontId="67" fillId="24" borderId="26" xfId="0" applyNumberFormat="1" applyFont="1" applyFill="1" applyBorder="1" applyAlignment="1">
      <alignment horizontal="center" vertical="center" wrapText="1"/>
    </xf>
    <xf numFmtId="0" fontId="67" fillId="24" borderId="26" xfId="1" applyFont="1" applyFill="1" applyBorder="1" applyAlignment="1">
      <alignment horizontal="center" vertical="center"/>
    </xf>
    <xf numFmtId="0" fontId="67" fillId="24" borderId="10" xfId="1" applyFont="1" applyFill="1" applyBorder="1" applyAlignment="1">
      <alignment horizontal="center" vertical="center"/>
    </xf>
    <xf numFmtId="165" fontId="47" fillId="24" borderId="55" xfId="0" applyNumberFormat="1" applyFont="1" applyFill="1" applyBorder="1" applyAlignment="1">
      <alignment horizontal="center" vertical="center" wrapText="1" readingOrder="2"/>
    </xf>
    <xf numFmtId="165" fontId="46" fillId="24" borderId="55" xfId="0" applyNumberFormat="1" applyFont="1" applyFill="1" applyBorder="1" applyAlignment="1">
      <alignment horizontal="center" vertical="center" wrapText="1" readingOrder="2"/>
    </xf>
    <xf numFmtId="0" fontId="67" fillId="24" borderId="75" xfId="0" applyFont="1" applyFill="1" applyBorder="1" applyAlignment="1">
      <alignment horizontal="center" vertical="center"/>
    </xf>
    <xf numFmtId="0" fontId="47" fillId="24" borderId="55" xfId="1" applyFont="1" applyFill="1" applyBorder="1" applyAlignment="1">
      <alignment horizontal="center" vertical="center" wrapText="1" readingOrder="1"/>
    </xf>
    <xf numFmtId="0" fontId="67" fillId="24" borderId="15" xfId="0" applyFont="1" applyFill="1" applyBorder="1" applyAlignment="1">
      <alignment horizontal="center" vertical="center"/>
    </xf>
    <xf numFmtId="0" fontId="47" fillId="24" borderId="26" xfId="0" applyFont="1" applyFill="1" applyBorder="1" applyAlignment="1">
      <alignment horizontal="center" vertical="center" wrapText="1"/>
    </xf>
    <xf numFmtId="0" fontId="47" fillId="24" borderId="21" xfId="0" applyFont="1" applyFill="1" applyBorder="1" applyAlignment="1">
      <alignment horizontal="center" vertical="center" wrapText="1"/>
    </xf>
    <xf numFmtId="0" fontId="47" fillId="24" borderId="23" xfId="0" applyFont="1" applyFill="1" applyBorder="1" applyAlignment="1">
      <alignment horizontal="center" vertical="center" wrapText="1"/>
    </xf>
    <xf numFmtId="0" fontId="47" fillId="24" borderId="57" xfId="0" applyFont="1" applyFill="1" applyBorder="1" applyAlignment="1">
      <alignment horizontal="center" vertical="center" wrapText="1" readingOrder="2"/>
    </xf>
    <xf numFmtId="0" fontId="47" fillId="24" borderId="21" xfId="0" applyFont="1" applyFill="1" applyBorder="1" applyAlignment="1">
      <alignment horizontal="center" vertical="center" wrapText="1" readingOrder="2"/>
    </xf>
    <xf numFmtId="0" fontId="47" fillId="24" borderId="10" xfId="0" applyFont="1" applyFill="1" applyBorder="1" applyAlignment="1">
      <alignment horizontal="center" vertical="center" wrapText="1" readingOrder="2"/>
    </xf>
    <xf numFmtId="0" fontId="46" fillId="24" borderId="21" xfId="0" applyFont="1" applyFill="1" applyBorder="1" applyAlignment="1">
      <alignment horizontal="center" vertical="center" wrapText="1" readingOrder="2"/>
    </xf>
    <xf numFmtId="0" fontId="46" fillId="24" borderId="10" xfId="0" applyFont="1" applyFill="1" applyBorder="1" applyAlignment="1">
      <alignment horizontal="center" vertical="center" wrapText="1" readingOrder="2"/>
    </xf>
    <xf numFmtId="168" fontId="67" fillId="24" borderId="31" xfId="1" applyNumberFormat="1" applyFont="1" applyFill="1" applyBorder="1" applyAlignment="1">
      <alignment horizontal="center" vertical="center" wrapText="1" readingOrder="2"/>
    </xf>
    <xf numFmtId="168" fontId="67" fillId="24" borderId="15" xfId="335" applyNumberFormat="1" applyFont="1" applyFill="1" applyBorder="1" applyAlignment="1">
      <alignment horizontal="center" vertical="center" wrapText="1"/>
    </xf>
    <xf numFmtId="168" fontId="67" fillId="24" borderId="55" xfId="335" applyNumberFormat="1" applyFont="1" applyFill="1" applyBorder="1" applyAlignment="1">
      <alignment horizontal="center" vertical="center" wrapText="1"/>
    </xf>
    <xf numFmtId="0" fontId="47" fillId="24" borderId="57" xfId="0" applyFont="1" applyFill="1" applyBorder="1" applyAlignment="1">
      <alignment horizontal="center" vertical="center"/>
    </xf>
    <xf numFmtId="0" fontId="94" fillId="24" borderId="15" xfId="1" applyFont="1" applyFill="1" applyBorder="1" applyAlignment="1">
      <alignment horizontal="center" vertical="center" wrapText="1"/>
    </xf>
    <xf numFmtId="0" fontId="45" fillId="24" borderId="27" xfId="0" applyFont="1" applyFill="1" applyBorder="1" applyAlignment="1">
      <alignment horizontal="center" vertical="center"/>
    </xf>
    <xf numFmtId="0" fontId="45" fillId="24" borderId="25" xfId="0" applyFont="1" applyFill="1" applyBorder="1" applyAlignment="1">
      <alignment horizontal="center" vertical="center"/>
    </xf>
    <xf numFmtId="0" fontId="45" fillId="24" borderId="24" xfId="0" applyFont="1" applyFill="1" applyBorder="1" applyAlignment="1">
      <alignment horizontal="center" vertical="center"/>
    </xf>
    <xf numFmtId="0" fontId="67" fillId="24" borderId="26" xfId="0" applyFont="1" applyFill="1" applyBorder="1" applyAlignment="1">
      <alignment horizontal="center" vertical="center"/>
    </xf>
    <xf numFmtId="168" fontId="67" fillId="24" borderId="15" xfId="0" applyNumberFormat="1" applyFont="1" applyFill="1" applyBorder="1" applyAlignment="1">
      <alignment horizontal="center" vertical="center" wrapText="1"/>
    </xf>
    <xf numFmtId="0" fontId="94" fillId="24" borderId="57" xfId="0" applyFont="1" applyFill="1" applyBorder="1" applyAlignment="1">
      <alignment horizontal="center" vertical="center" wrapText="1"/>
    </xf>
    <xf numFmtId="0" fontId="94" fillId="24" borderId="10" xfId="0" applyFont="1" applyFill="1" applyBorder="1" applyAlignment="1">
      <alignment horizontal="center" vertical="center" wrapText="1"/>
    </xf>
    <xf numFmtId="0" fontId="67" fillId="24" borderId="15" xfId="0" quotePrefix="1" applyFont="1" applyFill="1" applyBorder="1" applyAlignment="1">
      <alignment horizontal="center" vertical="center" wrapText="1"/>
    </xf>
    <xf numFmtId="0" fontId="67" fillId="24" borderId="55" xfId="0" quotePrefix="1" applyFont="1" applyFill="1" applyBorder="1" applyAlignment="1">
      <alignment horizontal="center" vertical="center" wrapText="1"/>
    </xf>
    <xf numFmtId="0" fontId="45" fillId="24" borderId="27" xfId="0" applyFont="1" applyFill="1" applyBorder="1" applyAlignment="1">
      <alignment horizontal="center" vertical="center" wrapText="1"/>
    </xf>
    <xf numFmtId="0" fontId="45" fillId="24" borderId="25" xfId="0" applyFont="1" applyFill="1" applyBorder="1" applyAlignment="1">
      <alignment horizontal="center" vertical="center" wrapText="1"/>
    </xf>
    <xf numFmtId="0" fontId="45" fillId="24" borderId="24" xfId="0" applyFont="1" applyFill="1" applyBorder="1" applyAlignment="1">
      <alignment horizontal="center" vertical="center" wrapText="1"/>
    </xf>
    <xf numFmtId="0" fontId="47" fillId="24" borderId="55" xfId="0" applyFont="1" applyFill="1" applyBorder="1" applyAlignment="1">
      <alignment horizontal="center" vertical="center" wrapText="1" readingOrder="2"/>
    </xf>
    <xf numFmtId="0" fontId="67" fillId="24" borderId="21" xfId="1" applyFont="1" applyFill="1" applyBorder="1" applyAlignment="1">
      <alignment horizontal="center" vertical="center" wrapText="1"/>
    </xf>
    <xf numFmtId="0" fontId="47" fillId="24" borderId="57" xfId="0" applyFont="1" applyFill="1" applyBorder="1" applyAlignment="1">
      <alignment horizontal="center" vertical="center" readingOrder="2"/>
    </xf>
    <xf numFmtId="0" fontId="94" fillId="24" borderId="10" xfId="1" applyFont="1" applyFill="1" applyBorder="1" applyAlignment="1">
      <alignment horizontal="center" vertical="center" wrapText="1"/>
    </xf>
    <xf numFmtId="168" fontId="92" fillId="24" borderId="57" xfId="0" applyNumberFormat="1" applyFont="1" applyFill="1" applyBorder="1" applyAlignment="1">
      <alignment horizontal="center" vertical="center"/>
    </xf>
    <xf numFmtId="168" fontId="92" fillId="24" borderId="21" xfId="0" applyNumberFormat="1" applyFont="1" applyFill="1" applyBorder="1" applyAlignment="1">
      <alignment horizontal="center" vertical="center"/>
    </xf>
    <xf numFmtId="168" fontId="92" fillId="24" borderId="26" xfId="0" applyNumberFormat="1" applyFont="1" applyFill="1" applyBorder="1" applyAlignment="1">
      <alignment horizontal="center" vertical="center"/>
    </xf>
    <xf numFmtId="168" fontId="92" fillId="24" borderId="10" xfId="0" applyNumberFormat="1" applyFont="1" applyFill="1" applyBorder="1" applyAlignment="1">
      <alignment horizontal="center" vertical="center"/>
    </xf>
    <xf numFmtId="168" fontId="67" fillId="24" borderId="23" xfId="0" applyNumberFormat="1" applyFont="1" applyFill="1" applyBorder="1" applyAlignment="1">
      <alignment horizontal="center" vertical="center" wrapText="1"/>
    </xf>
    <xf numFmtId="2" fontId="67" fillId="24" borderId="26" xfId="0" applyNumberFormat="1" applyFont="1" applyFill="1" applyBorder="1" applyAlignment="1">
      <alignment horizontal="center" vertical="center" wrapText="1"/>
    </xf>
    <xf numFmtId="2" fontId="67" fillId="24" borderId="23" xfId="0" applyNumberFormat="1" applyFont="1" applyFill="1" applyBorder="1" applyAlignment="1">
      <alignment horizontal="center" vertical="center" wrapText="1"/>
    </xf>
    <xf numFmtId="1" fontId="46" fillId="24" borderId="55" xfId="1" applyNumberFormat="1" applyFont="1" applyFill="1" applyBorder="1" applyAlignment="1">
      <alignment horizontal="center" vertical="center" wrapText="1" readingOrder="2"/>
    </xf>
    <xf numFmtId="0" fontId="47" fillId="24" borderId="26" xfId="0" applyFont="1" applyFill="1" applyBorder="1" applyAlignment="1">
      <alignment horizontal="center" vertical="center" wrapText="1" readingOrder="2"/>
    </xf>
    <xf numFmtId="0" fontId="47" fillId="24" borderId="23" xfId="0" applyFont="1" applyFill="1" applyBorder="1" applyAlignment="1">
      <alignment horizontal="center" vertical="center" wrapText="1" readingOrder="2"/>
    </xf>
    <xf numFmtId="1" fontId="47" fillId="24" borderId="26" xfId="1" applyNumberFormat="1" applyFont="1" applyFill="1" applyBorder="1" applyAlignment="1">
      <alignment horizontal="center" vertical="center" wrapText="1" readingOrder="2"/>
    </xf>
    <xf numFmtId="1" fontId="47" fillId="24" borderId="21" xfId="1" applyNumberFormat="1" applyFont="1" applyFill="1" applyBorder="1" applyAlignment="1">
      <alignment horizontal="center" vertical="center" wrapText="1" readingOrder="2"/>
    </xf>
    <xf numFmtId="1" fontId="47" fillId="24" borderId="10" xfId="1" applyNumberFormat="1" applyFont="1" applyFill="1" applyBorder="1" applyAlignment="1">
      <alignment horizontal="center" vertical="center" wrapText="1" readingOrder="2"/>
    </xf>
    <xf numFmtId="0" fontId="46" fillId="24" borderId="15" xfId="336" applyNumberFormat="1" applyFont="1" applyFill="1" applyBorder="1" applyAlignment="1">
      <alignment horizontal="center" vertical="center" wrapText="1" readingOrder="2"/>
    </xf>
    <xf numFmtId="0" fontId="46" fillId="24" borderId="55" xfId="336" applyNumberFormat="1" applyFont="1" applyFill="1" applyBorder="1" applyAlignment="1">
      <alignment horizontal="center" vertical="center" wrapText="1" readingOrder="2"/>
    </xf>
    <xf numFmtId="168" fontId="67" fillId="24" borderId="15" xfId="336" applyNumberFormat="1" applyFont="1" applyFill="1" applyBorder="1" applyAlignment="1">
      <alignment horizontal="center" vertical="center" wrapText="1"/>
    </xf>
    <xf numFmtId="168" fontId="67" fillId="24" borderId="55" xfId="336" applyNumberFormat="1" applyFont="1" applyFill="1" applyBorder="1" applyAlignment="1">
      <alignment horizontal="center" vertical="center" wrapText="1"/>
    </xf>
    <xf numFmtId="0" fontId="46" fillId="24" borderId="55" xfId="157" applyFont="1" applyFill="1" applyBorder="1" applyAlignment="1">
      <alignment horizontal="center" vertical="center" wrapText="1" readingOrder="2"/>
    </xf>
    <xf numFmtId="0" fontId="46" fillId="24" borderId="31" xfId="157" applyFont="1" applyFill="1" applyBorder="1" applyAlignment="1">
      <alignment horizontal="center" vertical="center" wrapText="1" readingOrder="2"/>
    </xf>
    <xf numFmtId="168" fontId="67" fillId="24" borderId="55" xfId="157" applyNumberFormat="1" applyFont="1" applyFill="1" applyBorder="1" applyAlignment="1">
      <alignment horizontal="center" vertical="center" wrapText="1"/>
    </xf>
    <xf numFmtId="168" fontId="67" fillId="24" borderId="31" xfId="157" applyNumberFormat="1" applyFont="1" applyFill="1" applyBorder="1" applyAlignment="1">
      <alignment horizontal="center" vertical="center" wrapText="1"/>
    </xf>
    <xf numFmtId="168" fontId="67" fillId="24" borderId="26" xfId="0" applyNumberFormat="1" applyFont="1" applyFill="1" applyBorder="1" applyAlignment="1">
      <alignment horizontal="center" vertical="center" wrapText="1" readingOrder="2"/>
    </xf>
    <xf numFmtId="168" fontId="67" fillId="24" borderId="21" xfId="0" applyNumberFormat="1" applyFont="1" applyFill="1" applyBorder="1" applyAlignment="1">
      <alignment horizontal="center" vertical="center" wrapText="1" readingOrder="2"/>
    </xf>
    <xf numFmtId="168" fontId="67" fillId="24" borderId="10" xfId="0" applyNumberFormat="1" applyFont="1" applyFill="1" applyBorder="1" applyAlignment="1">
      <alignment horizontal="center" vertical="center" wrapText="1" readingOrder="2"/>
    </xf>
    <xf numFmtId="0" fontId="67" fillId="24" borderId="15" xfId="1" applyFont="1" applyFill="1" applyBorder="1" applyAlignment="1">
      <alignment horizontal="center" vertical="center" wrapText="1" readingOrder="2"/>
    </xf>
    <xf numFmtId="0" fontId="67" fillId="24" borderId="55" xfId="1" applyFont="1" applyFill="1" applyBorder="1" applyAlignment="1">
      <alignment horizontal="center" vertical="center" wrapText="1" readingOrder="2"/>
    </xf>
    <xf numFmtId="0" fontId="67" fillId="24" borderId="75" xfId="1" applyFont="1" applyFill="1" applyBorder="1" applyAlignment="1">
      <alignment horizontal="center" vertical="center" wrapText="1" readingOrder="2"/>
    </xf>
    <xf numFmtId="0" fontId="67" fillId="24" borderId="15" xfId="1" applyFont="1" applyFill="1" applyBorder="1" applyAlignment="1">
      <alignment horizontal="center" vertical="center" wrapText="1"/>
    </xf>
    <xf numFmtId="168" fontId="67" fillId="24" borderId="55" xfId="0" applyNumberFormat="1" applyFont="1" applyFill="1" applyBorder="1" applyAlignment="1">
      <alignment horizontal="center" vertical="center" wrapText="1" readingOrder="2"/>
    </xf>
    <xf numFmtId="0" fontId="67" fillId="24" borderId="57" xfId="1" applyFont="1" applyFill="1" applyBorder="1" applyAlignment="1">
      <alignment horizontal="center" vertical="center"/>
    </xf>
    <xf numFmtId="0" fontId="67" fillId="24" borderId="21" xfId="1" applyFont="1" applyFill="1" applyBorder="1" applyAlignment="1">
      <alignment horizontal="center" vertical="center"/>
    </xf>
    <xf numFmtId="168" fontId="67" fillId="24" borderId="57" xfId="0" applyNumberFormat="1" applyFont="1" applyFill="1" applyBorder="1" applyAlignment="1">
      <alignment horizontal="center" vertical="center" wrapText="1" readingOrder="2"/>
    </xf>
    <xf numFmtId="0" fontId="45" fillId="24" borderId="54" xfId="1" applyFont="1" applyFill="1" applyBorder="1" applyAlignment="1">
      <alignment horizontal="center" vertical="center"/>
    </xf>
    <xf numFmtId="0" fontId="45" fillId="24" borderId="61" xfId="1" applyFont="1" applyFill="1" applyBorder="1" applyAlignment="1">
      <alignment horizontal="center" vertical="center"/>
    </xf>
    <xf numFmtId="0" fontId="45" fillId="24" borderId="70" xfId="1" applyFont="1" applyFill="1" applyBorder="1" applyAlignment="1">
      <alignment horizontal="center" vertical="center"/>
    </xf>
    <xf numFmtId="0" fontId="45" fillId="24" borderId="64" xfId="1" applyFont="1" applyFill="1" applyBorder="1" applyAlignment="1">
      <alignment horizontal="center" vertical="center" wrapText="1"/>
    </xf>
    <xf numFmtId="0" fontId="45" fillId="24" borderId="64" xfId="1" applyFont="1" applyFill="1" applyBorder="1" applyAlignment="1">
      <alignment horizontal="center" vertical="center"/>
    </xf>
    <xf numFmtId="0" fontId="94" fillId="24" borderId="31" xfId="1" applyFont="1" applyFill="1" applyBorder="1" applyAlignment="1">
      <alignment horizontal="center" vertical="center" wrapText="1"/>
    </xf>
    <xf numFmtId="1" fontId="47" fillId="24" borderId="0" xfId="0" applyNumberFormat="1" applyFont="1" applyFill="1" applyAlignment="1">
      <alignment horizontal="center" vertical="center" wrapText="1"/>
    </xf>
    <xf numFmtId="0" fontId="47" fillId="24" borderId="0" xfId="0" applyFont="1" applyFill="1" applyAlignment="1">
      <alignment horizontal="center" vertical="center" wrapText="1" readingOrder="2"/>
    </xf>
    <xf numFmtId="0" fontId="46" fillId="24" borderId="0" xfId="0" applyFont="1" applyFill="1" applyAlignment="1">
      <alignment horizontal="center" vertical="center" wrapText="1" readingOrder="2"/>
    </xf>
    <xf numFmtId="168" fontId="67" fillId="24" borderId="75" xfId="0" applyNumberFormat="1" applyFont="1" applyFill="1" applyBorder="1" applyAlignment="1">
      <alignment horizontal="center" vertical="center" wrapText="1" readingOrder="2"/>
    </xf>
    <xf numFmtId="0" fontId="47" fillId="24" borderId="0" xfId="0" applyFont="1" applyFill="1" applyAlignment="1">
      <alignment horizontal="center" vertical="center" wrapText="1"/>
    </xf>
    <xf numFmtId="0" fontId="47" fillId="24" borderId="0" xfId="0" applyFont="1" applyFill="1" applyAlignment="1">
      <alignment horizontal="center" vertical="center" readingOrder="2"/>
    </xf>
    <xf numFmtId="0" fontId="46" fillId="24" borderId="0" xfId="0" applyFont="1" applyFill="1" applyAlignment="1">
      <alignment horizontal="center" vertical="center" readingOrder="2"/>
    </xf>
    <xf numFmtId="168" fontId="67" fillId="24" borderId="15" xfId="0" applyNumberFormat="1" applyFont="1" applyFill="1" applyBorder="1" applyAlignment="1">
      <alignment horizontal="center" vertical="center" wrapText="1" readingOrder="2"/>
    </xf>
    <xf numFmtId="0" fontId="67" fillId="24" borderId="55" xfId="336" applyNumberFormat="1" applyFont="1" applyFill="1" applyBorder="1" applyAlignment="1">
      <alignment horizontal="center" vertical="center" wrapText="1"/>
    </xf>
    <xf numFmtId="168" fontId="67" fillId="24" borderId="55" xfId="0" applyNumberFormat="1" applyFont="1" applyFill="1" applyBorder="1" applyAlignment="1">
      <alignment horizontal="center" vertical="center"/>
    </xf>
    <xf numFmtId="168" fontId="67" fillId="24" borderId="57" xfId="1" quotePrefix="1" applyNumberFormat="1" applyFont="1" applyFill="1" applyBorder="1" applyAlignment="1">
      <alignment horizontal="center" vertical="center" wrapText="1"/>
    </xf>
    <xf numFmtId="168" fontId="67" fillId="24" borderId="10" xfId="1" quotePrefix="1" applyNumberFormat="1" applyFont="1" applyFill="1" applyBorder="1" applyAlignment="1">
      <alignment horizontal="center" vertical="center" wrapText="1"/>
    </xf>
    <xf numFmtId="0" fontId="47" fillId="24" borderId="55" xfId="157" applyFont="1" applyFill="1" applyBorder="1" applyAlignment="1">
      <alignment horizontal="center" vertical="center" wrapText="1" readingOrder="2"/>
    </xf>
    <xf numFmtId="0" fontId="47" fillId="24" borderId="31" xfId="157" applyFont="1" applyFill="1" applyBorder="1" applyAlignment="1">
      <alignment horizontal="center" vertical="center" wrapText="1" readingOrder="2"/>
    </xf>
    <xf numFmtId="0" fontId="46" fillId="24" borderId="57" xfId="336" applyNumberFormat="1" applyFont="1" applyFill="1" applyBorder="1" applyAlignment="1">
      <alignment horizontal="center" vertical="center" wrapText="1" readingOrder="2"/>
    </xf>
    <xf numFmtId="0" fontId="46" fillId="24" borderId="10" xfId="336" applyNumberFormat="1" applyFont="1" applyFill="1" applyBorder="1" applyAlignment="1">
      <alignment horizontal="center" vertical="center" wrapText="1" readingOrder="2"/>
    </xf>
    <xf numFmtId="0" fontId="46" fillId="24" borderId="26" xfId="0" applyFont="1" applyFill="1" applyBorder="1" applyAlignment="1">
      <alignment horizontal="center" vertical="center" wrapText="1" readingOrder="2"/>
    </xf>
    <xf numFmtId="0" fontId="46" fillId="24" borderId="23" xfId="0" applyFont="1" applyFill="1" applyBorder="1" applyAlignment="1">
      <alignment horizontal="center" vertical="center" wrapText="1" readingOrder="2"/>
    </xf>
    <xf numFmtId="0" fontId="47" fillId="24" borderId="57" xfId="336" applyNumberFormat="1" applyFont="1" applyFill="1" applyBorder="1" applyAlignment="1">
      <alignment horizontal="center" vertical="center" wrapText="1" readingOrder="2"/>
    </xf>
    <xf numFmtId="0" fontId="47" fillId="24" borderId="10" xfId="336" applyNumberFormat="1" applyFont="1" applyFill="1" applyBorder="1" applyAlignment="1">
      <alignment horizontal="center" vertical="center" wrapText="1" readingOrder="2"/>
    </xf>
    <xf numFmtId="0" fontId="47" fillId="24" borderId="15" xfId="336" applyNumberFormat="1" applyFont="1" applyFill="1" applyBorder="1" applyAlignment="1">
      <alignment horizontal="center" vertical="center" wrapText="1" readingOrder="2"/>
    </xf>
    <xf numFmtId="0" fontId="47" fillId="24" borderId="55" xfId="336" applyNumberFormat="1" applyFont="1" applyFill="1" applyBorder="1" applyAlignment="1">
      <alignment horizontal="center" vertical="center" wrapText="1" readingOrder="2"/>
    </xf>
    <xf numFmtId="168" fontId="67" fillId="24" borderId="57" xfId="1" applyNumberFormat="1" applyFont="1" applyFill="1" applyBorder="1" applyAlignment="1">
      <alignment horizontal="center" vertical="center" wrapText="1" readingOrder="2"/>
    </xf>
    <xf numFmtId="168" fontId="67" fillId="24" borderId="57" xfId="336" applyNumberFormat="1" applyFont="1" applyFill="1" applyBorder="1" applyAlignment="1">
      <alignment horizontal="center" vertical="center" wrapText="1"/>
    </xf>
    <xf numFmtId="168" fontId="67" fillId="24" borderId="10" xfId="336" applyNumberFormat="1" applyFont="1" applyFill="1" applyBorder="1" applyAlignment="1">
      <alignment horizontal="center" vertical="center" wrapText="1"/>
    </xf>
    <xf numFmtId="0" fontId="47" fillId="24" borderId="75" xfId="336" applyNumberFormat="1" applyFont="1" applyFill="1" applyBorder="1" applyAlignment="1">
      <alignment horizontal="center" vertical="center" wrapText="1" readingOrder="2"/>
    </xf>
    <xf numFmtId="0" fontId="46" fillId="24" borderId="75" xfId="336" applyNumberFormat="1" applyFont="1" applyFill="1" applyBorder="1" applyAlignment="1">
      <alignment horizontal="center" vertical="center" wrapText="1" readingOrder="2"/>
    </xf>
    <xf numFmtId="0" fontId="46" fillId="24" borderId="57" xfId="0" applyFont="1" applyFill="1" applyBorder="1" applyAlignment="1">
      <alignment horizontal="center" vertical="center" wrapText="1" readingOrder="2"/>
    </xf>
    <xf numFmtId="0" fontId="47" fillId="24" borderId="75" xfId="157" applyFont="1" applyFill="1" applyBorder="1" applyAlignment="1">
      <alignment horizontal="center" vertical="center" wrapText="1" readingOrder="2"/>
    </xf>
    <xf numFmtId="0" fontId="46" fillId="24" borderId="75" xfId="157" applyFont="1" applyFill="1" applyBorder="1" applyAlignment="1">
      <alignment horizontal="center" vertical="center" wrapText="1" readingOrder="2"/>
    </xf>
    <xf numFmtId="1" fontId="47" fillId="24" borderId="75" xfId="174" applyNumberFormat="1" applyFont="1" applyFill="1" applyBorder="1" applyAlignment="1">
      <alignment horizontal="center" vertical="center" wrapText="1" readingOrder="2"/>
    </xf>
    <xf numFmtId="1" fontId="46" fillId="24" borderId="75" xfId="174" applyNumberFormat="1" applyFont="1" applyFill="1" applyBorder="1" applyAlignment="1">
      <alignment horizontal="center" vertical="center" wrapText="1" readingOrder="2"/>
    </xf>
    <xf numFmtId="0" fontId="47" fillId="24" borderId="49" xfId="0" applyFont="1" applyFill="1" applyBorder="1" applyAlignment="1">
      <alignment horizontal="center" vertical="center" wrapText="1"/>
    </xf>
    <xf numFmtId="0" fontId="47" fillId="24" borderId="36" xfId="0" applyFont="1" applyFill="1" applyBorder="1" applyAlignment="1">
      <alignment horizontal="center" vertical="center" wrapText="1"/>
    </xf>
    <xf numFmtId="2" fontId="67" fillId="24" borderId="57" xfId="0" applyNumberFormat="1" applyFont="1" applyFill="1" applyBorder="1" applyAlignment="1">
      <alignment horizontal="center" vertical="center" wrapText="1"/>
    </xf>
    <xf numFmtId="2" fontId="67" fillId="24" borderId="21" xfId="0" applyNumberFormat="1" applyFont="1" applyFill="1" applyBorder="1" applyAlignment="1">
      <alignment horizontal="center" vertical="center" wrapText="1"/>
    </xf>
    <xf numFmtId="2" fontId="67" fillId="24" borderId="10" xfId="0" applyNumberFormat="1" applyFont="1" applyFill="1" applyBorder="1" applyAlignment="1">
      <alignment horizontal="center" vertical="center" wrapText="1"/>
    </xf>
    <xf numFmtId="0" fontId="67" fillId="24" borderId="57" xfId="336" applyNumberFormat="1" applyFont="1" applyFill="1" applyBorder="1" applyAlignment="1">
      <alignment horizontal="center" vertical="center" wrapText="1"/>
    </xf>
    <xf numFmtId="0" fontId="67" fillId="24" borderId="10" xfId="336" applyNumberFormat="1" applyFont="1" applyFill="1" applyBorder="1" applyAlignment="1">
      <alignment horizontal="center" vertical="center" wrapText="1"/>
    </xf>
    <xf numFmtId="0" fontId="67" fillId="24" borderId="57" xfId="0" quotePrefix="1" applyFont="1" applyFill="1" applyBorder="1" applyAlignment="1">
      <alignment horizontal="center" vertical="center" wrapText="1"/>
    </xf>
    <xf numFmtId="0" fontId="67" fillId="24" borderId="10" xfId="0" quotePrefix="1" applyFont="1" applyFill="1" applyBorder="1" applyAlignment="1">
      <alignment horizontal="center" vertical="center" wrapText="1"/>
    </xf>
    <xf numFmtId="0" fontId="51" fillId="24" borderId="58" xfId="0" applyFont="1" applyFill="1" applyBorder="1" applyAlignment="1">
      <alignment horizontal="center" vertical="center" wrapText="1"/>
    </xf>
    <xf numFmtId="0" fontId="51" fillId="24" borderId="59" xfId="0" applyFont="1" applyFill="1" applyBorder="1" applyAlignment="1">
      <alignment horizontal="center" vertical="center" wrapText="1"/>
    </xf>
    <xf numFmtId="0" fontId="51" fillId="24" borderId="62" xfId="0" applyFont="1" applyFill="1" applyBorder="1" applyAlignment="1">
      <alignment horizontal="center" vertical="center" wrapText="1"/>
    </xf>
    <xf numFmtId="2" fontId="67" fillId="24" borderId="57" xfId="0" applyNumberFormat="1" applyFont="1" applyFill="1" applyBorder="1" applyAlignment="1">
      <alignment horizontal="center" vertical="center"/>
    </xf>
    <xf numFmtId="168" fontId="67" fillId="24" borderId="55" xfId="174" applyNumberFormat="1" applyFont="1" applyFill="1" applyBorder="1" applyAlignment="1">
      <alignment horizontal="center" vertical="center" wrapText="1"/>
    </xf>
    <xf numFmtId="0" fontId="45" fillId="24" borderId="58" xfId="0" applyFont="1" applyFill="1" applyBorder="1" applyAlignment="1">
      <alignment horizontal="center" vertical="center" wrapText="1"/>
    </xf>
    <xf numFmtId="0" fontId="45" fillId="24" borderId="59" xfId="0" applyFont="1" applyFill="1" applyBorder="1" applyAlignment="1">
      <alignment horizontal="center" vertical="center" wrapText="1"/>
    </xf>
    <xf numFmtId="0" fontId="45" fillId="24" borderId="62" xfId="0" applyFont="1" applyFill="1" applyBorder="1" applyAlignment="1">
      <alignment horizontal="center" vertical="center" wrapText="1"/>
    </xf>
    <xf numFmtId="0" fontId="67" fillId="24" borderId="75" xfId="155" applyFont="1" applyFill="1" applyBorder="1" applyAlignment="1">
      <alignment horizontal="center" vertical="center" wrapText="1"/>
    </xf>
  </cellXfs>
  <cellStyles count="406">
    <cellStyle name="_ET_STYLE_NoName_00_" xfId="3" xr:uid="{00000000-0005-0000-0000-000000000000}"/>
    <cellStyle name="20% - 强调文字颜色 1 2" xfId="4" xr:uid="{00000000-0005-0000-0000-000001000000}"/>
    <cellStyle name="20% - 强调文字颜色 1 3" xfId="5" xr:uid="{00000000-0005-0000-0000-000002000000}"/>
    <cellStyle name="20% - 强调文字颜色 2 2" xfId="6" xr:uid="{00000000-0005-0000-0000-000003000000}"/>
    <cellStyle name="20% - 强调文字颜色 2 3" xfId="7" xr:uid="{00000000-0005-0000-0000-000004000000}"/>
    <cellStyle name="20% - 强调文字颜色 3 2" xfId="8" xr:uid="{00000000-0005-0000-0000-000005000000}"/>
    <cellStyle name="20% - 强调文字颜色 3 3" xfId="9" xr:uid="{00000000-0005-0000-0000-000006000000}"/>
    <cellStyle name="20% - 强调文字颜色 4 2" xfId="10" xr:uid="{00000000-0005-0000-0000-000007000000}"/>
    <cellStyle name="20% - 强调文字颜色 4 3" xfId="11" xr:uid="{00000000-0005-0000-0000-000008000000}"/>
    <cellStyle name="20% - 强调文字颜色 5 2" xfId="12" xr:uid="{00000000-0005-0000-0000-000009000000}"/>
    <cellStyle name="20% - 强调文字颜色 5 3" xfId="13" xr:uid="{00000000-0005-0000-0000-00000A000000}"/>
    <cellStyle name="20% - 强调文字颜色 6 2" xfId="14" xr:uid="{00000000-0005-0000-0000-00000B000000}"/>
    <cellStyle name="20% - 强调文字颜色 6 3" xfId="15" xr:uid="{00000000-0005-0000-0000-00000C000000}"/>
    <cellStyle name="40% - 强调文字颜色 1 2" xfId="16" xr:uid="{00000000-0005-0000-0000-00000D000000}"/>
    <cellStyle name="40% - 强调文字颜色 1 3" xfId="17" xr:uid="{00000000-0005-0000-0000-00000E000000}"/>
    <cellStyle name="40% - 强调文字颜色 2 2" xfId="18" xr:uid="{00000000-0005-0000-0000-00000F000000}"/>
    <cellStyle name="40% - 强调文字颜色 2 3" xfId="19" xr:uid="{00000000-0005-0000-0000-000010000000}"/>
    <cellStyle name="40% - 强调文字颜色 3 2" xfId="20" xr:uid="{00000000-0005-0000-0000-000011000000}"/>
    <cellStyle name="40% - 强调文字颜色 3 3" xfId="21" xr:uid="{00000000-0005-0000-0000-000012000000}"/>
    <cellStyle name="40% - 强调文字颜色 4 2" xfId="22" xr:uid="{00000000-0005-0000-0000-000013000000}"/>
    <cellStyle name="40% - 强调文字颜色 4 3" xfId="23" xr:uid="{00000000-0005-0000-0000-000014000000}"/>
    <cellStyle name="40% - 强调文字颜色 5 2" xfId="24" xr:uid="{00000000-0005-0000-0000-000015000000}"/>
    <cellStyle name="40% - 强调文字颜色 5 3" xfId="25" xr:uid="{00000000-0005-0000-0000-000016000000}"/>
    <cellStyle name="40% - 强调文字颜色 6 2" xfId="26" xr:uid="{00000000-0005-0000-0000-000017000000}"/>
    <cellStyle name="40% - 强调文字颜色 6 3" xfId="27" xr:uid="{00000000-0005-0000-0000-000018000000}"/>
    <cellStyle name="60% - 强调文字颜色 1 2" xfId="28" xr:uid="{00000000-0005-0000-0000-000019000000}"/>
    <cellStyle name="60% - 强调文字颜色 1 3" xfId="29" xr:uid="{00000000-0005-0000-0000-00001A000000}"/>
    <cellStyle name="60% - 强调文字颜色 2 2" xfId="30" xr:uid="{00000000-0005-0000-0000-00001B000000}"/>
    <cellStyle name="60% - 强调文字颜色 2 3" xfId="31" xr:uid="{00000000-0005-0000-0000-00001C000000}"/>
    <cellStyle name="60% - 强调文字颜色 3 2" xfId="32" xr:uid="{00000000-0005-0000-0000-00001D000000}"/>
    <cellStyle name="60% - 强调文字颜色 3 3" xfId="33" xr:uid="{00000000-0005-0000-0000-00001E000000}"/>
    <cellStyle name="60% - 强调文字颜色 4 2" xfId="34" xr:uid="{00000000-0005-0000-0000-00001F000000}"/>
    <cellStyle name="60% - 强调文字颜色 4 3" xfId="35" xr:uid="{00000000-0005-0000-0000-000020000000}"/>
    <cellStyle name="60% - 强调文字颜色 5 2" xfId="36" xr:uid="{00000000-0005-0000-0000-000021000000}"/>
    <cellStyle name="60% - 强调文字颜色 5 3" xfId="37" xr:uid="{00000000-0005-0000-0000-000022000000}"/>
    <cellStyle name="60% - 强调文字颜色 6 2" xfId="38" xr:uid="{00000000-0005-0000-0000-000023000000}"/>
    <cellStyle name="60% - 强调文字颜色 6 3" xfId="39" xr:uid="{00000000-0005-0000-0000-000024000000}"/>
    <cellStyle name="Normal" xfId="0" builtinId="0"/>
    <cellStyle name="Normal 2" xfId="382" xr:uid="{51B66129-216E-45AF-AC5F-83C0B8640FD1}"/>
    <cellStyle name="Normal 2 11" xfId="376" xr:uid="{E9AB186D-B7BF-47C0-94CA-D959FCF67143}"/>
    <cellStyle name="Normal 2 11 2 2" xfId="380" xr:uid="{BD5B5B34-B153-4B0F-A663-743BAFE8937F}"/>
    <cellStyle name="Normal 2 11 2 3" xfId="402" xr:uid="{366F2692-A08D-477E-A670-F8CBD6F33240}"/>
    <cellStyle name="Normal 2 11 2 4" xfId="378" xr:uid="{F850EC90-4011-4D8C-8FFD-412406EB7D3A}"/>
    <cellStyle name="Normal 2 11 2 5" xfId="401" xr:uid="{5D5E0A5A-D01E-4F06-ADD9-F3954F85A5BE}"/>
    <cellStyle name="Normal 2 11 3" xfId="377" xr:uid="{2CE0CFA9-F26A-49B1-9665-35A028F2A3EF}"/>
    <cellStyle name="Normal 2 2" xfId="381" xr:uid="{B67DEE37-9ED6-4311-9950-41D43670F100}"/>
    <cellStyle name="Normal 2 2 13" xfId="374" xr:uid="{758020D8-5579-40F3-A3E6-B3D5789A5983}"/>
    <cellStyle name="Normal 2 3" xfId="403" xr:uid="{3BF57A0D-2A1D-4087-9920-55CF2897387E}"/>
    <cellStyle name="Normal 3" xfId="375" xr:uid="{C075043D-3C0D-4FD6-8103-14A2F823C740}"/>
    <cellStyle name="Normal 4" xfId="386" xr:uid="{D6D81A17-ADC4-4F9D-BE1D-F2F8AA7DF03E}"/>
    <cellStyle name="Normal 4 9 2" xfId="379" xr:uid="{1F1E7326-2AB8-470F-A266-CC537FEF5FCA}"/>
    <cellStyle name="Normal 5" xfId="404" xr:uid="{E50BD3FE-8FAC-4B3F-BAA7-B24EE7669F21}"/>
    <cellStyle name="Style 1" xfId="385" xr:uid="{501CABA6-CBBE-4A62-9682-1B77F2A60630}"/>
    <cellStyle name="千位分隔 2" xfId="307" xr:uid="{00000000-0005-0000-0000-00005E010000}"/>
    <cellStyle name="千位分隔 2 2" xfId="308" xr:uid="{00000000-0005-0000-0000-00005F010000}"/>
    <cellStyle name="好 2" xfId="293" xr:uid="{00000000-0005-0000-0000-000050010000}"/>
    <cellStyle name="好 3" xfId="294" xr:uid="{00000000-0005-0000-0000-000051010000}"/>
    <cellStyle name="差 2" xfId="57" xr:uid="{00000000-0005-0000-0000-000037000000}"/>
    <cellStyle name="差 3" xfId="58" xr:uid="{00000000-0005-0000-0000-000038000000}"/>
    <cellStyle name="常规 10" xfId="59" xr:uid="{00000000-0005-0000-0000-00003A000000}"/>
    <cellStyle name="常规 10 2" xfId="60" xr:uid="{00000000-0005-0000-0000-00003B000000}"/>
    <cellStyle name="常规 10 2 10 2 2" xfId="61" xr:uid="{00000000-0005-0000-0000-00003C000000}"/>
    <cellStyle name="常规 10 2 10 2 2 2" xfId="62" xr:uid="{00000000-0005-0000-0000-00003D000000}"/>
    <cellStyle name="常规 10 2 10 2 2 2 3 2 2 2" xfId="338" xr:uid="{00000000-0005-0000-0000-00003E000000}"/>
    <cellStyle name="常规 10 2 10 2 2 2 3 2 2 2 2" xfId="352" xr:uid="{00000000-0005-0000-0000-00003F000000}"/>
    <cellStyle name="常规 10 2 10 2 2 2 3 2 2 2 2 2 2" xfId="336" xr:uid="{00000000-0005-0000-0000-000040000000}"/>
    <cellStyle name="常规 10 2 10 2 2 3" xfId="63" xr:uid="{00000000-0005-0000-0000-000041000000}"/>
    <cellStyle name="常规 10 2 10 2 2 4" xfId="384" xr:uid="{80EE0B60-1DB2-427C-B911-8554EE78AF55}"/>
    <cellStyle name="常规 10 2 10 2 2 4 2 3 2 2 2 2" xfId="370" xr:uid="{00000000-0005-0000-0000-000042000000}"/>
    <cellStyle name="常规 10 2 10 2 2 4 2 3 2 2 2 2 2 2" xfId="339" xr:uid="{00000000-0005-0000-0000-000043000000}"/>
    <cellStyle name="常规 10 2 10 2 2 4 2 3 2 2 2 2 2 3" xfId="359" xr:uid="{00000000-0005-0000-0000-000044000000}"/>
    <cellStyle name="常规 10 2 10 2 2 4 2 3 2 2 2 2 2 3 2" xfId="358" xr:uid="{00000000-0005-0000-0000-000045000000}"/>
    <cellStyle name="常规 10 2 10 2 2 4 2 3 2 2 2 3" xfId="371" xr:uid="{00000000-0005-0000-0000-000046000000}"/>
    <cellStyle name="常规 10 2 10 2 2 4 2 3 2 2 3 2" xfId="368" xr:uid="{00000000-0005-0000-0000-000047000000}"/>
    <cellStyle name="常规 10 2 10 2 3" xfId="64" xr:uid="{00000000-0005-0000-0000-000048000000}"/>
    <cellStyle name="常规 10 2 10 2 3 2" xfId="65" xr:uid="{00000000-0005-0000-0000-000049000000}"/>
    <cellStyle name="常规 10 2 10 2 3 3 2 2 2" xfId="372" xr:uid="{6CF5414F-62F9-496E-8A6E-4F210057C654}"/>
    <cellStyle name="常规 10 2 10 2 3 3 2 2 2 2" xfId="353" xr:uid="{00000000-0005-0000-0000-00004A000000}"/>
    <cellStyle name="常规 10 2 2" xfId="66" xr:uid="{00000000-0005-0000-0000-00004B000000}"/>
    <cellStyle name="常规 10 2 2 2" xfId="67" xr:uid="{00000000-0005-0000-0000-00004C000000}"/>
    <cellStyle name="常规 10 2 2 2 2" xfId="68" xr:uid="{00000000-0005-0000-0000-00004D000000}"/>
    <cellStyle name="常规 10 2 2 2 2 2 3" xfId="367" xr:uid="{00000000-0005-0000-0000-00004E000000}"/>
    <cellStyle name="常规 10 2 2 3" xfId="69" xr:uid="{00000000-0005-0000-0000-00004F000000}"/>
    <cellStyle name="常规 10 2 2 3 2" xfId="70" xr:uid="{00000000-0005-0000-0000-000050000000}"/>
    <cellStyle name="常规 10 2 2 3 2 2" xfId="71" xr:uid="{00000000-0005-0000-0000-000051000000}"/>
    <cellStyle name="常规 10 2 2 3 3" xfId="72" xr:uid="{00000000-0005-0000-0000-000052000000}"/>
    <cellStyle name="常规 10 2 2 4" xfId="73" xr:uid="{00000000-0005-0000-0000-000053000000}"/>
    <cellStyle name="常规 10 2 2 4 2" xfId="74" xr:uid="{00000000-0005-0000-0000-000054000000}"/>
    <cellStyle name="常规 10 2 2 4 2 2" xfId="75" xr:uid="{00000000-0005-0000-0000-000055000000}"/>
    <cellStyle name="常规 10 2 2 4 3" xfId="76" xr:uid="{00000000-0005-0000-0000-000056000000}"/>
    <cellStyle name="常规 10 2 2 5" xfId="77" xr:uid="{00000000-0005-0000-0000-000057000000}"/>
    <cellStyle name="常规 10 2 2 5 2" xfId="78" xr:uid="{00000000-0005-0000-0000-000058000000}"/>
    <cellStyle name="常规 10 2 2 5 2 2" xfId="79" xr:uid="{00000000-0005-0000-0000-000059000000}"/>
    <cellStyle name="常规 10 2 2 5 3" xfId="80" xr:uid="{00000000-0005-0000-0000-00005A000000}"/>
    <cellStyle name="常规 10 2 2 6" xfId="81" xr:uid="{00000000-0005-0000-0000-00005B000000}"/>
    <cellStyle name="常规 10 2 3" xfId="82" xr:uid="{00000000-0005-0000-0000-00005C000000}"/>
    <cellStyle name="常规 10 2 3 2" xfId="83" xr:uid="{00000000-0005-0000-0000-00005D000000}"/>
    <cellStyle name="常规 10 2 3 2 2" xfId="84" xr:uid="{00000000-0005-0000-0000-00005E000000}"/>
    <cellStyle name="常规 10 2 3 2 2 2" xfId="85" xr:uid="{00000000-0005-0000-0000-00005F000000}"/>
    <cellStyle name="常规 10 2 3 2 3" xfId="86" xr:uid="{00000000-0005-0000-0000-000060000000}"/>
    <cellStyle name="常规 10 2 3 3" xfId="87" xr:uid="{00000000-0005-0000-0000-000061000000}"/>
    <cellStyle name="常规 10 2 3 3 2" xfId="88" xr:uid="{00000000-0005-0000-0000-000062000000}"/>
    <cellStyle name="常规 10 2 4" xfId="89" xr:uid="{00000000-0005-0000-0000-000063000000}"/>
    <cellStyle name="常规 10 2 4 2" xfId="90" xr:uid="{00000000-0005-0000-0000-000064000000}"/>
    <cellStyle name="常规 10 2 4 2 2" xfId="91" xr:uid="{00000000-0005-0000-0000-000065000000}"/>
    <cellStyle name="常规 10 2 4 2 2 2" xfId="92" xr:uid="{00000000-0005-0000-0000-000066000000}"/>
    <cellStyle name="常规 10 2 4 2 2 2 2 3" xfId="93" xr:uid="{00000000-0005-0000-0000-000067000000}"/>
    <cellStyle name="常规 10 2 4 2 2 2 2 3 3 2 2 2" xfId="366" xr:uid="{00000000-0005-0000-0000-000068000000}"/>
    <cellStyle name="常规 10 2 4 2 2 2 2 3 3 2 2 2 5" xfId="357" xr:uid="{00000000-0005-0000-0000-000069000000}"/>
    <cellStyle name="常规 10 2 4 3" xfId="94" xr:uid="{00000000-0005-0000-0000-00006A000000}"/>
    <cellStyle name="常规 10 2 4 3 2" xfId="95" xr:uid="{00000000-0005-0000-0000-00006B000000}"/>
    <cellStyle name="常规 10 2 4 3 2 2" xfId="96" xr:uid="{00000000-0005-0000-0000-00006C000000}"/>
    <cellStyle name="常规 10 2 4 3 3" xfId="97" xr:uid="{00000000-0005-0000-0000-00006D000000}"/>
    <cellStyle name="常规 10 2 4 4" xfId="98" xr:uid="{00000000-0005-0000-0000-00006E000000}"/>
    <cellStyle name="常规 10 2 5" xfId="99" xr:uid="{00000000-0005-0000-0000-00006F000000}"/>
    <cellStyle name="常规 10 2 5 2" xfId="100" xr:uid="{00000000-0005-0000-0000-000070000000}"/>
    <cellStyle name="常规 10 2 5 2 2" xfId="101" xr:uid="{00000000-0005-0000-0000-000071000000}"/>
    <cellStyle name="常规 10 2 5 3" xfId="102" xr:uid="{00000000-0005-0000-0000-000072000000}"/>
    <cellStyle name="常规 10 2 6" xfId="103" xr:uid="{00000000-0005-0000-0000-000073000000}"/>
    <cellStyle name="常规 10 2 6 2" xfId="104" xr:uid="{00000000-0005-0000-0000-000074000000}"/>
    <cellStyle name="常规 10 2 6 2 2" xfId="105" xr:uid="{00000000-0005-0000-0000-000075000000}"/>
    <cellStyle name="常规 10 2 6 3" xfId="106" xr:uid="{00000000-0005-0000-0000-000076000000}"/>
    <cellStyle name="常规 10 2 7" xfId="107" xr:uid="{00000000-0005-0000-0000-000077000000}"/>
    <cellStyle name="常规 10 2 7 2" xfId="108" xr:uid="{00000000-0005-0000-0000-000078000000}"/>
    <cellStyle name="常规 10 2 7 2 2" xfId="388" xr:uid="{2BC381F6-B58D-4E0C-9F59-9A6DF59DB573}"/>
    <cellStyle name="常规 10 2 7 2 2 2" xfId="109" xr:uid="{00000000-0005-0000-0000-000079000000}"/>
    <cellStyle name="常规 10 2 7 2 2 2 2 2 2 2" xfId="361" xr:uid="{00000000-0005-0000-0000-00007A000000}"/>
    <cellStyle name="常规 10 2 7 2 3 2" xfId="110" xr:uid="{00000000-0005-0000-0000-00007B000000}"/>
    <cellStyle name="常规 10 2 7 2 4 2" xfId="111" xr:uid="{00000000-0005-0000-0000-00007C000000}"/>
    <cellStyle name="常规 10 2 7 2 5 2" xfId="112" xr:uid="{00000000-0005-0000-0000-00007D000000}"/>
    <cellStyle name="常规 10 2 7 3" xfId="389" xr:uid="{84DFBD02-6464-499B-A47E-486C02ED6057}"/>
    <cellStyle name="常规 10 3" xfId="113" xr:uid="{00000000-0005-0000-0000-00007E000000}"/>
    <cellStyle name="常规 10 3 2" xfId="114" xr:uid="{00000000-0005-0000-0000-00007F000000}"/>
    <cellStyle name="常规 10 3 2 2" xfId="115" xr:uid="{00000000-0005-0000-0000-000080000000}"/>
    <cellStyle name="常规 10 3 3" xfId="116" xr:uid="{00000000-0005-0000-0000-000081000000}"/>
    <cellStyle name="常规 10 4" xfId="117" xr:uid="{00000000-0005-0000-0000-000082000000}"/>
    <cellStyle name="常规 10 4 2" xfId="118" xr:uid="{00000000-0005-0000-0000-000083000000}"/>
    <cellStyle name="常规 10 4 2 2" xfId="119" xr:uid="{00000000-0005-0000-0000-000084000000}"/>
    <cellStyle name="常规 10 4 3" xfId="120" xr:uid="{00000000-0005-0000-0000-000085000000}"/>
    <cellStyle name="常规 10 5" xfId="121" xr:uid="{00000000-0005-0000-0000-000086000000}"/>
    <cellStyle name="常规 10 9" xfId="122" xr:uid="{00000000-0005-0000-0000-000087000000}"/>
    <cellStyle name="常规 10 9 10 2" xfId="405" xr:uid="{56A1B974-3E74-4674-82AF-3B5BB63814B1}"/>
    <cellStyle name="常规 10 9 10 2 2 2" xfId="344" xr:uid="{00000000-0005-0000-0000-000088000000}"/>
    <cellStyle name="常规 10 9 11" xfId="331" xr:uid="{00000000-0005-0000-0000-000089000000}"/>
    <cellStyle name="常规 10 9 11 2 2" xfId="347" xr:uid="{00000000-0005-0000-0000-00008A000000}"/>
    <cellStyle name="常规 10 9 2 2" xfId="362" xr:uid="{00000000-0005-0000-0000-00008B000000}"/>
    <cellStyle name="常规 10 9 2 2 2 3" xfId="350" xr:uid="{00000000-0005-0000-0000-00008C000000}"/>
    <cellStyle name="常规 10 9 2 6 2 2 2" xfId="332" xr:uid="{00000000-0005-0000-0000-00008D000000}"/>
    <cellStyle name="常规 10 9 3" xfId="369" xr:uid="{00000000-0005-0000-0000-00008E000000}"/>
    <cellStyle name="常规 10 9 3 2" xfId="333" xr:uid="{00000000-0005-0000-0000-00008F000000}"/>
    <cellStyle name="常规 11" xfId="123" xr:uid="{00000000-0005-0000-0000-000090000000}"/>
    <cellStyle name="常规 11 2" xfId="124" xr:uid="{00000000-0005-0000-0000-000091000000}"/>
    <cellStyle name="常规 11 4" xfId="334" xr:uid="{00000000-0005-0000-0000-000092000000}"/>
    <cellStyle name="常规 11 4 2" xfId="349" xr:uid="{00000000-0005-0000-0000-000093000000}"/>
    <cellStyle name="常规 12" xfId="125" xr:uid="{00000000-0005-0000-0000-000094000000}"/>
    <cellStyle name="常规 12 2" xfId="126" xr:uid="{00000000-0005-0000-0000-000095000000}"/>
    <cellStyle name="常规 13" xfId="127" xr:uid="{00000000-0005-0000-0000-000096000000}"/>
    <cellStyle name="常规 13 2" xfId="128" xr:uid="{00000000-0005-0000-0000-000097000000}"/>
    <cellStyle name="常规 13 2 2" xfId="129" xr:uid="{00000000-0005-0000-0000-000098000000}"/>
    <cellStyle name="常规 13 3" xfId="130" xr:uid="{00000000-0005-0000-0000-000099000000}"/>
    <cellStyle name="常规 13 3 2" xfId="131" xr:uid="{00000000-0005-0000-0000-00009A000000}"/>
    <cellStyle name="常规 13 4" xfId="132" xr:uid="{00000000-0005-0000-0000-00009B000000}"/>
    <cellStyle name="常规 13 4 2" xfId="133" xr:uid="{00000000-0005-0000-0000-00009C000000}"/>
    <cellStyle name="常规 13 5" xfId="134" xr:uid="{00000000-0005-0000-0000-00009D000000}"/>
    <cellStyle name="常规 13 5 2" xfId="135" xr:uid="{00000000-0005-0000-0000-00009E000000}"/>
    <cellStyle name="常规 13 6" xfId="136" xr:uid="{00000000-0005-0000-0000-00009F000000}"/>
    <cellStyle name="常规 14" xfId="137" xr:uid="{00000000-0005-0000-0000-0000A0000000}"/>
    <cellStyle name="常规 14 2" xfId="138" xr:uid="{00000000-0005-0000-0000-0000A1000000}"/>
    <cellStyle name="常规 14 2 2" xfId="139" xr:uid="{00000000-0005-0000-0000-0000A2000000}"/>
    <cellStyle name="常规 14 3" xfId="140" xr:uid="{00000000-0005-0000-0000-0000A3000000}"/>
    <cellStyle name="常规 14 3 2" xfId="141" xr:uid="{00000000-0005-0000-0000-0000A4000000}"/>
    <cellStyle name="常规 14 4" xfId="142" xr:uid="{00000000-0005-0000-0000-0000A5000000}"/>
    <cellStyle name="常规 14 4 2" xfId="143" xr:uid="{00000000-0005-0000-0000-0000A6000000}"/>
    <cellStyle name="常规 14 5" xfId="144" xr:uid="{00000000-0005-0000-0000-0000A7000000}"/>
    <cellStyle name="常规 15" xfId="145" xr:uid="{00000000-0005-0000-0000-0000A8000000}"/>
    <cellStyle name="常规 15 2" xfId="146" xr:uid="{00000000-0005-0000-0000-0000A9000000}"/>
    <cellStyle name="常规 15 2 2" xfId="147" xr:uid="{00000000-0005-0000-0000-0000AA000000}"/>
    <cellStyle name="常规 15 3" xfId="148" xr:uid="{00000000-0005-0000-0000-0000AB000000}"/>
    <cellStyle name="常规 16" xfId="149" xr:uid="{00000000-0005-0000-0000-0000AC000000}"/>
    <cellStyle name="常规 16 2" xfId="150" xr:uid="{00000000-0005-0000-0000-0000AD000000}"/>
    <cellStyle name="常规 16 2 2" xfId="151" xr:uid="{00000000-0005-0000-0000-0000AE000000}"/>
    <cellStyle name="常规 16 3" xfId="152" xr:uid="{00000000-0005-0000-0000-0000AF000000}"/>
    <cellStyle name="常规 17" xfId="153" xr:uid="{00000000-0005-0000-0000-0000B0000000}"/>
    <cellStyle name="常规 18" xfId="154" xr:uid="{00000000-0005-0000-0000-0000B1000000}"/>
    <cellStyle name="常规 19" xfId="155" xr:uid="{00000000-0005-0000-0000-0000B2000000}"/>
    <cellStyle name="常规 19 4" xfId="341" xr:uid="{00000000-0005-0000-0000-0000B3000000}"/>
    <cellStyle name="常规 191" xfId="342" xr:uid="{00000000-0005-0000-0000-0000B4000000}"/>
    <cellStyle name="常规 193 2 2" xfId="345" xr:uid="{00000000-0005-0000-0000-0000B5000000}"/>
    <cellStyle name="常规 197" xfId="346" xr:uid="{00000000-0005-0000-0000-0000B6000000}"/>
    <cellStyle name="常规 2" xfId="1" xr:uid="{00000000-0005-0000-0000-0000B7000000}"/>
    <cellStyle name="常规 2 100" xfId="351" xr:uid="{00000000-0005-0000-0000-0000B8000000}"/>
    <cellStyle name="常规 2 12 5 2" xfId="363" xr:uid="{00000000-0005-0000-0000-0000B9000000}"/>
    <cellStyle name="常规 2 144" xfId="335" xr:uid="{00000000-0005-0000-0000-0000BA000000}"/>
    <cellStyle name="常规 2 2" xfId="156" xr:uid="{00000000-0005-0000-0000-0000BB000000}"/>
    <cellStyle name="常规 2 2 2" xfId="157" xr:uid="{00000000-0005-0000-0000-0000BC000000}"/>
    <cellStyle name="常规 2 2 2 16" xfId="343" xr:uid="{00000000-0005-0000-0000-0000BD000000}"/>
    <cellStyle name="常规 2 2 2 18" xfId="354" xr:uid="{00000000-0005-0000-0000-0000BE000000}"/>
    <cellStyle name="常规 2 2 2 2" xfId="373" xr:uid="{479BA476-E386-4E0A-8427-41CD600A425F}"/>
    <cellStyle name="常规 2 2 23" xfId="330" xr:uid="{00000000-0005-0000-0000-0000BF000000}"/>
    <cellStyle name="常规 2 2 3" xfId="158" xr:uid="{00000000-0005-0000-0000-0000C0000000}"/>
    <cellStyle name="常规 2 2 3 2" xfId="159" xr:uid="{00000000-0005-0000-0000-0000C1000000}"/>
    <cellStyle name="常规 2 2 3 2 2" xfId="160" xr:uid="{00000000-0005-0000-0000-0000C2000000}"/>
    <cellStyle name="常规 2 2 3 3 13" xfId="340" xr:uid="{00000000-0005-0000-0000-0000C3000000}"/>
    <cellStyle name="常规 2 2 4" xfId="161" xr:uid="{00000000-0005-0000-0000-0000C4000000}"/>
    <cellStyle name="常规 2 2 5" xfId="162" xr:uid="{00000000-0005-0000-0000-0000C5000000}"/>
    <cellStyle name="常规 2 2 8" xfId="163" xr:uid="{00000000-0005-0000-0000-0000C6000000}"/>
    <cellStyle name="常规 2 2 8 2" xfId="360" xr:uid="{00000000-0005-0000-0000-0000C7000000}"/>
    <cellStyle name="常规 2 3" xfId="164" xr:uid="{00000000-0005-0000-0000-0000C8000000}"/>
    <cellStyle name="常规 2 3 2" xfId="165" xr:uid="{00000000-0005-0000-0000-0000C9000000}"/>
    <cellStyle name="常规 2 3 2 2" xfId="166" xr:uid="{00000000-0005-0000-0000-0000CA000000}"/>
    <cellStyle name="常规 2 3 3" xfId="167" xr:uid="{00000000-0005-0000-0000-0000CB000000}"/>
    <cellStyle name="常规 2 3 3 2" xfId="168" xr:uid="{00000000-0005-0000-0000-0000CC000000}"/>
    <cellStyle name="常规 2 3 4" xfId="169" xr:uid="{00000000-0005-0000-0000-0000CD000000}"/>
    <cellStyle name="常规 2 3 4 2" xfId="170" xr:uid="{00000000-0005-0000-0000-0000CE000000}"/>
    <cellStyle name="常规 2 3 5" xfId="171" xr:uid="{00000000-0005-0000-0000-0000CF000000}"/>
    <cellStyle name="常规 2 3 5 2" xfId="172" xr:uid="{00000000-0005-0000-0000-0000D0000000}"/>
    <cellStyle name="常规 2 3 6" xfId="173" xr:uid="{00000000-0005-0000-0000-0000D1000000}"/>
    <cellStyle name="常规 2 4" xfId="174" xr:uid="{00000000-0005-0000-0000-0000D2000000}"/>
    <cellStyle name="常规 2 4 2" xfId="364" xr:uid="{00000000-0005-0000-0000-0000D3000000}"/>
    <cellStyle name="常规 2 7" xfId="390" xr:uid="{053A9D05-9633-4337-B742-B063E281F9F3}"/>
    <cellStyle name="常规 2_后保险杠总成装配" xfId="175" xr:uid="{00000000-0005-0000-0000-0000D4000000}"/>
    <cellStyle name="常规 22" xfId="176" xr:uid="{00000000-0005-0000-0000-0000D5000000}"/>
    <cellStyle name="常规 22 3" xfId="177" xr:uid="{00000000-0005-0000-0000-0000D6000000}"/>
    <cellStyle name="常规 23" xfId="178" xr:uid="{00000000-0005-0000-0000-0000D7000000}"/>
    <cellStyle name="常规 23 2" xfId="179" xr:uid="{00000000-0005-0000-0000-0000D8000000}"/>
    <cellStyle name="常规 3" xfId="180" xr:uid="{00000000-0005-0000-0000-0000D9000000}"/>
    <cellStyle name="常规 3 2" xfId="181" xr:uid="{00000000-0005-0000-0000-0000DA000000}"/>
    <cellStyle name="常规 3 2 2" xfId="182" xr:uid="{00000000-0005-0000-0000-0000DB000000}"/>
    <cellStyle name="常规 3 3" xfId="183" xr:uid="{00000000-0005-0000-0000-0000DC000000}"/>
    <cellStyle name="常规 3 4" xfId="383" xr:uid="{694D683F-B8CD-4798-97DB-A84ED16BAD7E}"/>
    <cellStyle name="常规 4" xfId="2" xr:uid="{00000000-0005-0000-0000-0000DD000000}"/>
    <cellStyle name="常规 4 106" xfId="355" xr:uid="{00000000-0005-0000-0000-0000DE000000}"/>
    <cellStyle name="常规 4 2" xfId="184" xr:uid="{00000000-0005-0000-0000-0000DF000000}"/>
    <cellStyle name="常规 4 2 13" xfId="356" xr:uid="{00000000-0005-0000-0000-0000E0000000}"/>
    <cellStyle name="常规 4 2 2" xfId="185" xr:uid="{00000000-0005-0000-0000-0000E1000000}"/>
    <cellStyle name="常规 4 2 2 2" xfId="186" xr:uid="{00000000-0005-0000-0000-0000E2000000}"/>
    <cellStyle name="常规 4 2 3" xfId="187" xr:uid="{00000000-0005-0000-0000-0000E3000000}"/>
    <cellStyle name="常规 4 2 3 2" xfId="188" xr:uid="{00000000-0005-0000-0000-0000E4000000}"/>
    <cellStyle name="常规 4 2 3 2 2" xfId="189" xr:uid="{00000000-0005-0000-0000-0000E5000000}"/>
    <cellStyle name="常规 4 2 3 3" xfId="190" xr:uid="{00000000-0005-0000-0000-0000E6000000}"/>
    <cellStyle name="常规 4 2 3 3 2" xfId="191" xr:uid="{00000000-0005-0000-0000-0000E7000000}"/>
    <cellStyle name="常规 4 2 3 3 2 2" xfId="192" xr:uid="{00000000-0005-0000-0000-0000E8000000}"/>
    <cellStyle name="常规 4 2 3 3 3" xfId="193" xr:uid="{00000000-0005-0000-0000-0000E9000000}"/>
    <cellStyle name="常规 4 2 3 4" xfId="194" xr:uid="{00000000-0005-0000-0000-0000EA000000}"/>
    <cellStyle name="常规 4 2 4" xfId="195" xr:uid="{00000000-0005-0000-0000-0000EB000000}"/>
    <cellStyle name="常规 4 2 4 2" xfId="196" xr:uid="{00000000-0005-0000-0000-0000EC000000}"/>
    <cellStyle name="常规 4 2 4 2 2" xfId="197" xr:uid="{00000000-0005-0000-0000-0000ED000000}"/>
    <cellStyle name="常规 4 2 4 3" xfId="198" xr:uid="{00000000-0005-0000-0000-0000EE000000}"/>
    <cellStyle name="常规 4 2 5" xfId="199" xr:uid="{00000000-0005-0000-0000-0000EF000000}"/>
    <cellStyle name="常规 4 3" xfId="200" xr:uid="{00000000-0005-0000-0000-0000F0000000}"/>
    <cellStyle name="常规 4 3 2" xfId="337" xr:uid="{00000000-0005-0000-0000-0000F1000000}"/>
    <cellStyle name="常规 4 4" xfId="201" xr:uid="{00000000-0005-0000-0000-0000F2000000}"/>
    <cellStyle name="常规 4 4 2" xfId="365" xr:uid="{00000000-0005-0000-0000-0000F3000000}"/>
    <cellStyle name="常规 4 5" xfId="202" xr:uid="{00000000-0005-0000-0000-0000F4000000}"/>
    <cellStyle name="常规 5" xfId="203" xr:uid="{00000000-0005-0000-0000-0000F5000000}"/>
    <cellStyle name="常规 5 2" xfId="204" xr:uid="{00000000-0005-0000-0000-0000F6000000}"/>
    <cellStyle name="常规 5 2 2" xfId="205" xr:uid="{00000000-0005-0000-0000-0000F7000000}"/>
    <cellStyle name="常规 5 2 2 2" xfId="206" xr:uid="{00000000-0005-0000-0000-0000F8000000}"/>
    <cellStyle name="常规 5 2 3" xfId="207" xr:uid="{00000000-0005-0000-0000-0000F9000000}"/>
    <cellStyle name="常规 5 2 3 2" xfId="208" xr:uid="{00000000-0005-0000-0000-0000FA000000}"/>
    <cellStyle name="常规 5 2 3 2 2 3_2018款SX6-Q6系列车型成本收益测算17.06.21.xlsx" xfId="348" xr:uid="{00000000-0005-0000-0000-0000FB000000}"/>
    <cellStyle name="常规 5 2 4" xfId="209" xr:uid="{00000000-0005-0000-0000-0000FC000000}"/>
    <cellStyle name="常规 5 2 4 2" xfId="210" xr:uid="{00000000-0005-0000-0000-0000FD000000}"/>
    <cellStyle name="常规 5 2 5" xfId="211" xr:uid="{00000000-0005-0000-0000-0000FE000000}"/>
    <cellStyle name="常规 5 2 5 2" xfId="212" xr:uid="{00000000-0005-0000-0000-0000FF000000}"/>
    <cellStyle name="常规 5 2 6" xfId="213" xr:uid="{00000000-0005-0000-0000-000000010000}"/>
    <cellStyle name="常规 5 3" xfId="214" xr:uid="{00000000-0005-0000-0000-000001010000}"/>
    <cellStyle name="常规 6" xfId="215" xr:uid="{00000000-0005-0000-0000-000002010000}"/>
    <cellStyle name="常规 6 2" xfId="216" xr:uid="{00000000-0005-0000-0000-000003010000}"/>
    <cellStyle name="常规 6 2 2" xfId="217" xr:uid="{00000000-0005-0000-0000-000004010000}"/>
    <cellStyle name="常规 6 2 2 2" xfId="218" xr:uid="{00000000-0005-0000-0000-000005010000}"/>
    <cellStyle name="常规 6 2 3" xfId="219" xr:uid="{00000000-0005-0000-0000-000006010000}"/>
    <cellStyle name="常规 6 2 3 2" xfId="220" xr:uid="{00000000-0005-0000-0000-000007010000}"/>
    <cellStyle name="常规 6 2 4" xfId="221" xr:uid="{00000000-0005-0000-0000-000008010000}"/>
    <cellStyle name="常规 6 2 4 2" xfId="222" xr:uid="{00000000-0005-0000-0000-000009010000}"/>
    <cellStyle name="常规 6 2 5" xfId="223" xr:uid="{00000000-0005-0000-0000-00000A010000}"/>
    <cellStyle name="常规 6 2 5 2" xfId="224" xr:uid="{00000000-0005-0000-0000-00000B010000}"/>
    <cellStyle name="常规 6 2 6" xfId="225" xr:uid="{00000000-0005-0000-0000-00000C010000}"/>
    <cellStyle name="常规 6 3" xfId="226" xr:uid="{00000000-0005-0000-0000-00000D010000}"/>
    <cellStyle name="常规 6 3 2" xfId="227" xr:uid="{00000000-0005-0000-0000-00000E010000}"/>
    <cellStyle name="常规 6 3 2 2" xfId="228" xr:uid="{00000000-0005-0000-0000-00000F010000}"/>
    <cellStyle name="常规 6 3 3" xfId="229" xr:uid="{00000000-0005-0000-0000-000010010000}"/>
    <cellStyle name="常规 6 4" xfId="230" xr:uid="{00000000-0005-0000-0000-000011010000}"/>
    <cellStyle name="常规 6 4 2" xfId="231" xr:uid="{00000000-0005-0000-0000-000012010000}"/>
    <cellStyle name="常规 6 4 2 2" xfId="232" xr:uid="{00000000-0005-0000-0000-000013010000}"/>
    <cellStyle name="常规 6 4 3" xfId="233" xr:uid="{00000000-0005-0000-0000-000014010000}"/>
    <cellStyle name="常规 6 5" xfId="234" xr:uid="{00000000-0005-0000-0000-000015010000}"/>
    <cellStyle name="常规 6 5 2" xfId="235" xr:uid="{00000000-0005-0000-0000-000016010000}"/>
    <cellStyle name="常规 6 5 2 2" xfId="236" xr:uid="{00000000-0005-0000-0000-000017010000}"/>
    <cellStyle name="常规 6 5 3" xfId="237" xr:uid="{00000000-0005-0000-0000-000018010000}"/>
    <cellStyle name="常规 6 6" xfId="238" xr:uid="{00000000-0005-0000-0000-000019010000}"/>
    <cellStyle name="常规 6 6 2" xfId="239" xr:uid="{00000000-0005-0000-0000-00001A010000}"/>
    <cellStyle name="常规 6 7" xfId="240" xr:uid="{00000000-0005-0000-0000-00001B010000}"/>
    <cellStyle name="常规 6 7 2" xfId="241" xr:uid="{00000000-0005-0000-0000-00001C010000}"/>
    <cellStyle name="常规 6 7 2 2" xfId="242" xr:uid="{00000000-0005-0000-0000-00001D010000}"/>
    <cellStyle name="常规 6 7 2 2 3" xfId="243" xr:uid="{00000000-0005-0000-0000-00001E010000}"/>
    <cellStyle name="常规 6 7 2 2 4 2 2" xfId="244" xr:uid="{00000000-0005-0000-0000-00001F010000}"/>
    <cellStyle name="常规 7" xfId="245" xr:uid="{00000000-0005-0000-0000-000020010000}"/>
    <cellStyle name="常规 7 2" xfId="246" xr:uid="{00000000-0005-0000-0000-000021010000}"/>
    <cellStyle name="常规 7 2 2" xfId="247" xr:uid="{00000000-0005-0000-0000-000022010000}"/>
    <cellStyle name="常规 7 2 2 2" xfId="248" xr:uid="{00000000-0005-0000-0000-000023010000}"/>
    <cellStyle name="常规 7 2 3" xfId="249" xr:uid="{00000000-0005-0000-0000-000024010000}"/>
    <cellStyle name="常规 7 2 3 2" xfId="250" xr:uid="{00000000-0005-0000-0000-000025010000}"/>
    <cellStyle name="常规 7 2 4" xfId="251" xr:uid="{00000000-0005-0000-0000-000026010000}"/>
    <cellStyle name="常规 7 2 4 2" xfId="252" xr:uid="{00000000-0005-0000-0000-000027010000}"/>
    <cellStyle name="常规 7 2 4 2 2" xfId="253" xr:uid="{00000000-0005-0000-0000-000028010000}"/>
    <cellStyle name="常规 7 2 4 3" xfId="254" xr:uid="{00000000-0005-0000-0000-000029010000}"/>
    <cellStyle name="常规 7 2 5" xfId="255" xr:uid="{00000000-0005-0000-0000-00002A010000}"/>
    <cellStyle name="常规 7 2 5 2" xfId="256" xr:uid="{00000000-0005-0000-0000-00002B010000}"/>
    <cellStyle name="常规 7 2 5 2 2" xfId="257" xr:uid="{00000000-0005-0000-0000-00002C010000}"/>
    <cellStyle name="常规 7 2 5 3" xfId="258" xr:uid="{00000000-0005-0000-0000-00002D010000}"/>
    <cellStyle name="常规 7 2 6" xfId="259" xr:uid="{00000000-0005-0000-0000-00002E010000}"/>
    <cellStyle name="常规 7 3" xfId="260" xr:uid="{00000000-0005-0000-0000-00002F010000}"/>
    <cellStyle name="常规 7 3 2" xfId="261" xr:uid="{00000000-0005-0000-0000-000030010000}"/>
    <cellStyle name="常规 7 3 2 2" xfId="262" xr:uid="{00000000-0005-0000-0000-000031010000}"/>
    <cellStyle name="常规 7 3 3" xfId="263" xr:uid="{00000000-0005-0000-0000-000032010000}"/>
    <cellStyle name="常规 7 3 3 2" xfId="264" xr:uid="{00000000-0005-0000-0000-000033010000}"/>
    <cellStyle name="常规 7 3 4" xfId="265" xr:uid="{00000000-0005-0000-0000-000034010000}"/>
    <cellStyle name="常规 7 3 4 2" xfId="266" xr:uid="{00000000-0005-0000-0000-000035010000}"/>
    <cellStyle name="常规 7 3 5" xfId="267" xr:uid="{00000000-0005-0000-0000-000036010000}"/>
    <cellStyle name="常规 7 3 5 2" xfId="268" xr:uid="{00000000-0005-0000-0000-000037010000}"/>
    <cellStyle name="常规 7 3 6" xfId="269" xr:uid="{00000000-0005-0000-0000-000038010000}"/>
    <cellStyle name="常规 7 4" xfId="270" xr:uid="{00000000-0005-0000-0000-000039010000}"/>
    <cellStyle name="常规 8" xfId="271" xr:uid="{00000000-0005-0000-0000-00003A010000}"/>
    <cellStyle name="常规 8 2" xfId="272" xr:uid="{00000000-0005-0000-0000-00003B010000}"/>
    <cellStyle name="常规 8 2 2" xfId="273" xr:uid="{00000000-0005-0000-0000-00003C010000}"/>
    <cellStyle name="常规 8 2 2 2" xfId="274" xr:uid="{00000000-0005-0000-0000-00003D010000}"/>
    <cellStyle name="常规 8 2 2 2 2" xfId="275" xr:uid="{00000000-0005-0000-0000-00003E010000}"/>
    <cellStyle name="常规 8 2 2 3" xfId="276" xr:uid="{00000000-0005-0000-0000-00003F010000}"/>
    <cellStyle name="常规 8 2 2 3 2" xfId="277" xr:uid="{00000000-0005-0000-0000-000040010000}"/>
    <cellStyle name="常规 8 2 2 3 2 2" xfId="278" xr:uid="{00000000-0005-0000-0000-000041010000}"/>
    <cellStyle name="常规 8 2 2 3 3" xfId="279" xr:uid="{00000000-0005-0000-0000-000042010000}"/>
    <cellStyle name="常规 8 2 2 4" xfId="280" xr:uid="{00000000-0005-0000-0000-000043010000}"/>
    <cellStyle name="常规 8 2 2 4 2" xfId="281" xr:uid="{00000000-0005-0000-0000-000044010000}"/>
    <cellStyle name="常规 8 2 2 4 2 2" xfId="282" xr:uid="{00000000-0005-0000-0000-000045010000}"/>
    <cellStyle name="常规 8 2 2 4 3" xfId="283" xr:uid="{00000000-0005-0000-0000-000046010000}"/>
    <cellStyle name="常规 8 2 2 5" xfId="284" xr:uid="{00000000-0005-0000-0000-000047010000}"/>
    <cellStyle name="常规 8 2 2 8 2 3" xfId="285" xr:uid="{00000000-0005-0000-0000-000048010000}"/>
    <cellStyle name="常规 8 2 3" xfId="286" xr:uid="{00000000-0005-0000-0000-000049010000}"/>
    <cellStyle name="常规 8 3" xfId="287" xr:uid="{00000000-0005-0000-0000-00004A010000}"/>
    <cellStyle name="常规 9" xfId="288" xr:uid="{00000000-0005-0000-0000-00004B010000}"/>
    <cellStyle name="常规 9 2" xfId="289" xr:uid="{00000000-0005-0000-0000-00004C010000}"/>
    <cellStyle name="常规 9 2 2" xfId="290" xr:uid="{00000000-0005-0000-0000-00004D010000}"/>
    <cellStyle name="常规_7A" xfId="387" xr:uid="{6F651758-C6AA-47D9-B971-44AC3C6F8DFD}"/>
    <cellStyle name="强调文字颜色 1 2" xfId="309" xr:uid="{00000000-0005-0000-0000-000060010000}"/>
    <cellStyle name="强调文字颜色 1 3" xfId="310" xr:uid="{00000000-0005-0000-0000-000061010000}"/>
    <cellStyle name="强调文字颜色 2 2" xfId="311" xr:uid="{00000000-0005-0000-0000-000062010000}"/>
    <cellStyle name="强调文字颜色 2 3" xfId="312" xr:uid="{00000000-0005-0000-0000-000063010000}"/>
    <cellStyle name="强调文字颜色 3 2" xfId="313" xr:uid="{00000000-0005-0000-0000-000064010000}"/>
    <cellStyle name="强调文字颜色 3 3" xfId="314" xr:uid="{00000000-0005-0000-0000-000065010000}"/>
    <cellStyle name="强调文字颜色 4 2" xfId="315" xr:uid="{00000000-0005-0000-0000-000066010000}"/>
    <cellStyle name="强调文字颜色 4 3" xfId="316" xr:uid="{00000000-0005-0000-0000-000067010000}"/>
    <cellStyle name="强调文字颜色 5 2" xfId="317" xr:uid="{00000000-0005-0000-0000-000068010000}"/>
    <cellStyle name="强调文字颜色 5 3" xfId="318" xr:uid="{00000000-0005-0000-0000-000069010000}"/>
    <cellStyle name="强调文字颜色 6 2" xfId="319" xr:uid="{00000000-0005-0000-0000-00006A010000}"/>
    <cellStyle name="强调文字颜色 6 3" xfId="320" xr:uid="{00000000-0005-0000-0000-00006B010000}"/>
    <cellStyle name="标题 1 2" xfId="44" xr:uid="{00000000-0005-0000-0000-00002A000000}"/>
    <cellStyle name="标题 1 3" xfId="45" xr:uid="{00000000-0005-0000-0000-00002B000000}"/>
    <cellStyle name="标题 2 2" xfId="46" xr:uid="{00000000-0005-0000-0000-00002C000000}"/>
    <cellStyle name="标题 2 3" xfId="47" xr:uid="{00000000-0005-0000-0000-00002D000000}"/>
    <cellStyle name="标题 3 2" xfId="48" xr:uid="{00000000-0005-0000-0000-00002E000000}"/>
    <cellStyle name="标题 3 3" xfId="49" xr:uid="{00000000-0005-0000-0000-00002F000000}"/>
    <cellStyle name="标题 4 2" xfId="50" xr:uid="{00000000-0005-0000-0000-000030000000}"/>
    <cellStyle name="标题 4 3" xfId="51" xr:uid="{00000000-0005-0000-0000-000031000000}"/>
    <cellStyle name="标题 5" xfId="52" xr:uid="{00000000-0005-0000-0000-000032000000}"/>
    <cellStyle name="标题 6" xfId="53" xr:uid="{00000000-0005-0000-0000-000033000000}"/>
    <cellStyle name="样式 1" xfId="327" xr:uid="{00000000-0005-0000-0000-000072010000}"/>
    <cellStyle name="检查单元格 2" xfId="299" xr:uid="{00000000-0005-0000-0000-000056010000}"/>
    <cellStyle name="检查单元格 3" xfId="300" xr:uid="{00000000-0005-0000-0000-000057010000}"/>
    <cellStyle name="標準 2" xfId="54" xr:uid="{00000000-0005-0000-0000-000034000000}"/>
    <cellStyle name="標準 2 2" xfId="55" xr:uid="{00000000-0005-0000-0000-000035000000}"/>
    <cellStyle name="標準_【ｼｽﾃﾑ用ﾏｽﾀｰ】基準時間テーブル" xfId="56" xr:uid="{00000000-0005-0000-0000-000036000000}"/>
    <cellStyle name="汇总 2" xfId="295" xr:uid="{00000000-0005-0000-0000-000052010000}"/>
    <cellStyle name="汇总 2 2" xfId="391" xr:uid="{1351596B-1D0A-4381-8874-88403BCBB1F2}"/>
    <cellStyle name="汇总 3" xfId="296" xr:uid="{00000000-0005-0000-0000-000053010000}"/>
    <cellStyle name="汇总 3 2" xfId="392" xr:uid="{1BEB1647-1770-4BDA-9800-A489E7E727F1}"/>
    <cellStyle name="注释 2" xfId="328" xr:uid="{00000000-0005-0000-0000-000073010000}"/>
    <cellStyle name="注释 2 2" xfId="399" xr:uid="{38F8578D-8927-4ABD-B662-C352903AADD6}"/>
    <cellStyle name="注释 3" xfId="329" xr:uid="{00000000-0005-0000-0000-000074010000}"/>
    <cellStyle name="注释 3 2" xfId="400" xr:uid="{FA25146B-9521-4A2E-843F-B620B1A8043B}"/>
    <cellStyle name="百分比 2" xfId="40" xr:uid="{00000000-0005-0000-0000-000026000000}"/>
    <cellStyle name="百分比 2 2" xfId="41" xr:uid="{00000000-0005-0000-0000-000027000000}"/>
    <cellStyle name="百分比 3" xfId="42" xr:uid="{00000000-0005-0000-0000-000028000000}"/>
    <cellStyle name="百分比 3 2" xfId="43" xr:uid="{00000000-0005-0000-0000-000029000000}"/>
    <cellStyle name="解释性文本 2" xfId="301" xr:uid="{00000000-0005-0000-0000-000058010000}"/>
    <cellStyle name="解释性文本 3" xfId="302" xr:uid="{00000000-0005-0000-0000-000059010000}"/>
    <cellStyle name="警告文本 2" xfId="303" xr:uid="{00000000-0005-0000-0000-00005A010000}"/>
    <cellStyle name="警告文本 3" xfId="304" xr:uid="{00000000-0005-0000-0000-00005B010000}"/>
    <cellStyle name="计算 2" xfId="297" xr:uid="{00000000-0005-0000-0000-000054010000}"/>
    <cellStyle name="计算 2 2" xfId="393" xr:uid="{D7136F65-D712-44EF-B17A-33B76A2A4D92}"/>
    <cellStyle name="计算 3" xfId="298" xr:uid="{00000000-0005-0000-0000-000055010000}"/>
    <cellStyle name="计算 3 2" xfId="394" xr:uid="{BEE4DCCB-141F-433B-839B-CD849F6BE886}"/>
    <cellStyle name="超链接 2" xfId="291" xr:uid="{00000000-0005-0000-0000-00004E010000}"/>
    <cellStyle name="超链接 2 2" xfId="292" xr:uid="{00000000-0005-0000-0000-00004F010000}"/>
    <cellStyle name="输入 2" xfId="325" xr:uid="{00000000-0005-0000-0000-000070010000}"/>
    <cellStyle name="输入 2 2" xfId="397" xr:uid="{A77409B5-DBDE-4D26-8BC0-4E752CBD03F0}"/>
    <cellStyle name="输入 3" xfId="326" xr:uid="{00000000-0005-0000-0000-000071010000}"/>
    <cellStyle name="输入 3 2" xfId="398" xr:uid="{5E1D87DF-B223-4668-82B9-E08336B16ECD}"/>
    <cellStyle name="输出 2" xfId="323" xr:uid="{00000000-0005-0000-0000-00006E010000}"/>
    <cellStyle name="输出 2 2" xfId="395" xr:uid="{7F131433-508E-4832-BF6E-82CD8E519387}"/>
    <cellStyle name="输出 3" xfId="324" xr:uid="{00000000-0005-0000-0000-00006F010000}"/>
    <cellStyle name="输出 3 2" xfId="396" xr:uid="{FA23DDC4-E804-4005-8CD3-6BE2ECC4812D}"/>
    <cellStyle name="适中 2" xfId="321" xr:uid="{00000000-0005-0000-0000-00006C010000}"/>
    <cellStyle name="适中 3" xfId="322" xr:uid="{00000000-0005-0000-0000-00006D010000}"/>
    <cellStyle name="链接单元格 2" xfId="305" xr:uid="{00000000-0005-0000-0000-00005C010000}"/>
    <cellStyle name="链接单元格 3" xfId="306" xr:uid="{00000000-0005-0000-0000-00005D010000}"/>
  </cellStyles>
  <dxfs count="3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559175</xdr:colOff>
      <xdr:row>2</xdr:row>
      <xdr:rowOff>85724</xdr:rowOff>
    </xdr:from>
    <xdr:to>
      <xdr:col>16</xdr:col>
      <xdr:colOff>57711</xdr:colOff>
      <xdr:row>4</xdr:row>
      <xdr:rowOff>263441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CF982B-652D-40D7-8380-26A92BA713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46" t="21035" r="14108" b="17614"/>
        <a:stretch/>
      </xdr:blipFill>
      <xdr:spPr>
        <a:xfrm>
          <a:off x="17356793" y="477930"/>
          <a:ext cx="1000124" cy="805246"/>
        </a:xfrm>
        <a:prstGeom prst="rect">
          <a:avLst/>
        </a:prstGeom>
      </xdr:spPr>
    </xdr:pic>
    <xdr:clientData/>
  </xdr:twoCellAnchor>
  <xdr:twoCellAnchor editAs="oneCell">
    <xdr:from>
      <xdr:col>14</xdr:col>
      <xdr:colOff>643218</xdr:colOff>
      <xdr:row>9</xdr:row>
      <xdr:rowOff>127186</xdr:rowOff>
    </xdr:from>
    <xdr:to>
      <xdr:col>16</xdr:col>
      <xdr:colOff>141754</xdr:colOff>
      <xdr:row>11</xdr:row>
      <xdr:rowOff>275748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A08CFA-5019-4A60-B1DD-7682588A9C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46" t="21035" r="14108" b="17614"/>
        <a:stretch/>
      </xdr:blipFill>
      <xdr:spPr>
        <a:xfrm>
          <a:off x="17440836" y="2480421"/>
          <a:ext cx="1000124" cy="7760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891871</xdr:colOff>
      <xdr:row>443</xdr:row>
      <xdr:rowOff>385732</xdr:rowOff>
    </xdr:from>
    <xdr:to>
      <xdr:col>6</xdr:col>
      <xdr:colOff>168611</xdr:colOff>
      <xdr:row>443</xdr:row>
      <xdr:rowOff>385732</xdr:rowOff>
    </xdr:to>
    <xdr:sp macro="" textlink="">
      <xdr:nvSpPr>
        <xdr:cNvPr id="4" name="テキスト 472">
          <a:extLst>
            <a:ext uri="{FF2B5EF4-FFF2-40B4-BE49-F238E27FC236}">
              <a16:creationId xmlns:a16="http://schemas.microsoft.com/office/drawing/2014/main" id="{C51B2F16-B196-448D-BF67-78EB37C5CBA3}"/>
            </a:ext>
          </a:extLst>
        </xdr:cNvPr>
        <xdr:cNvSpPr txBox="1">
          <a:spLocks noChangeArrowheads="1"/>
        </xdr:cNvSpPr>
      </xdr:nvSpPr>
      <xdr:spPr>
        <a:xfrm>
          <a:off x="13576709239" y="7034182"/>
          <a:ext cx="158179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5" name="テキスト 472">
          <a:extLst>
            <a:ext uri="{FF2B5EF4-FFF2-40B4-BE49-F238E27FC236}">
              <a16:creationId xmlns:a16="http://schemas.microsoft.com/office/drawing/2014/main" id="{3DFD7200-A6A3-4094-9269-5A2C70876C96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6" name="テキスト 642">
          <a:extLst>
            <a:ext uri="{FF2B5EF4-FFF2-40B4-BE49-F238E27FC236}">
              <a16:creationId xmlns:a16="http://schemas.microsoft.com/office/drawing/2014/main" id="{CCA5D131-D38E-4372-A6EA-24F8C012EAD9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7" name="テキスト 472">
          <a:extLst>
            <a:ext uri="{FF2B5EF4-FFF2-40B4-BE49-F238E27FC236}">
              <a16:creationId xmlns:a16="http://schemas.microsoft.com/office/drawing/2014/main" id="{27BAEE30-8417-4B60-AC34-A2F24B6B4B82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5</xdr:col>
      <xdr:colOff>891871</xdr:colOff>
      <xdr:row>443</xdr:row>
      <xdr:rowOff>385732</xdr:rowOff>
    </xdr:from>
    <xdr:to>
      <xdr:col>6</xdr:col>
      <xdr:colOff>168611</xdr:colOff>
      <xdr:row>443</xdr:row>
      <xdr:rowOff>385732</xdr:rowOff>
    </xdr:to>
    <xdr:sp macro="" textlink="">
      <xdr:nvSpPr>
        <xdr:cNvPr id="8" name="テキスト 472">
          <a:extLst>
            <a:ext uri="{FF2B5EF4-FFF2-40B4-BE49-F238E27FC236}">
              <a16:creationId xmlns:a16="http://schemas.microsoft.com/office/drawing/2014/main" id="{BBD12CED-3B79-49F6-8ED6-35D9A928086D}"/>
            </a:ext>
          </a:extLst>
        </xdr:cNvPr>
        <xdr:cNvSpPr txBox="1">
          <a:spLocks noChangeArrowheads="1"/>
        </xdr:cNvSpPr>
      </xdr:nvSpPr>
      <xdr:spPr>
        <a:xfrm>
          <a:off x="13576709239" y="7034182"/>
          <a:ext cx="158179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9" name="テキスト 472">
          <a:extLst>
            <a:ext uri="{FF2B5EF4-FFF2-40B4-BE49-F238E27FC236}">
              <a16:creationId xmlns:a16="http://schemas.microsoft.com/office/drawing/2014/main" id="{6CF8691A-3B77-4C26-868E-1BC96C27735D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10" name="テキスト 642">
          <a:extLst>
            <a:ext uri="{FF2B5EF4-FFF2-40B4-BE49-F238E27FC236}">
              <a16:creationId xmlns:a16="http://schemas.microsoft.com/office/drawing/2014/main" id="{EC5970CE-132C-48E2-86F2-59A9E88CA011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11" name="テキスト 472">
          <a:extLst>
            <a:ext uri="{FF2B5EF4-FFF2-40B4-BE49-F238E27FC236}">
              <a16:creationId xmlns:a16="http://schemas.microsoft.com/office/drawing/2014/main" id="{62740F19-D23C-4E02-AF65-B09450DECF93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5</xdr:col>
      <xdr:colOff>891871</xdr:colOff>
      <xdr:row>443</xdr:row>
      <xdr:rowOff>385732</xdr:rowOff>
    </xdr:from>
    <xdr:to>
      <xdr:col>6</xdr:col>
      <xdr:colOff>168611</xdr:colOff>
      <xdr:row>443</xdr:row>
      <xdr:rowOff>385732</xdr:rowOff>
    </xdr:to>
    <xdr:sp macro="" textlink="">
      <xdr:nvSpPr>
        <xdr:cNvPr id="12" name="テキスト 472">
          <a:extLst>
            <a:ext uri="{FF2B5EF4-FFF2-40B4-BE49-F238E27FC236}">
              <a16:creationId xmlns:a16="http://schemas.microsoft.com/office/drawing/2014/main" id="{18F5372B-C959-4C41-BA9B-EA65BE2F95F5}"/>
            </a:ext>
          </a:extLst>
        </xdr:cNvPr>
        <xdr:cNvSpPr txBox="1">
          <a:spLocks noChangeArrowheads="1"/>
        </xdr:cNvSpPr>
      </xdr:nvSpPr>
      <xdr:spPr>
        <a:xfrm>
          <a:off x="13576709239" y="7034182"/>
          <a:ext cx="158179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13" name="テキスト 472">
          <a:extLst>
            <a:ext uri="{FF2B5EF4-FFF2-40B4-BE49-F238E27FC236}">
              <a16:creationId xmlns:a16="http://schemas.microsoft.com/office/drawing/2014/main" id="{F53D4E54-1DE8-4A77-B8B7-5AD335C5EB3C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14" name="テキスト 642">
          <a:extLst>
            <a:ext uri="{FF2B5EF4-FFF2-40B4-BE49-F238E27FC236}">
              <a16:creationId xmlns:a16="http://schemas.microsoft.com/office/drawing/2014/main" id="{8E0EF3DE-14F1-4C69-A106-9E8B30EE53D6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15" name="テキスト 472">
          <a:extLst>
            <a:ext uri="{FF2B5EF4-FFF2-40B4-BE49-F238E27FC236}">
              <a16:creationId xmlns:a16="http://schemas.microsoft.com/office/drawing/2014/main" id="{97B2B154-6D40-4EB2-89CA-27DBC0F3C0B4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6</xdr:col>
      <xdr:colOff>300061</xdr:colOff>
      <xdr:row>438</xdr:row>
      <xdr:rowOff>184730</xdr:rowOff>
    </xdr:from>
    <xdr:to>
      <xdr:col>6</xdr:col>
      <xdr:colOff>484792</xdr:colOff>
      <xdr:row>439</xdr:row>
      <xdr:rowOff>54683</xdr:rowOff>
    </xdr:to>
    <xdr:sp macro="" textlink="">
      <xdr:nvSpPr>
        <xdr:cNvPr id="16" name="文本框 6">
          <a:extLst>
            <a:ext uri="{FF2B5EF4-FFF2-40B4-BE49-F238E27FC236}">
              <a16:creationId xmlns:a16="http://schemas.microsoft.com/office/drawing/2014/main" id="{EAEC17D1-EE08-4394-A8B3-8A694D2F115C}"/>
            </a:ext>
          </a:extLst>
        </xdr:cNvPr>
        <xdr:cNvSpPr txBox="1"/>
      </xdr:nvSpPr>
      <xdr:spPr>
        <a:xfrm>
          <a:off x="13576393058" y="4832930"/>
          <a:ext cx="184731" cy="2700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zh-CN" altLang="en-US" sz="1100"/>
        </a:p>
      </xdr:txBody>
    </xdr:sp>
    <xdr:clientData/>
  </xdr:twoCellAnchor>
  <xdr:twoCellAnchor>
    <xdr:from>
      <xdr:col>5</xdr:col>
      <xdr:colOff>891871</xdr:colOff>
      <xdr:row>443</xdr:row>
      <xdr:rowOff>385732</xdr:rowOff>
    </xdr:from>
    <xdr:to>
      <xdr:col>6</xdr:col>
      <xdr:colOff>168611</xdr:colOff>
      <xdr:row>443</xdr:row>
      <xdr:rowOff>385732</xdr:rowOff>
    </xdr:to>
    <xdr:sp macro="" textlink="">
      <xdr:nvSpPr>
        <xdr:cNvPr id="17" name="テキスト 472">
          <a:extLst>
            <a:ext uri="{FF2B5EF4-FFF2-40B4-BE49-F238E27FC236}">
              <a16:creationId xmlns:a16="http://schemas.microsoft.com/office/drawing/2014/main" id="{0167E02C-7221-42C5-9279-5D1C352F7152}"/>
            </a:ext>
          </a:extLst>
        </xdr:cNvPr>
        <xdr:cNvSpPr txBox="1">
          <a:spLocks noChangeArrowheads="1"/>
        </xdr:cNvSpPr>
      </xdr:nvSpPr>
      <xdr:spPr>
        <a:xfrm>
          <a:off x="13576709239" y="7034182"/>
          <a:ext cx="158179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18" name="テキスト 472">
          <a:extLst>
            <a:ext uri="{FF2B5EF4-FFF2-40B4-BE49-F238E27FC236}">
              <a16:creationId xmlns:a16="http://schemas.microsoft.com/office/drawing/2014/main" id="{37D7141C-E5E3-4C20-9A29-F583EFB7A8FA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19" name="テキスト 642">
          <a:extLst>
            <a:ext uri="{FF2B5EF4-FFF2-40B4-BE49-F238E27FC236}">
              <a16:creationId xmlns:a16="http://schemas.microsoft.com/office/drawing/2014/main" id="{14B850A6-1F0F-4D12-87AF-632FE82CA7AD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20" name="テキスト 472">
          <a:extLst>
            <a:ext uri="{FF2B5EF4-FFF2-40B4-BE49-F238E27FC236}">
              <a16:creationId xmlns:a16="http://schemas.microsoft.com/office/drawing/2014/main" id="{F029C478-F067-4F3D-9BDD-F7B1DA51A4EB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5</xdr:col>
      <xdr:colOff>891871</xdr:colOff>
      <xdr:row>443</xdr:row>
      <xdr:rowOff>385732</xdr:rowOff>
    </xdr:from>
    <xdr:to>
      <xdr:col>6</xdr:col>
      <xdr:colOff>168611</xdr:colOff>
      <xdr:row>443</xdr:row>
      <xdr:rowOff>385732</xdr:rowOff>
    </xdr:to>
    <xdr:sp macro="" textlink="">
      <xdr:nvSpPr>
        <xdr:cNvPr id="21" name="テキスト 472">
          <a:extLst>
            <a:ext uri="{FF2B5EF4-FFF2-40B4-BE49-F238E27FC236}">
              <a16:creationId xmlns:a16="http://schemas.microsoft.com/office/drawing/2014/main" id="{4E7C5588-9FE8-4C8A-9CD2-A9A62992D2BA}"/>
            </a:ext>
          </a:extLst>
        </xdr:cNvPr>
        <xdr:cNvSpPr txBox="1">
          <a:spLocks noChangeArrowheads="1"/>
        </xdr:cNvSpPr>
      </xdr:nvSpPr>
      <xdr:spPr>
        <a:xfrm>
          <a:off x="13576709239" y="7034182"/>
          <a:ext cx="158179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22" name="テキスト 472">
          <a:extLst>
            <a:ext uri="{FF2B5EF4-FFF2-40B4-BE49-F238E27FC236}">
              <a16:creationId xmlns:a16="http://schemas.microsoft.com/office/drawing/2014/main" id="{5EAB3BCB-582F-4121-B167-C8AB7DA4D030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23" name="テキスト 642">
          <a:extLst>
            <a:ext uri="{FF2B5EF4-FFF2-40B4-BE49-F238E27FC236}">
              <a16:creationId xmlns:a16="http://schemas.microsoft.com/office/drawing/2014/main" id="{9C68EBBD-6E3B-4F9E-ADAF-F9678E8B23B9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24" name="テキスト 472">
          <a:extLst>
            <a:ext uri="{FF2B5EF4-FFF2-40B4-BE49-F238E27FC236}">
              <a16:creationId xmlns:a16="http://schemas.microsoft.com/office/drawing/2014/main" id="{FC4C58A4-1A94-42B9-9C0E-803BE0F82415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5</xdr:col>
      <xdr:colOff>891871</xdr:colOff>
      <xdr:row>443</xdr:row>
      <xdr:rowOff>385732</xdr:rowOff>
    </xdr:from>
    <xdr:to>
      <xdr:col>6</xdr:col>
      <xdr:colOff>168611</xdr:colOff>
      <xdr:row>443</xdr:row>
      <xdr:rowOff>385732</xdr:rowOff>
    </xdr:to>
    <xdr:sp macro="" textlink="">
      <xdr:nvSpPr>
        <xdr:cNvPr id="25" name="テキスト 472">
          <a:extLst>
            <a:ext uri="{FF2B5EF4-FFF2-40B4-BE49-F238E27FC236}">
              <a16:creationId xmlns:a16="http://schemas.microsoft.com/office/drawing/2014/main" id="{C40374DD-11EF-45E5-9BF7-0FAD497AFC48}"/>
            </a:ext>
          </a:extLst>
        </xdr:cNvPr>
        <xdr:cNvSpPr txBox="1">
          <a:spLocks noChangeArrowheads="1"/>
        </xdr:cNvSpPr>
      </xdr:nvSpPr>
      <xdr:spPr>
        <a:xfrm>
          <a:off x="13576709239" y="7034182"/>
          <a:ext cx="158179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26" name="テキスト 472">
          <a:extLst>
            <a:ext uri="{FF2B5EF4-FFF2-40B4-BE49-F238E27FC236}">
              <a16:creationId xmlns:a16="http://schemas.microsoft.com/office/drawing/2014/main" id="{F6AACA41-6589-4B7F-9299-D6EDE6D196A4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27" name="テキスト 642">
          <a:extLst>
            <a:ext uri="{FF2B5EF4-FFF2-40B4-BE49-F238E27FC236}">
              <a16:creationId xmlns:a16="http://schemas.microsoft.com/office/drawing/2014/main" id="{C3B82948-5D7B-404B-8C01-D8EFDCB65549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28" name="テキスト 472">
          <a:extLst>
            <a:ext uri="{FF2B5EF4-FFF2-40B4-BE49-F238E27FC236}">
              <a16:creationId xmlns:a16="http://schemas.microsoft.com/office/drawing/2014/main" id="{4B0AD13F-6AF3-49D6-A9C7-CF1541F9A71F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5</xdr:col>
      <xdr:colOff>891871</xdr:colOff>
      <xdr:row>443</xdr:row>
      <xdr:rowOff>385732</xdr:rowOff>
    </xdr:from>
    <xdr:to>
      <xdr:col>6</xdr:col>
      <xdr:colOff>168611</xdr:colOff>
      <xdr:row>443</xdr:row>
      <xdr:rowOff>385732</xdr:rowOff>
    </xdr:to>
    <xdr:sp macro="" textlink="">
      <xdr:nvSpPr>
        <xdr:cNvPr id="29" name="テキスト 472">
          <a:extLst>
            <a:ext uri="{FF2B5EF4-FFF2-40B4-BE49-F238E27FC236}">
              <a16:creationId xmlns:a16="http://schemas.microsoft.com/office/drawing/2014/main" id="{9DF8EEE3-2966-488A-A361-E584357C6566}"/>
            </a:ext>
          </a:extLst>
        </xdr:cNvPr>
        <xdr:cNvSpPr txBox="1">
          <a:spLocks noChangeArrowheads="1"/>
        </xdr:cNvSpPr>
      </xdr:nvSpPr>
      <xdr:spPr>
        <a:xfrm>
          <a:off x="13576709239" y="7034182"/>
          <a:ext cx="158179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30" name="テキスト 472">
          <a:extLst>
            <a:ext uri="{FF2B5EF4-FFF2-40B4-BE49-F238E27FC236}">
              <a16:creationId xmlns:a16="http://schemas.microsoft.com/office/drawing/2014/main" id="{E8D18629-7F89-4F63-BE72-BD4C5918B070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31" name="テキスト 642">
          <a:extLst>
            <a:ext uri="{FF2B5EF4-FFF2-40B4-BE49-F238E27FC236}">
              <a16:creationId xmlns:a16="http://schemas.microsoft.com/office/drawing/2014/main" id="{72D79227-5F0B-43B8-B44C-37D03B7F5F6B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32" name="テキスト 472">
          <a:extLst>
            <a:ext uri="{FF2B5EF4-FFF2-40B4-BE49-F238E27FC236}">
              <a16:creationId xmlns:a16="http://schemas.microsoft.com/office/drawing/2014/main" id="{E6F8A777-9A4D-4DF3-82C0-C2D3E0477B72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5</xdr:col>
      <xdr:colOff>891871</xdr:colOff>
      <xdr:row>443</xdr:row>
      <xdr:rowOff>385732</xdr:rowOff>
    </xdr:from>
    <xdr:to>
      <xdr:col>6</xdr:col>
      <xdr:colOff>168611</xdr:colOff>
      <xdr:row>443</xdr:row>
      <xdr:rowOff>385732</xdr:rowOff>
    </xdr:to>
    <xdr:sp macro="" textlink="">
      <xdr:nvSpPr>
        <xdr:cNvPr id="33" name="テキスト 472">
          <a:extLst>
            <a:ext uri="{FF2B5EF4-FFF2-40B4-BE49-F238E27FC236}">
              <a16:creationId xmlns:a16="http://schemas.microsoft.com/office/drawing/2014/main" id="{AC1F62C0-E8D6-4AAC-AB63-F8221F7EC15B}"/>
            </a:ext>
          </a:extLst>
        </xdr:cNvPr>
        <xdr:cNvSpPr txBox="1">
          <a:spLocks noChangeArrowheads="1"/>
        </xdr:cNvSpPr>
      </xdr:nvSpPr>
      <xdr:spPr>
        <a:xfrm>
          <a:off x="13576709239" y="7034182"/>
          <a:ext cx="158179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34" name="テキスト 472">
          <a:extLst>
            <a:ext uri="{FF2B5EF4-FFF2-40B4-BE49-F238E27FC236}">
              <a16:creationId xmlns:a16="http://schemas.microsoft.com/office/drawing/2014/main" id="{2624CBB5-B2B1-4448-86E8-DB4E4EBB312D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35" name="テキスト 642">
          <a:extLst>
            <a:ext uri="{FF2B5EF4-FFF2-40B4-BE49-F238E27FC236}">
              <a16:creationId xmlns:a16="http://schemas.microsoft.com/office/drawing/2014/main" id="{FBD40190-E585-453F-B52A-CC9EA72A8B3E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36" name="テキスト 472">
          <a:extLst>
            <a:ext uri="{FF2B5EF4-FFF2-40B4-BE49-F238E27FC236}">
              <a16:creationId xmlns:a16="http://schemas.microsoft.com/office/drawing/2014/main" id="{AA7ED8CE-83DC-4A57-A712-B69A59983FA6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5</xdr:col>
      <xdr:colOff>891871</xdr:colOff>
      <xdr:row>443</xdr:row>
      <xdr:rowOff>385732</xdr:rowOff>
    </xdr:from>
    <xdr:to>
      <xdr:col>6</xdr:col>
      <xdr:colOff>168611</xdr:colOff>
      <xdr:row>443</xdr:row>
      <xdr:rowOff>385732</xdr:rowOff>
    </xdr:to>
    <xdr:sp macro="" textlink="">
      <xdr:nvSpPr>
        <xdr:cNvPr id="37" name="テキスト 472">
          <a:extLst>
            <a:ext uri="{FF2B5EF4-FFF2-40B4-BE49-F238E27FC236}">
              <a16:creationId xmlns:a16="http://schemas.microsoft.com/office/drawing/2014/main" id="{F587DFF3-0035-4F7F-9BAF-46083B2CD636}"/>
            </a:ext>
          </a:extLst>
        </xdr:cNvPr>
        <xdr:cNvSpPr txBox="1">
          <a:spLocks noChangeArrowheads="1"/>
        </xdr:cNvSpPr>
      </xdr:nvSpPr>
      <xdr:spPr>
        <a:xfrm>
          <a:off x="13576709239" y="7034182"/>
          <a:ext cx="158179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38" name="テキスト 472">
          <a:extLst>
            <a:ext uri="{FF2B5EF4-FFF2-40B4-BE49-F238E27FC236}">
              <a16:creationId xmlns:a16="http://schemas.microsoft.com/office/drawing/2014/main" id="{891F9213-433C-487F-B12D-AE612A042782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39" name="テキスト 642">
          <a:extLst>
            <a:ext uri="{FF2B5EF4-FFF2-40B4-BE49-F238E27FC236}">
              <a16:creationId xmlns:a16="http://schemas.microsoft.com/office/drawing/2014/main" id="{AE5E53AF-3B9A-490E-81E8-5262D5892EC1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5</xdr:col>
      <xdr:colOff>876631</xdr:colOff>
      <xdr:row>443</xdr:row>
      <xdr:rowOff>385732</xdr:rowOff>
    </xdr:from>
    <xdr:to>
      <xdr:col>6</xdr:col>
      <xdr:colOff>160991</xdr:colOff>
      <xdr:row>443</xdr:row>
      <xdr:rowOff>385732</xdr:rowOff>
    </xdr:to>
    <xdr:sp macro="" textlink="">
      <xdr:nvSpPr>
        <xdr:cNvPr id="40" name="テキスト 472">
          <a:extLst>
            <a:ext uri="{FF2B5EF4-FFF2-40B4-BE49-F238E27FC236}">
              <a16:creationId xmlns:a16="http://schemas.microsoft.com/office/drawing/2014/main" id="{5E748890-6AF1-4398-BC83-F0473CD7F37A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5</xdr:col>
      <xdr:colOff>891871</xdr:colOff>
      <xdr:row>445</xdr:row>
      <xdr:rowOff>385732</xdr:rowOff>
    </xdr:from>
    <xdr:to>
      <xdr:col>6</xdr:col>
      <xdr:colOff>168611</xdr:colOff>
      <xdr:row>445</xdr:row>
      <xdr:rowOff>385732</xdr:rowOff>
    </xdr:to>
    <xdr:sp macro="" textlink="">
      <xdr:nvSpPr>
        <xdr:cNvPr id="41" name="テキスト 472">
          <a:extLst>
            <a:ext uri="{FF2B5EF4-FFF2-40B4-BE49-F238E27FC236}">
              <a16:creationId xmlns:a16="http://schemas.microsoft.com/office/drawing/2014/main" id="{2F9E46C9-8221-43E5-ADB2-F79528703547}"/>
            </a:ext>
          </a:extLst>
        </xdr:cNvPr>
        <xdr:cNvSpPr txBox="1">
          <a:spLocks noChangeArrowheads="1"/>
        </xdr:cNvSpPr>
      </xdr:nvSpPr>
      <xdr:spPr>
        <a:xfrm>
          <a:off x="13576709239" y="7834282"/>
          <a:ext cx="158179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5</xdr:col>
      <xdr:colOff>876631</xdr:colOff>
      <xdr:row>445</xdr:row>
      <xdr:rowOff>385732</xdr:rowOff>
    </xdr:from>
    <xdr:to>
      <xdr:col>6</xdr:col>
      <xdr:colOff>160991</xdr:colOff>
      <xdr:row>445</xdr:row>
      <xdr:rowOff>385732</xdr:rowOff>
    </xdr:to>
    <xdr:sp macro="" textlink="">
      <xdr:nvSpPr>
        <xdr:cNvPr id="42" name="テキスト 472">
          <a:extLst>
            <a:ext uri="{FF2B5EF4-FFF2-40B4-BE49-F238E27FC236}">
              <a16:creationId xmlns:a16="http://schemas.microsoft.com/office/drawing/2014/main" id="{E918243C-7CB6-4EB8-B06B-78C90A95B54E}"/>
            </a:ext>
          </a:extLst>
        </xdr:cNvPr>
        <xdr:cNvSpPr txBox="1">
          <a:spLocks noChangeArrowheads="1"/>
        </xdr:cNvSpPr>
      </xdr:nvSpPr>
      <xdr:spPr>
        <a:xfrm>
          <a:off x="13576716859" y="78342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5</xdr:col>
      <xdr:colOff>876631</xdr:colOff>
      <xdr:row>445</xdr:row>
      <xdr:rowOff>385732</xdr:rowOff>
    </xdr:from>
    <xdr:to>
      <xdr:col>6</xdr:col>
      <xdr:colOff>160991</xdr:colOff>
      <xdr:row>445</xdr:row>
      <xdr:rowOff>385732</xdr:rowOff>
    </xdr:to>
    <xdr:sp macro="" textlink="">
      <xdr:nvSpPr>
        <xdr:cNvPr id="43" name="テキスト 642">
          <a:extLst>
            <a:ext uri="{FF2B5EF4-FFF2-40B4-BE49-F238E27FC236}">
              <a16:creationId xmlns:a16="http://schemas.microsoft.com/office/drawing/2014/main" id="{6EB6C13A-143D-4675-B690-BE35EE70BCD4}"/>
            </a:ext>
          </a:extLst>
        </xdr:cNvPr>
        <xdr:cNvSpPr txBox="1">
          <a:spLocks noChangeArrowheads="1"/>
        </xdr:cNvSpPr>
      </xdr:nvSpPr>
      <xdr:spPr>
        <a:xfrm>
          <a:off x="13576716859" y="78342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5</xdr:col>
      <xdr:colOff>876631</xdr:colOff>
      <xdr:row>445</xdr:row>
      <xdr:rowOff>385732</xdr:rowOff>
    </xdr:from>
    <xdr:to>
      <xdr:col>6</xdr:col>
      <xdr:colOff>160991</xdr:colOff>
      <xdr:row>445</xdr:row>
      <xdr:rowOff>385732</xdr:rowOff>
    </xdr:to>
    <xdr:sp macro="" textlink="">
      <xdr:nvSpPr>
        <xdr:cNvPr id="44" name="テキスト 472">
          <a:extLst>
            <a:ext uri="{FF2B5EF4-FFF2-40B4-BE49-F238E27FC236}">
              <a16:creationId xmlns:a16="http://schemas.microsoft.com/office/drawing/2014/main" id="{1E1B2A33-C02F-4221-B908-0367E8A99B3E}"/>
            </a:ext>
          </a:extLst>
        </xdr:cNvPr>
        <xdr:cNvSpPr txBox="1">
          <a:spLocks noChangeArrowheads="1"/>
        </xdr:cNvSpPr>
      </xdr:nvSpPr>
      <xdr:spPr>
        <a:xfrm>
          <a:off x="13576716859" y="78342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8</xdr:col>
      <xdr:colOff>244928</xdr:colOff>
      <xdr:row>442</xdr:row>
      <xdr:rowOff>351064</xdr:rowOff>
    </xdr:from>
    <xdr:to>
      <xdr:col>9</xdr:col>
      <xdr:colOff>1857375</xdr:colOff>
      <xdr:row>442</xdr:row>
      <xdr:rowOff>351064</xdr:rowOff>
    </xdr:to>
    <xdr:sp macro="" textlink="">
      <xdr:nvSpPr>
        <xdr:cNvPr id="45" name="テキスト 644">
          <a:extLst>
            <a:ext uri="{FF2B5EF4-FFF2-40B4-BE49-F238E27FC236}">
              <a16:creationId xmlns:a16="http://schemas.microsoft.com/office/drawing/2014/main" id="{60A800C4-2697-44B0-A2A1-B8F7CB004126}"/>
            </a:ext>
          </a:extLst>
        </xdr:cNvPr>
        <xdr:cNvSpPr txBox="1">
          <a:spLocks noChangeArrowheads="1"/>
        </xdr:cNvSpPr>
      </xdr:nvSpPr>
      <xdr:spPr>
        <a:xfrm>
          <a:off x="13577325525" y="6599464"/>
          <a:ext cx="300309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9</xdr:col>
      <xdr:colOff>906780</xdr:colOff>
      <xdr:row>442</xdr:row>
      <xdr:rowOff>351064</xdr:rowOff>
    </xdr:from>
    <xdr:to>
      <xdr:col>9</xdr:col>
      <xdr:colOff>2162175</xdr:colOff>
      <xdr:row>442</xdr:row>
      <xdr:rowOff>351064</xdr:rowOff>
    </xdr:to>
    <xdr:sp macro="" textlink="">
      <xdr:nvSpPr>
        <xdr:cNvPr id="46" name="テキスト 472">
          <a:extLst>
            <a:ext uri="{FF2B5EF4-FFF2-40B4-BE49-F238E27FC236}">
              <a16:creationId xmlns:a16="http://schemas.microsoft.com/office/drawing/2014/main" id="{5FD2A695-1DD7-4916-A816-EC343B6D880F}"/>
            </a:ext>
          </a:extLst>
        </xdr:cNvPr>
        <xdr:cNvSpPr txBox="1">
          <a:spLocks noChangeArrowheads="1"/>
        </xdr:cNvSpPr>
      </xdr:nvSpPr>
      <xdr:spPr>
        <a:xfrm>
          <a:off x="13577020725" y="659946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47" name="テキスト 472">
          <a:extLst>
            <a:ext uri="{FF2B5EF4-FFF2-40B4-BE49-F238E27FC236}">
              <a16:creationId xmlns:a16="http://schemas.microsoft.com/office/drawing/2014/main" id="{B8762FEB-0C11-4408-85EE-092D9F4C6B84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48" name="テキスト 642">
          <a:extLst>
            <a:ext uri="{FF2B5EF4-FFF2-40B4-BE49-F238E27FC236}">
              <a16:creationId xmlns:a16="http://schemas.microsoft.com/office/drawing/2014/main" id="{48917504-BA7F-4434-B7DA-FA3FF865E621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49" name="テキスト 472">
          <a:extLst>
            <a:ext uri="{FF2B5EF4-FFF2-40B4-BE49-F238E27FC236}">
              <a16:creationId xmlns:a16="http://schemas.microsoft.com/office/drawing/2014/main" id="{AFE6050F-AB6E-4D41-AAEE-767D3BA88F0D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8</xdr:col>
      <xdr:colOff>244928</xdr:colOff>
      <xdr:row>442</xdr:row>
      <xdr:rowOff>351064</xdr:rowOff>
    </xdr:from>
    <xdr:to>
      <xdr:col>9</xdr:col>
      <xdr:colOff>1857375</xdr:colOff>
      <xdr:row>442</xdr:row>
      <xdr:rowOff>351064</xdr:rowOff>
    </xdr:to>
    <xdr:sp macro="" textlink="">
      <xdr:nvSpPr>
        <xdr:cNvPr id="50" name="テキスト 644">
          <a:extLst>
            <a:ext uri="{FF2B5EF4-FFF2-40B4-BE49-F238E27FC236}">
              <a16:creationId xmlns:a16="http://schemas.microsoft.com/office/drawing/2014/main" id="{F415CAD9-53DF-4B69-A638-1639D956A384}"/>
            </a:ext>
          </a:extLst>
        </xdr:cNvPr>
        <xdr:cNvSpPr txBox="1">
          <a:spLocks noChangeArrowheads="1"/>
        </xdr:cNvSpPr>
      </xdr:nvSpPr>
      <xdr:spPr>
        <a:xfrm>
          <a:off x="13577325525" y="6599464"/>
          <a:ext cx="300309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9</xdr:col>
      <xdr:colOff>906780</xdr:colOff>
      <xdr:row>442</xdr:row>
      <xdr:rowOff>351064</xdr:rowOff>
    </xdr:from>
    <xdr:to>
      <xdr:col>9</xdr:col>
      <xdr:colOff>2162175</xdr:colOff>
      <xdr:row>442</xdr:row>
      <xdr:rowOff>351064</xdr:rowOff>
    </xdr:to>
    <xdr:sp macro="" textlink="">
      <xdr:nvSpPr>
        <xdr:cNvPr id="51" name="テキスト 472">
          <a:extLst>
            <a:ext uri="{FF2B5EF4-FFF2-40B4-BE49-F238E27FC236}">
              <a16:creationId xmlns:a16="http://schemas.microsoft.com/office/drawing/2014/main" id="{22F04057-0C57-4795-9797-7E1D6AB6F16C}"/>
            </a:ext>
          </a:extLst>
        </xdr:cNvPr>
        <xdr:cNvSpPr txBox="1">
          <a:spLocks noChangeArrowheads="1"/>
        </xdr:cNvSpPr>
      </xdr:nvSpPr>
      <xdr:spPr>
        <a:xfrm>
          <a:off x="13577020725" y="659946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52" name="テキスト 472">
          <a:extLst>
            <a:ext uri="{FF2B5EF4-FFF2-40B4-BE49-F238E27FC236}">
              <a16:creationId xmlns:a16="http://schemas.microsoft.com/office/drawing/2014/main" id="{2EFA2972-CEF5-4084-9DBB-D819168ABA59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53" name="テキスト 642">
          <a:extLst>
            <a:ext uri="{FF2B5EF4-FFF2-40B4-BE49-F238E27FC236}">
              <a16:creationId xmlns:a16="http://schemas.microsoft.com/office/drawing/2014/main" id="{10034884-0499-40E0-BAEF-B7516473A326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54" name="テキスト 472">
          <a:extLst>
            <a:ext uri="{FF2B5EF4-FFF2-40B4-BE49-F238E27FC236}">
              <a16:creationId xmlns:a16="http://schemas.microsoft.com/office/drawing/2014/main" id="{5E16CD99-A603-4C66-BF68-C41F3EBA5BB6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8</xdr:col>
      <xdr:colOff>244928</xdr:colOff>
      <xdr:row>443</xdr:row>
      <xdr:rowOff>385732</xdr:rowOff>
    </xdr:from>
    <xdr:to>
      <xdr:col>9</xdr:col>
      <xdr:colOff>2163418</xdr:colOff>
      <xdr:row>443</xdr:row>
      <xdr:rowOff>385732</xdr:rowOff>
    </xdr:to>
    <xdr:sp macro="" textlink="">
      <xdr:nvSpPr>
        <xdr:cNvPr id="55" name="テキスト 644">
          <a:extLst>
            <a:ext uri="{FF2B5EF4-FFF2-40B4-BE49-F238E27FC236}">
              <a16:creationId xmlns:a16="http://schemas.microsoft.com/office/drawing/2014/main" id="{FD47236C-2866-4ED1-B4E5-A268BD1E01EF}"/>
            </a:ext>
          </a:extLst>
        </xdr:cNvPr>
        <xdr:cNvSpPr txBox="1">
          <a:spLocks noChangeArrowheads="1"/>
        </xdr:cNvSpPr>
      </xdr:nvSpPr>
      <xdr:spPr>
        <a:xfrm>
          <a:off x="13577019482" y="7034182"/>
          <a:ext cx="330914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9</xdr:col>
      <xdr:colOff>891871</xdr:colOff>
      <xdr:row>443</xdr:row>
      <xdr:rowOff>385732</xdr:rowOff>
    </xdr:from>
    <xdr:to>
      <xdr:col>10</xdr:col>
      <xdr:colOff>168611</xdr:colOff>
      <xdr:row>443</xdr:row>
      <xdr:rowOff>385732</xdr:rowOff>
    </xdr:to>
    <xdr:sp macro="" textlink="">
      <xdr:nvSpPr>
        <xdr:cNvPr id="56" name="テキスト 472">
          <a:extLst>
            <a:ext uri="{FF2B5EF4-FFF2-40B4-BE49-F238E27FC236}">
              <a16:creationId xmlns:a16="http://schemas.microsoft.com/office/drawing/2014/main" id="{6DB520A6-B2E9-4856-8736-D53281A0329C}"/>
            </a:ext>
          </a:extLst>
        </xdr:cNvPr>
        <xdr:cNvSpPr txBox="1">
          <a:spLocks noChangeArrowheads="1"/>
        </xdr:cNvSpPr>
      </xdr:nvSpPr>
      <xdr:spPr>
        <a:xfrm>
          <a:off x="13576709239" y="7034182"/>
          <a:ext cx="158179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57" name="テキスト 472">
          <a:extLst>
            <a:ext uri="{FF2B5EF4-FFF2-40B4-BE49-F238E27FC236}">
              <a16:creationId xmlns:a16="http://schemas.microsoft.com/office/drawing/2014/main" id="{3034E1AC-7021-4926-9BD0-C290CC937DFC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58" name="テキスト 642">
          <a:extLst>
            <a:ext uri="{FF2B5EF4-FFF2-40B4-BE49-F238E27FC236}">
              <a16:creationId xmlns:a16="http://schemas.microsoft.com/office/drawing/2014/main" id="{A4636ADA-1722-466B-8E34-9C3DD7B1CDBB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59" name="テキスト 472">
          <a:extLst>
            <a:ext uri="{FF2B5EF4-FFF2-40B4-BE49-F238E27FC236}">
              <a16:creationId xmlns:a16="http://schemas.microsoft.com/office/drawing/2014/main" id="{FEC9A77E-5ECF-45EB-B7D0-0D9B98127C89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8</xdr:col>
      <xdr:colOff>1164912</xdr:colOff>
      <xdr:row>443</xdr:row>
      <xdr:rowOff>6630</xdr:rowOff>
    </xdr:from>
    <xdr:to>
      <xdr:col>9</xdr:col>
      <xdr:colOff>739085</xdr:colOff>
      <xdr:row>443</xdr:row>
      <xdr:rowOff>340413</xdr:rowOff>
    </xdr:to>
    <xdr:sp macro="" textlink="">
      <xdr:nvSpPr>
        <xdr:cNvPr id="60" name="sec">
          <a:extLst>
            <a:ext uri="{FF2B5EF4-FFF2-40B4-BE49-F238E27FC236}">
              <a16:creationId xmlns:a16="http://schemas.microsoft.com/office/drawing/2014/main" id="{6782005B-8CF3-4FB5-A438-C21CCDBC3634}"/>
            </a:ext>
          </a:extLst>
        </xdr:cNvPr>
        <xdr:cNvSpPr txBox="1">
          <a:spLocks noChangeArrowheads="1"/>
        </xdr:cNvSpPr>
      </xdr:nvSpPr>
      <xdr:spPr bwMode="auto">
        <a:xfrm>
          <a:off x="13578443815" y="6655080"/>
          <a:ext cx="964823" cy="333783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ja-JP" altLang="en-US" sz="1000" b="0" i="0" u="sng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244928</xdr:colOff>
      <xdr:row>442</xdr:row>
      <xdr:rowOff>351064</xdr:rowOff>
    </xdr:from>
    <xdr:to>
      <xdr:col>9</xdr:col>
      <xdr:colOff>1857375</xdr:colOff>
      <xdr:row>442</xdr:row>
      <xdr:rowOff>351064</xdr:rowOff>
    </xdr:to>
    <xdr:sp macro="" textlink="">
      <xdr:nvSpPr>
        <xdr:cNvPr id="61" name="テキスト 644">
          <a:extLst>
            <a:ext uri="{FF2B5EF4-FFF2-40B4-BE49-F238E27FC236}">
              <a16:creationId xmlns:a16="http://schemas.microsoft.com/office/drawing/2014/main" id="{FE738DAC-FCEB-4611-8230-80FCE2846090}"/>
            </a:ext>
          </a:extLst>
        </xdr:cNvPr>
        <xdr:cNvSpPr txBox="1">
          <a:spLocks noChangeArrowheads="1"/>
        </xdr:cNvSpPr>
      </xdr:nvSpPr>
      <xdr:spPr>
        <a:xfrm>
          <a:off x="13577325525" y="6599464"/>
          <a:ext cx="300309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9</xdr:col>
      <xdr:colOff>906780</xdr:colOff>
      <xdr:row>442</xdr:row>
      <xdr:rowOff>351064</xdr:rowOff>
    </xdr:from>
    <xdr:to>
      <xdr:col>9</xdr:col>
      <xdr:colOff>2162175</xdr:colOff>
      <xdr:row>442</xdr:row>
      <xdr:rowOff>351064</xdr:rowOff>
    </xdr:to>
    <xdr:sp macro="" textlink="">
      <xdr:nvSpPr>
        <xdr:cNvPr id="62" name="テキスト 472">
          <a:extLst>
            <a:ext uri="{FF2B5EF4-FFF2-40B4-BE49-F238E27FC236}">
              <a16:creationId xmlns:a16="http://schemas.microsoft.com/office/drawing/2014/main" id="{7B77DB4B-CC84-423B-B129-46AA5B66D475}"/>
            </a:ext>
          </a:extLst>
        </xdr:cNvPr>
        <xdr:cNvSpPr txBox="1">
          <a:spLocks noChangeArrowheads="1"/>
        </xdr:cNvSpPr>
      </xdr:nvSpPr>
      <xdr:spPr>
        <a:xfrm>
          <a:off x="13577020725" y="659946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63" name="テキスト 472">
          <a:extLst>
            <a:ext uri="{FF2B5EF4-FFF2-40B4-BE49-F238E27FC236}">
              <a16:creationId xmlns:a16="http://schemas.microsoft.com/office/drawing/2014/main" id="{D271E1C1-48DD-4DB9-A6CE-4CEB06F21CC5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64" name="テキスト 642">
          <a:extLst>
            <a:ext uri="{FF2B5EF4-FFF2-40B4-BE49-F238E27FC236}">
              <a16:creationId xmlns:a16="http://schemas.microsoft.com/office/drawing/2014/main" id="{D0640FBF-AE20-4FAF-B2A7-D7536CBFDCDB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65" name="テキスト 472">
          <a:extLst>
            <a:ext uri="{FF2B5EF4-FFF2-40B4-BE49-F238E27FC236}">
              <a16:creationId xmlns:a16="http://schemas.microsoft.com/office/drawing/2014/main" id="{7313488E-5B3F-474A-866F-9484F915062C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8</xdr:col>
      <xdr:colOff>244928</xdr:colOff>
      <xdr:row>443</xdr:row>
      <xdr:rowOff>385732</xdr:rowOff>
    </xdr:from>
    <xdr:to>
      <xdr:col>9</xdr:col>
      <xdr:colOff>2163418</xdr:colOff>
      <xdr:row>443</xdr:row>
      <xdr:rowOff>385732</xdr:rowOff>
    </xdr:to>
    <xdr:sp macro="" textlink="">
      <xdr:nvSpPr>
        <xdr:cNvPr id="66" name="テキスト 644">
          <a:extLst>
            <a:ext uri="{FF2B5EF4-FFF2-40B4-BE49-F238E27FC236}">
              <a16:creationId xmlns:a16="http://schemas.microsoft.com/office/drawing/2014/main" id="{EF22E48A-87DB-415C-AB26-81A10FCC3950}"/>
            </a:ext>
          </a:extLst>
        </xdr:cNvPr>
        <xdr:cNvSpPr txBox="1">
          <a:spLocks noChangeArrowheads="1"/>
        </xdr:cNvSpPr>
      </xdr:nvSpPr>
      <xdr:spPr>
        <a:xfrm>
          <a:off x="13577019482" y="7034182"/>
          <a:ext cx="330914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9</xdr:col>
      <xdr:colOff>891871</xdr:colOff>
      <xdr:row>443</xdr:row>
      <xdr:rowOff>385732</xdr:rowOff>
    </xdr:from>
    <xdr:to>
      <xdr:col>10</xdr:col>
      <xdr:colOff>168611</xdr:colOff>
      <xdr:row>443</xdr:row>
      <xdr:rowOff>385732</xdr:rowOff>
    </xdr:to>
    <xdr:sp macro="" textlink="">
      <xdr:nvSpPr>
        <xdr:cNvPr id="67" name="テキスト 472">
          <a:extLst>
            <a:ext uri="{FF2B5EF4-FFF2-40B4-BE49-F238E27FC236}">
              <a16:creationId xmlns:a16="http://schemas.microsoft.com/office/drawing/2014/main" id="{B78A8922-EC2E-460B-80CE-D296D4BDCCC5}"/>
            </a:ext>
          </a:extLst>
        </xdr:cNvPr>
        <xdr:cNvSpPr txBox="1">
          <a:spLocks noChangeArrowheads="1"/>
        </xdr:cNvSpPr>
      </xdr:nvSpPr>
      <xdr:spPr>
        <a:xfrm>
          <a:off x="13576709239" y="7034182"/>
          <a:ext cx="158179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68" name="テキスト 472">
          <a:extLst>
            <a:ext uri="{FF2B5EF4-FFF2-40B4-BE49-F238E27FC236}">
              <a16:creationId xmlns:a16="http://schemas.microsoft.com/office/drawing/2014/main" id="{4EDC7D89-9F65-4902-A0C1-54AB6E27FB12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69" name="テキスト 642">
          <a:extLst>
            <a:ext uri="{FF2B5EF4-FFF2-40B4-BE49-F238E27FC236}">
              <a16:creationId xmlns:a16="http://schemas.microsoft.com/office/drawing/2014/main" id="{5B68A03C-8D84-4372-9587-250DBD86A21F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70" name="テキスト 472">
          <a:extLst>
            <a:ext uri="{FF2B5EF4-FFF2-40B4-BE49-F238E27FC236}">
              <a16:creationId xmlns:a16="http://schemas.microsoft.com/office/drawing/2014/main" id="{F5E70FD8-1FE5-4AFD-9CB0-1C6287228587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8</xdr:col>
      <xdr:colOff>671376</xdr:colOff>
      <xdr:row>439</xdr:row>
      <xdr:rowOff>201386</xdr:rowOff>
    </xdr:from>
    <xdr:to>
      <xdr:col>9</xdr:col>
      <xdr:colOff>214993</xdr:colOff>
      <xdr:row>439</xdr:row>
      <xdr:rowOff>201386</xdr:rowOff>
    </xdr:to>
    <xdr:sp macro="" textlink="">
      <xdr:nvSpPr>
        <xdr:cNvPr id="71" name="テキスト 472">
          <a:extLst>
            <a:ext uri="{FF2B5EF4-FFF2-40B4-BE49-F238E27FC236}">
              <a16:creationId xmlns:a16="http://schemas.microsoft.com/office/drawing/2014/main" id="{7A46D5AF-91FA-4F8E-95CC-AB57472BC862}"/>
            </a:ext>
          </a:extLst>
        </xdr:cNvPr>
        <xdr:cNvSpPr txBox="1">
          <a:spLocks noChangeArrowheads="1"/>
        </xdr:cNvSpPr>
      </xdr:nvSpPr>
      <xdr:spPr>
        <a:xfrm>
          <a:off x="13578967907" y="5249636"/>
          <a:ext cx="93426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72" name="テキスト 472">
          <a:extLst>
            <a:ext uri="{FF2B5EF4-FFF2-40B4-BE49-F238E27FC236}">
              <a16:creationId xmlns:a16="http://schemas.microsoft.com/office/drawing/2014/main" id="{838ABDCF-5FE9-44B8-84D6-0E602BF484D5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73" name="テキスト 642">
          <a:extLst>
            <a:ext uri="{FF2B5EF4-FFF2-40B4-BE49-F238E27FC236}">
              <a16:creationId xmlns:a16="http://schemas.microsoft.com/office/drawing/2014/main" id="{43F6166E-209E-4276-8510-7118C894FB06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74" name="テキスト 472">
          <a:extLst>
            <a:ext uri="{FF2B5EF4-FFF2-40B4-BE49-F238E27FC236}">
              <a16:creationId xmlns:a16="http://schemas.microsoft.com/office/drawing/2014/main" id="{E0DF7AB9-4EF1-4886-95BD-83A0ADDE3748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9</xdr:col>
      <xdr:colOff>906780</xdr:colOff>
      <xdr:row>442</xdr:row>
      <xdr:rowOff>351064</xdr:rowOff>
    </xdr:from>
    <xdr:to>
      <xdr:col>9</xdr:col>
      <xdr:colOff>2162175</xdr:colOff>
      <xdr:row>442</xdr:row>
      <xdr:rowOff>351064</xdr:rowOff>
    </xdr:to>
    <xdr:sp macro="" textlink="">
      <xdr:nvSpPr>
        <xdr:cNvPr id="75" name="テキスト 472">
          <a:extLst>
            <a:ext uri="{FF2B5EF4-FFF2-40B4-BE49-F238E27FC236}">
              <a16:creationId xmlns:a16="http://schemas.microsoft.com/office/drawing/2014/main" id="{B66DD874-B0E5-48F5-B248-4DA4C66A5A0C}"/>
            </a:ext>
          </a:extLst>
        </xdr:cNvPr>
        <xdr:cNvSpPr txBox="1">
          <a:spLocks noChangeArrowheads="1"/>
        </xdr:cNvSpPr>
      </xdr:nvSpPr>
      <xdr:spPr>
        <a:xfrm>
          <a:off x="13577020725" y="659946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76" name="テキスト 472">
          <a:extLst>
            <a:ext uri="{FF2B5EF4-FFF2-40B4-BE49-F238E27FC236}">
              <a16:creationId xmlns:a16="http://schemas.microsoft.com/office/drawing/2014/main" id="{F9B35C8E-1A1E-4529-A135-78853EAD65BC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77" name="テキスト 642">
          <a:extLst>
            <a:ext uri="{FF2B5EF4-FFF2-40B4-BE49-F238E27FC236}">
              <a16:creationId xmlns:a16="http://schemas.microsoft.com/office/drawing/2014/main" id="{4B6FE19C-D656-41C0-B667-A6FD0C169FA7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78" name="テキスト 472">
          <a:extLst>
            <a:ext uri="{FF2B5EF4-FFF2-40B4-BE49-F238E27FC236}">
              <a16:creationId xmlns:a16="http://schemas.microsoft.com/office/drawing/2014/main" id="{21B49BE9-50B9-48F6-B6A4-DF2A133D32B6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9</xdr:col>
      <xdr:colOff>891871</xdr:colOff>
      <xdr:row>443</xdr:row>
      <xdr:rowOff>385732</xdr:rowOff>
    </xdr:from>
    <xdr:to>
      <xdr:col>10</xdr:col>
      <xdr:colOff>168611</xdr:colOff>
      <xdr:row>443</xdr:row>
      <xdr:rowOff>385732</xdr:rowOff>
    </xdr:to>
    <xdr:sp macro="" textlink="">
      <xdr:nvSpPr>
        <xdr:cNvPr id="79" name="テキスト 472">
          <a:extLst>
            <a:ext uri="{FF2B5EF4-FFF2-40B4-BE49-F238E27FC236}">
              <a16:creationId xmlns:a16="http://schemas.microsoft.com/office/drawing/2014/main" id="{2288C91E-1588-43A0-8505-CCDBACD224A8}"/>
            </a:ext>
          </a:extLst>
        </xdr:cNvPr>
        <xdr:cNvSpPr txBox="1">
          <a:spLocks noChangeArrowheads="1"/>
        </xdr:cNvSpPr>
      </xdr:nvSpPr>
      <xdr:spPr>
        <a:xfrm>
          <a:off x="13576709239" y="7034182"/>
          <a:ext cx="158179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80" name="テキスト 472">
          <a:extLst>
            <a:ext uri="{FF2B5EF4-FFF2-40B4-BE49-F238E27FC236}">
              <a16:creationId xmlns:a16="http://schemas.microsoft.com/office/drawing/2014/main" id="{CDF83C01-A7F6-4595-96F3-021E5ED06971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81" name="テキスト 642">
          <a:extLst>
            <a:ext uri="{FF2B5EF4-FFF2-40B4-BE49-F238E27FC236}">
              <a16:creationId xmlns:a16="http://schemas.microsoft.com/office/drawing/2014/main" id="{3B8F0800-849F-470C-8825-FB08ECE63813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82" name="テキスト 472">
          <a:extLst>
            <a:ext uri="{FF2B5EF4-FFF2-40B4-BE49-F238E27FC236}">
              <a16:creationId xmlns:a16="http://schemas.microsoft.com/office/drawing/2014/main" id="{6A640C48-D25A-4C66-B254-75C5226B0C43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8</xdr:col>
      <xdr:colOff>671376</xdr:colOff>
      <xdr:row>439</xdr:row>
      <xdr:rowOff>201386</xdr:rowOff>
    </xdr:from>
    <xdr:to>
      <xdr:col>9</xdr:col>
      <xdr:colOff>214993</xdr:colOff>
      <xdr:row>439</xdr:row>
      <xdr:rowOff>201386</xdr:rowOff>
    </xdr:to>
    <xdr:sp macro="" textlink="">
      <xdr:nvSpPr>
        <xdr:cNvPr id="83" name="テキスト 472">
          <a:extLst>
            <a:ext uri="{FF2B5EF4-FFF2-40B4-BE49-F238E27FC236}">
              <a16:creationId xmlns:a16="http://schemas.microsoft.com/office/drawing/2014/main" id="{8239F1AE-70D9-4062-9C27-5DA3BFB73768}"/>
            </a:ext>
          </a:extLst>
        </xdr:cNvPr>
        <xdr:cNvSpPr txBox="1">
          <a:spLocks noChangeArrowheads="1"/>
        </xdr:cNvSpPr>
      </xdr:nvSpPr>
      <xdr:spPr>
        <a:xfrm>
          <a:off x="13578967907" y="5249636"/>
          <a:ext cx="93426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84" name="テキスト 472">
          <a:extLst>
            <a:ext uri="{FF2B5EF4-FFF2-40B4-BE49-F238E27FC236}">
              <a16:creationId xmlns:a16="http://schemas.microsoft.com/office/drawing/2014/main" id="{ADF02D84-2344-4F28-80B7-0989BDC2E58A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85" name="テキスト 642">
          <a:extLst>
            <a:ext uri="{FF2B5EF4-FFF2-40B4-BE49-F238E27FC236}">
              <a16:creationId xmlns:a16="http://schemas.microsoft.com/office/drawing/2014/main" id="{FD92CFB1-641F-4B98-ADD0-0AEB951AA626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86" name="テキスト 472">
          <a:extLst>
            <a:ext uri="{FF2B5EF4-FFF2-40B4-BE49-F238E27FC236}">
              <a16:creationId xmlns:a16="http://schemas.microsoft.com/office/drawing/2014/main" id="{6BED8BB4-2F23-4580-B36C-26B870D208C9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8</xdr:col>
      <xdr:colOff>244928</xdr:colOff>
      <xdr:row>442</xdr:row>
      <xdr:rowOff>351064</xdr:rowOff>
    </xdr:from>
    <xdr:to>
      <xdr:col>9</xdr:col>
      <xdr:colOff>1857375</xdr:colOff>
      <xdr:row>442</xdr:row>
      <xdr:rowOff>351064</xdr:rowOff>
    </xdr:to>
    <xdr:sp macro="" textlink="">
      <xdr:nvSpPr>
        <xdr:cNvPr id="87" name="テキスト 644">
          <a:extLst>
            <a:ext uri="{FF2B5EF4-FFF2-40B4-BE49-F238E27FC236}">
              <a16:creationId xmlns:a16="http://schemas.microsoft.com/office/drawing/2014/main" id="{24DB8D56-F196-4E4F-A34C-0B052E23B8EB}"/>
            </a:ext>
          </a:extLst>
        </xdr:cNvPr>
        <xdr:cNvSpPr txBox="1">
          <a:spLocks noChangeArrowheads="1"/>
        </xdr:cNvSpPr>
      </xdr:nvSpPr>
      <xdr:spPr>
        <a:xfrm>
          <a:off x="13577325525" y="6599464"/>
          <a:ext cx="300309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9</xdr:col>
      <xdr:colOff>906780</xdr:colOff>
      <xdr:row>442</xdr:row>
      <xdr:rowOff>351064</xdr:rowOff>
    </xdr:from>
    <xdr:to>
      <xdr:col>9</xdr:col>
      <xdr:colOff>2162175</xdr:colOff>
      <xdr:row>442</xdr:row>
      <xdr:rowOff>351064</xdr:rowOff>
    </xdr:to>
    <xdr:sp macro="" textlink="">
      <xdr:nvSpPr>
        <xdr:cNvPr id="88" name="テキスト 472">
          <a:extLst>
            <a:ext uri="{FF2B5EF4-FFF2-40B4-BE49-F238E27FC236}">
              <a16:creationId xmlns:a16="http://schemas.microsoft.com/office/drawing/2014/main" id="{D4487AA7-9BD6-4EF9-99B9-8B387F3D638C}"/>
            </a:ext>
          </a:extLst>
        </xdr:cNvPr>
        <xdr:cNvSpPr txBox="1">
          <a:spLocks noChangeArrowheads="1"/>
        </xdr:cNvSpPr>
      </xdr:nvSpPr>
      <xdr:spPr>
        <a:xfrm>
          <a:off x="13577020725" y="659946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89" name="テキスト 472">
          <a:extLst>
            <a:ext uri="{FF2B5EF4-FFF2-40B4-BE49-F238E27FC236}">
              <a16:creationId xmlns:a16="http://schemas.microsoft.com/office/drawing/2014/main" id="{BECCB251-5575-47ED-BC2F-E48AE83E56D4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90" name="テキスト 642">
          <a:extLst>
            <a:ext uri="{FF2B5EF4-FFF2-40B4-BE49-F238E27FC236}">
              <a16:creationId xmlns:a16="http://schemas.microsoft.com/office/drawing/2014/main" id="{B297CE28-A07D-47BB-B065-F65F34C5C99A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91" name="テキスト 472">
          <a:extLst>
            <a:ext uri="{FF2B5EF4-FFF2-40B4-BE49-F238E27FC236}">
              <a16:creationId xmlns:a16="http://schemas.microsoft.com/office/drawing/2014/main" id="{EC4E87DB-4702-41D5-ACA0-4D96B2414747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8</xdr:col>
      <xdr:colOff>244928</xdr:colOff>
      <xdr:row>443</xdr:row>
      <xdr:rowOff>385732</xdr:rowOff>
    </xdr:from>
    <xdr:to>
      <xdr:col>9</xdr:col>
      <xdr:colOff>2163418</xdr:colOff>
      <xdr:row>443</xdr:row>
      <xdr:rowOff>385732</xdr:rowOff>
    </xdr:to>
    <xdr:sp macro="" textlink="">
      <xdr:nvSpPr>
        <xdr:cNvPr id="92" name="テキスト 644">
          <a:extLst>
            <a:ext uri="{FF2B5EF4-FFF2-40B4-BE49-F238E27FC236}">
              <a16:creationId xmlns:a16="http://schemas.microsoft.com/office/drawing/2014/main" id="{697A60A5-4255-41B4-B986-5D88C4D7F47F}"/>
            </a:ext>
          </a:extLst>
        </xdr:cNvPr>
        <xdr:cNvSpPr txBox="1">
          <a:spLocks noChangeArrowheads="1"/>
        </xdr:cNvSpPr>
      </xdr:nvSpPr>
      <xdr:spPr>
        <a:xfrm>
          <a:off x="13577019482" y="7034182"/>
          <a:ext cx="330914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9</xdr:col>
      <xdr:colOff>891871</xdr:colOff>
      <xdr:row>443</xdr:row>
      <xdr:rowOff>385732</xdr:rowOff>
    </xdr:from>
    <xdr:to>
      <xdr:col>10</xdr:col>
      <xdr:colOff>168611</xdr:colOff>
      <xdr:row>443</xdr:row>
      <xdr:rowOff>385732</xdr:rowOff>
    </xdr:to>
    <xdr:sp macro="" textlink="">
      <xdr:nvSpPr>
        <xdr:cNvPr id="93" name="テキスト 472">
          <a:extLst>
            <a:ext uri="{FF2B5EF4-FFF2-40B4-BE49-F238E27FC236}">
              <a16:creationId xmlns:a16="http://schemas.microsoft.com/office/drawing/2014/main" id="{BA47D7F8-84C9-4EA6-9AAE-9CC9C33B95D4}"/>
            </a:ext>
          </a:extLst>
        </xdr:cNvPr>
        <xdr:cNvSpPr txBox="1">
          <a:spLocks noChangeArrowheads="1"/>
        </xdr:cNvSpPr>
      </xdr:nvSpPr>
      <xdr:spPr>
        <a:xfrm>
          <a:off x="13576709239" y="7034182"/>
          <a:ext cx="158179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94" name="テキスト 472">
          <a:extLst>
            <a:ext uri="{FF2B5EF4-FFF2-40B4-BE49-F238E27FC236}">
              <a16:creationId xmlns:a16="http://schemas.microsoft.com/office/drawing/2014/main" id="{A8D078B3-9D67-41CD-9B85-3BF7361A5149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95" name="テキスト 642">
          <a:extLst>
            <a:ext uri="{FF2B5EF4-FFF2-40B4-BE49-F238E27FC236}">
              <a16:creationId xmlns:a16="http://schemas.microsoft.com/office/drawing/2014/main" id="{C6125B11-0175-4AD8-A857-7B511F6BBE63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96" name="テキスト 472">
          <a:extLst>
            <a:ext uri="{FF2B5EF4-FFF2-40B4-BE49-F238E27FC236}">
              <a16:creationId xmlns:a16="http://schemas.microsoft.com/office/drawing/2014/main" id="{38E858DC-E4E8-4DBB-9390-A01652796695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8</xdr:col>
      <xdr:colOff>671376</xdr:colOff>
      <xdr:row>439</xdr:row>
      <xdr:rowOff>201386</xdr:rowOff>
    </xdr:from>
    <xdr:to>
      <xdr:col>9</xdr:col>
      <xdr:colOff>214993</xdr:colOff>
      <xdr:row>439</xdr:row>
      <xdr:rowOff>201386</xdr:rowOff>
    </xdr:to>
    <xdr:sp macro="" textlink="">
      <xdr:nvSpPr>
        <xdr:cNvPr id="97" name="テキスト 472">
          <a:extLst>
            <a:ext uri="{FF2B5EF4-FFF2-40B4-BE49-F238E27FC236}">
              <a16:creationId xmlns:a16="http://schemas.microsoft.com/office/drawing/2014/main" id="{F1218A5A-5577-4095-ADB9-134064035B7F}"/>
            </a:ext>
          </a:extLst>
        </xdr:cNvPr>
        <xdr:cNvSpPr txBox="1">
          <a:spLocks noChangeArrowheads="1"/>
        </xdr:cNvSpPr>
      </xdr:nvSpPr>
      <xdr:spPr>
        <a:xfrm>
          <a:off x="13578967907" y="5249636"/>
          <a:ext cx="93426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98" name="テキスト 472">
          <a:extLst>
            <a:ext uri="{FF2B5EF4-FFF2-40B4-BE49-F238E27FC236}">
              <a16:creationId xmlns:a16="http://schemas.microsoft.com/office/drawing/2014/main" id="{AACAC1FE-F8C9-40C7-B370-3DDE40A777F6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99" name="テキスト 642">
          <a:extLst>
            <a:ext uri="{FF2B5EF4-FFF2-40B4-BE49-F238E27FC236}">
              <a16:creationId xmlns:a16="http://schemas.microsoft.com/office/drawing/2014/main" id="{D2D632C5-42A4-4FC7-8881-BD8F46199A89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100" name="テキスト 472">
          <a:extLst>
            <a:ext uri="{FF2B5EF4-FFF2-40B4-BE49-F238E27FC236}">
              <a16:creationId xmlns:a16="http://schemas.microsoft.com/office/drawing/2014/main" id="{C6E7E435-8260-42DA-9A03-B4D91335996F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9</xdr:col>
      <xdr:colOff>906780</xdr:colOff>
      <xdr:row>442</xdr:row>
      <xdr:rowOff>351064</xdr:rowOff>
    </xdr:from>
    <xdr:to>
      <xdr:col>9</xdr:col>
      <xdr:colOff>2162175</xdr:colOff>
      <xdr:row>442</xdr:row>
      <xdr:rowOff>351064</xdr:rowOff>
    </xdr:to>
    <xdr:sp macro="" textlink="">
      <xdr:nvSpPr>
        <xdr:cNvPr id="101" name="テキスト 472">
          <a:extLst>
            <a:ext uri="{FF2B5EF4-FFF2-40B4-BE49-F238E27FC236}">
              <a16:creationId xmlns:a16="http://schemas.microsoft.com/office/drawing/2014/main" id="{EE3949D0-48A3-4C25-A81A-CDA33587FB73}"/>
            </a:ext>
          </a:extLst>
        </xdr:cNvPr>
        <xdr:cNvSpPr txBox="1">
          <a:spLocks noChangeArrowheads="1"/>
        </xdr:cNvSpPr>
      </xdr:nvSpPr>
      <xdr:spPr>
        <a:xfrm>
          <a:off x="13577020725" y="659946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102" name="テキスト 472">
          <a:extLst>
            <a:ext uri="{FF2B5EF4-FFF2-40B4-BE49-F238E27FC236}">
              <a16:creationId xmlns:a16="http://schemas.microsoft.com/office/drawing/2014/main" id="{40E06CF2-8AA3-483B-8F9D-34A4859079B3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103" name="テキスト 642">
          <a:extLst>
            <a:ext uri="{FF2B5EF4-FFF2-40B4-BE49-F238E27FC236}">
              <a16:creationId xmlns:a16="http://schemas.microsoft.com/office/drawing/2014/main" id="{A49F6B95-9FDA-4DC6-BCD9-D14779C03E47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104" name="テキスト 472">
          <a:extLst>
            <a:ext uri="{FF2B5EF4-FFF2-40B4-BE49-F238E27FC236}">
              <a16:creationId xmlns:a16="http://schemas.microsoft.com/office/drawing/2014/main" id="{3218B70C-F181-423A-BE2D-351C704A22F7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9</xdr:col>
      <xdr:colOff>891871</xdr:colOff>
      <xdr:row>443</xdr:row>
      <xdr:rowOff>385732</xdr:rowOff>
    </xdr:from>
    <xdr:to>
      <xdr:col>10</xdr:col>
      <xdr:colOff>168611</xdr:colOff>
      <xdr:row>443</xdr:row>
      <xdr:rowOff>385732</xdr:rowOff>
    </xdr:to>
    <xdr:sp macro="" textlink="">
      <xdr:nvSpPr>
        <xdr:cNvPr id="105" name="テキスト 472">
          <a:extLst>
            <a:ext uri="{FF2B5EF4-FFF2-40B4-BE49-F238E27FC236}">
              <a16:creationId xmlns:a16="http://schemas.microsoft.com/office/drawing/2014/main" id="{19378FC7-DC63-4A6B-B11D-0439899E4990}"/>
            </a:ext>
          </a:extLst>
        </xdr:cNvPr>
        <xdr:cNvSpPr txBox="1">
          <a:spLocks noChangeArrowheads="1"/>
        </xdr:cNvSpPr>
      </xdr:nvSpPr>
      <xdr:spPr>
        <a:xfrm>
          <a:off x="13576709239" y="7034182"/>
          <a:ext cx="158179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106" name="テキスト 472">
          <a:extLst>
            <a:ext uri="{FF2B5EF4-FFF2-40B4-BE49-F238E27FC236}">
              <a16:creationId xmlns:a16="http://schemas.microsoft.com/office/drawing/2014/main" id="{06923DF8-AB32-4C19-B840-EFDCB0C2220B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107" name="テキスト 642">
          <a:extLst>
            <a:ext uri="{FF2B5EF4-FFF2-40B4-BE49-F238E27FC236}">
              <a16:creationId xmlns:a16="http://schemas.microsoft.com/office/drawing/2014/main" id="{7FED13A8-8787-4F36-BCEF-95BD9E603FCD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108" name="テキスト 472">
          <a:extLst>
            <a:ext uri="{FF2B5EF4-FFF2-40B4-BE49-F238E27FC236}">
              <a16:creationId xmlns:a16="http://schemas.microsoft.com/office/drawing/2014/main" id="{15C86272-20F9-4BD3-9899-8F99439D64DE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8</xdr:col>
      <xdr:colOff>671376</xdr:colOff>
      <xdr:row>439</xdr:row>
      <xdr:rowOff>201386</xdr:rowOff>
    </xdr:from>
    <xdr:to>
      <xdr:col>9</xdr:col>
      <xdr:colOff>214993</xdr:colOff>
      <xdr:row>439</xdr:row>
      <xdr:rowOff>201386</xdr:rowOff>
    </xdr:to>
    <xdr:sp macro="" textlink="">
      <xdr:nvSpPr>
        <xdr:cNvPr id="109" name="テキスト 472">
          <a:extLst>
            <a:ext uri="{FF2B5EF4-FFF2-40B4-BE49-F238E27FC236}">
              <a16:creationId xmlns:a16="http://schemas.microsoft.com/office/drawing/2014/main" id="{F2B2B859-7EC0-464F-90DC-B274BF2188AB}"/>
            </a:ext>
          </a:extLst>
        </xdr:cNvPr>
        <xdr:cNvSpPr txBox="1">
          <a:spLocks noChangeArrowheads="1"/>
        </xdr:cNvSpPr>
      </xdr:nvSpPr>
      <xdr:spPr>
        <a:xfrm>
          <a:off x="13578967907" y="5249636"/>
          <a:ext cx="93426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110" name="テキスト 472">
          <a:extLst>
            <a:ext uri="{FF2B5EF4-FFF2-40B4-BE49-F238E27FC236}">
              <a16:creationId xmlns:a16="http://schemas.microsoft.com/office/drawing/2014/main" id="{76F751EA-9421-4195-AF77-61AC994CC630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111" name="テキスト 642">
          <a:extLst>
            <a:ext uri="{FF2B5EF4-FFF2-40B4-BE49-F238E27FC236}">
              <a16:creationId xmlns:a16="http://schemas.microsoft.com/office/drawing/2014/main" id="{47442CD2-10C6-45B7-BF9C-6812E3FAE56D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112" name="テキスト 472">
          <a:extLst>
            <a:ext uri="{FF2B5EF4-FFF2-40B4-BE49-F238E27FC236}">
              <a16:creationId xmlns:a16="http://schemas.microsoft.com/office/drawing/2014/main" id="{45755C53-0830-42DD-8E2D-12E162E39C2C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9</xdr:col>
      <xdr:colOff>906780</xdr:colOff>
      <xdr:row>442</xdr:row>
      <xdr:rowOff>351064</xdr:rowOff>
    </xdr:from>
    <xdr:to>
      <xdr:col>9</xdr:col>
      <xdr:colOff>2162175</xdr:colOff>
      <xdr:row>442</xdr:row>
      <xdr:rowOff>351064</xdr:rowOff>
    </xdr:to>
    <xdr:sp macro="" textlink="">
      <xdr:nvSpPr>
        <xdr:cNvPr id="113" name="テキスト 472">
          <a:extLst>
            <a:ext uri="{FF2B5EF4-FFF2-40B4-BE49-F238E27FC236}">
              <a16:creationId xmlns:a16="http://schemas.microsoft.com/office/drawing/2014/main" id="{2F6341E9-124B-4530-96CC-74CC3E943516}"/>
            </a:ext>
          </a:extLst>
        </xdr:cNvPr>
        <xdr:cNvSpPr txBox="1">
          <a:spLocks noChangeArrowheads="1"/>
        </xdr:cNvSpPr>
      </xdr:nvSpPr>
      <xdr:spPr>
        <a:xfrm>
          <a:off x="13577020725" y="659946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114" name="テキスト 472">
          <a:extLst>
            <a:ext uri="{FF2B5EF4-FFF2-40B4-BE49-F238E27FC236}">
              <a16:creationId xmlns:a16="http://schemas.microsoft.com/office/drawing/2014/main" id="{A3FFD014-D4F8-4185-AF5D-D441E5858BF6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115" name="テキスト 642">
          <a:extLst>
            <a:ext uri="{FF2B5EF4-FFF2-40B4-BE49-F238E27FC236}">
              <a16:creationId xmlns:a16="http://schemas.microsoft.com/office/drawing/2014/main" id="{E28482F5-559F-4C1F-8E17-C63A4EE1D544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116" name="テキスト 472">
          <a:extLst>
            <a:ext uri="{FF2B5EF4-FFF2-40B4-BE49-F238E27FC236}">
              <a16:creationId xmlns:a16="http://schemas.microsoft.com/office/drawing/2014/main" id="{532FC86C-6A5F-4E36-B597-BF223E9FC7BA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9</xdr:col>
      <xdr:colOff>891871</xdr:colOff>
      <xdr:row>443</xdr:row>
      <xdr:rowOff>385732</xdr:rowOff>
    </xdr:from>
    <xdr:to>
      <xdr:col>10</xdr:col>
      <xdr:colOff>168611</xdr:colOff>
      <xdr:row>443</xdr:row>
      <xdr:rowOff>385732</xdr:rowOff>
    </xdr:to>
    <xdr:sp macro="" textlink="">
      <xdr:nvSpPr>
        <xdr:cNvPr id="117" name="テキスト 472">
          <a:extLst>
            <a:ext uri="{FF2B5EF4-FFF2-40B4-BE49-F238E27FC236}">
              <a16:creationId xmlns:a16="http://schemas.microsoft.com/office/drawing/2014/main" id="{4D023DD3-3AA5-4ABF-86DE-244CC14C4477}"/>
            </a:ext>
          </a:extLst>
        </xdr:cNvPr>
        <xdr:cNvSpPr txBox="1">
          <a:spLocks noChangeArrowheads="1"/>
        </xdr:cNvSpPr>
      </xdr:nvSpPr>
      <xdr:spPr>
        <a:xfrm>
          <a:off x="13576709239" y="7034182"/>
          <a:ext cx="158179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118" name="テキスト 472">
          <a:extLst>
            <a:ext uri="{FF2B5EF4-FFF2-40B4-BE49-F238E27FC236}">
              <a16:creationId xmlns:a16="http://schemas.microsoft.com/office/drawing/2014/main" id="{97F643EA-A656-48F1-B443-3C22DEF355D1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119" name="テキスト 642">
          <a:extLst>
            <a:ext uri="{FF2B5EF4-FFF2-40B4-BE49-F238E27FC236}">
              <a16:creationId xmlns:a16="http://schemas.microsoft.com/office/drawing/2014/main" id="{00127026-9EF6-47F6-B7C3-26820CE57959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120" name="テキスト 472">
          <a:extLst>
            <a:ext uri="{FF2B5EF4-FFF2-40B4-BE49-F238E27FC236}">
              <a16:creationId xmlns:a16="http://schemas.microsoft.com/office/drawing/2014/main" id="{7A688781-AA63-4545-B266-B628206055FB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8</xdr:col>
      <xdr:colOff>671376</xdr:colOff>
      <xdr:row>439</xdr:row>
      <xdr:rowOff>201386</xdr:rowOff>
    </xdr:from>
    <xdr:to>
      <xdr:col>9</xdr:col>
      <xdr:colOff>214993</xdr:colOff>
      <xdr:row>439</xdr:row>
      <xdr:rowOff>201386</xdr:rowOff>
    </xdr:to>
    <xdr:sp macro="" textlink="">
      <xdr:nvSpPr>
        <xdr:cNvPr id="121" name="テキスト 472">
          <a:extLst>
            <a:ext uri="{FF2B5EF4-FFF2-40B4-BE49-F238E27FC236}">
              <a16:creationId xmlns:a16="http://schemas.microsoft.com/office/drawing/2014/main" id="{F44A53BF-1A2D-453F-9DB0-835822103A62}"/>
            </a:ext>
          </a:extLst>
        </xdr:cNvPr>
        <xdr:cNvSpPr txBox="1">
          <a:spLocks noChangeArrowheads="1"/>
        </xdr:cNvSpPr>
      </xdr:nvSpPr>
      <xdr:spPr>
        <a:xfrm>
          <a:off x="13578967907" y="5249636"/>
          <a:ext cx="93426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122" name="テキスト 472">
          <a:extLst>
            <a:ext uri="{FF2B5EF4-FFF2-40B4-BE49-F238E27FC236}">
              <a16:creationId xmlns:a16="http://schemas.microsoft.com/office/drawing/2014/main" id="{D4447E49-B6A7-4796-9756-7F045C657293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123" name="テキスト 642">
          <a:extLst>
            <a:ext uri="{FF2B5EF4-FFF2-40B4-BE49-F238E27FC236}">
              <a16:creationId xmlns:a16="http://schemas.microsoft.com/office/drawing/2014/main" id="{3E60244D-8E34-4DCA-858A-959E5C80B9F7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124" name="テキスト 472">
          <a:extLst>
            <a:ext uri="{FF2B5EF4-FFF2-40B4-BE49-F238E27FC236}">
              <a16:creationId xmlns:a16="http://schemas.microsoft.com/office/drawing/2014/main" id="{AF7AFDAA-EADE-40FA-AAC9-A00F11DAA012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9</xdr:col>
      <xdr:colOff>906780</xdr:colOff>
      <xdr:row>442</xdr:row>
      <xdr:rowOff>351064</xdr:rowOff>
    </xdr:from>
    <xdr:to>
      <xdr:col>9</xdr:col>
      <xdr:colOff>2162175</xdr:colOff>
      <xdr:row>442</xdr:row>
      <xdr:rowOff>351064</xdr:rowOff>
    </xdr:to>
    <xdr:sp macro="" textlink="">
      <xdr:nvSpPr>
        <xdr:cNvPr id="125" name="テキスト 472">
          <a:extLst>
            <a:ext uri="{FF2B5EF4-FFF2-40B4-BE49-F238E27FC236}">
              <a16:creationId xmlns:a16="http://schemas.microsoft.com/office/drawing/2014/main" id="{D4DF96FE-D3DD-465C-8042-363F6CB11CA0}"/>
            </a:ext>
          </a:extLst>
        </xdr:cNvPr>
        <xdr:cNvSpPr txBox="1">
          <a:spLocks noChangeArrowheads="1"/>
        </xdr:cNvSpPr>
      </xdr:nvSpPr>
      <xdr:spPr>
        <a:xfrm>
          <a:off x="13577020725" y="659946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126" name="テキスト 472">
          <a:extLst>
            <a:ext uri="{FF2B5EF4-FFF2-40B4-BE49-F238E27FC236}">
              <a16:creationId xmlns:a16="http://schemas.microsoft.com/office/drawing/2014/main" id="{6BF2DBB4-D475-42DF-A1B5-D1E7D7503A74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127" name="テキスト 642">
          <a:extLst>
            <a:ext uri="{FF2B5EF4-FFF2-40B4-BE49-F238E27FC236}">
              <a16:creationId xmlns:a16="http://schemas.microsoft.com/office/drawing/2014/main" id="{1882B961-7621-4893-A5B3-4BC49AFAE3F0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128" name="テキスト 472">
          <a:extLst>
            <a:ext uri="{FF2B5EF4-FFF2-40B4-BE49-F238E27FC236}">
              <a16:creationId xmlns:a16="http://schemas.microsoft.com/office/drawing/2014/main" id="{5BF6D946-3EF9-4FCF-A5C8-E508C02D8A7A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9</xdr:col>
      <xdr:colOff>891871</xdr:colOff>
      <xdr:row>443</xdr:row>
      <xdr:rowOff>385732</xdr:rowOff>
    </xdr:from>
    <xdr:to>
      <xdr:col>10</xdr:col>
      <xdr:colOff>168611</xdr:colOff>
      <xdr:row>443</xdr:row>
      <xdr:rowOff>385732</xdr:rowOff>
    </xdr:to>
    <xdr:sp macro="" textlink="">
      <xdr:nvSpPr>
        <xdr:cNvPr id="129" name="テキスト 472">
          <a:extLst>
            <a:ext uri="{FF2B5EF4-FFF2-40B4-BE49-F238E27FC236}">
              <a16:creationId xmlns:a16="http://schemas.microsoft.com/office/drawing/2014/main" id="{C50575C2-DCF7-4183-8BFB-C0FF7008F1BC}"/>
            </a:ext>
          </a:extLst>
        </xdr:cNvPr>
        <xdr:cNvSpPr txBox="1">
          <a:spLocks noChangeArrowheads="1"/>
        </xdr:cNvSpPr>
      </xdr:nvSpPr>
      <xdr:spPr>
        <a:xfrm>
          <a:off x="13576709239" y="7034182"/>
          <a:ext cx="158179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130" name="テキスト 472">
          <a:extLst>
            <a:ext uri="{FF2B5EF4-FFF2-40B4-BE49-F238E27FC236}">
              <a16:creationId xmlns:a16="http://schemas.microsoft.com/office/drawing/2014/main" id="{1380742D-F8B1-43C8-A6A8-6D23D6C3AC59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131" name="テキスト 642">
          <a:extLst>
            <a:ext uri="{FF2B5EF4-FFF2-40B4-BE49-F238E27FC236}">
              <a16:creationId xmlns:a16="http://schemas.microsoft.com/office/drawing/2014/main" id="{9668DCF1-8CCD-4F45-947D-4C9A3474B10D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132" name="テキスト 472">
          <a:extLst>
            <a:ext uri="{FF2B5EF4-FFF2-40B4-BE49-F238E27FC236}">
              <a16:creationId xmlns:a16="http://schemas.microsoft.com/office/drawing/2014/main" id="{BB8DE93D-4817-4CE7-987B-992E1C321A56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8</xdr:col>
      <xdr:colOff>671376</xdr:colOff>
      <xdr:row>439</xdr:row>
      <xdr:rowOff>201386</xdr:rowOff>
    </xdr:from>
    <xdr:to>
      <xdr:col>9</xdr:col>
      <xdr:colOff>214993</xdr:colOff>
      <xdr:row>439</xdr:row>
      <xdr:rowOff>201386</xdr:rowOff>
    </xdr:to>
    <xdr:sp macro="" textlink="">
      <xdr:nvSpPr>
        <xdr:cNvPr id="133" name="テキスト 472">
          <a:extLst>
            <a:ext uri="{FF2B5EF4-FFF2-40B4-BE49-F238E27FC236}">
              <a16:creationId xmlns:a16="http://schemas.microsoft.com/office/drawing/2014/main" id="{C2A740C5-956D-447C-A11C-734C3F1D56A0}"/>
            </a:ext>
          </a:extLst>
        </xdr:cNvPr>
        <xdr:cNvSpPr txBox="1">
          <a:spLocks noChangeArrowheads="1"/>
        </xdr:cNvSpPr>
      </xdr:nvSpPr>
      <xdr:spPr>
        <a:xfrm>
          <a:off x="13578967907" y="5249636"/>
          <a:ext cx="93426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134" name="テキスト 472">
          <a:extLst>
            <a:ext uri="{FF2B5EF4-FFF2-40B4-BE49-F238E27FC236}">
              <a16:creationId xmlns:a16="http://schemas.microsoft.com/office/drawing/2014/main" id="{13745D8A-16F8-43FC-B5BB-1792A6CB79BB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135" name="テキスト 642">
          <a:extLst>
            <a:ext uri="{FF2B5EF4-FFF2-40B4-BE49-F238E27FC236}">
              <a16:creationId xmlns:a16="http://schemas.microsoft.com/office/drawing/2014/main" id="{8F083E28-09C3-403A-88AD-0FCB15C1E788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136" name="テキスト 472">
          <a:extLst>
            <a:ext uri="{FF2B5EF4-FFF2-40B4-BE49-F238E27FC236}">
              <a16:creationId xmlns:a16="http://schemas.microsoft.com/office/drawing/2014/main" id="{5314EFA1-6523-4E3C-8BF0-38B8FBED2757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9</xdr:col>
      <xdr:colOff>906780</xdr:colOff>
      <xdr:row>442</xdr:row>
      <xdr:rowOff>351064</xdr:rowOff>
    </xdr:from>
    <xdr:to>
      <xdr:col>9</xdr:col>
      <xdr:colOff>2162175</xdr:colOff>
      <xdr:row>442</xdr:row>
      <xdr:rowOff>351064</xdr:rowOff>
    </xdr:to>
    <xdr:sp macro="" textlink="">
      <xdr:nvSpPr>
        <xdr:cNvPr id="137" name="テキスト 472">
          <a:extLst>
            <a:ext uri="{FF2B5EF4-FFF2-40B4-BE49-F238E27FC236}">
              <a16:creationId xmlns:a16="http://schemas.microsoft.com/office/drawing/2014/main" id="{0FF60093-6AE1-489B-8E3F-890C9C887652}"/>
            </a:ext>
          </a:extLst>
        </xdr:cNvPr>
        <xdr:cNvSpPr txBox="1">
          <a:spLocks noChangeArrowheads="1"/>
        </xdr:cNvSpPr>
      </xdr:nvSpPr>
      <xdr:spPr>
        <a:xfrm>
          <a:off x="13577020725" y="659946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138" name="テキスト 472">
          <a:extLst>
            <a:ext uri="{FF2B5EF4-FFF2-40B4-BE49-F238E27FC236}">
              <a16:creationId xmlns:a16="http://schemas.microsoft.com/office/drawing/2014/main" id="{3459643E-A11E-413E-8C7E-484609B49270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139" name="テキスト 642">
          <a:extLst>
            <a:ext uri="{FF2B5EF4-FFF2-40B4-BE49-F238E27FC236}">
              <a16:creationId xmlns:a16="http://schemas.microsoft.com/office/drawing/2014/main" id="{42D34A5F-B65F-4D48-9F98-F55EEB9BBB81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140" name="テキスト 472">
          <a:extLst>
            <a:ext uri="{FF2B5EF4-FFF2-40B4-BE49-F238E27FC236}">
              <a16:creationId xmlns:a16="http://schemas.microsoft.com/office/drawing/2014/main" id="{F5B69867-6205-4130-A7A0-8E6FD1AEE960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9</xdr:col>
      <xdr:colOff>891871</xdr:colOff>
      <xdr:row>443</xdr:row>
      <xdr:rowOff>385732</xdr:rowOff>
    </xdr:from>
    <xdr:to>
      <xdr:col>10</xdr:col>
      <xdr:colOff>168611</xdr:colOff>
      <xdr:row>443</xdr:row>
      <xdr:rowOff>385732</xdr:rowOff>
    </xdr:to>
    <xdr:sp macro="" textlink="">
      <xdr:nvSpPr>
        <xdr:cNvPr id="141" name="テキスト 472">
          <a:extLst>
            <a:ext uri="{FF2B5EF4-FFF2-40B4-BE49-F238E27FC236}">
              <a16:creationId xmlns:a16="http://schemas.microsoft.com/office/drawing/2014/main" id="{D1A8F177-EAEC-448E-99EF-40163711DD08}"/>
            </a:ext>
          </a:extLst>
        </xdr:cNvPr>
        <xdr:cNvSpPr txBox="1">
          <a:spLocks noChangeArrowheads="1"/>
        </xdr:cNvSpPr>
      </xdr:nvSpPr>
      <xdr:spPr>
        <a:xfrm>
          <a:off x="13576709239" y="7034182"/>
          <a:ext cx="158179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142" name="テキスト 472">
          <a:extLst>
            <a:ext uri="{FF2B5EF4-FFF2-40B4-BE49-F238E27FC236}">
              <a16:creationId xmlns:a16="http://schemas.microsoft.com/office/drawing/2014/main" id="{54C02571-19AC-4189-B629-166FE6A3C05A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143" name="テキスト 642">
          <a:extLst>
            <a:ext uri="{FF2B5EF4-FFF2-40B4-BE49-F238E27FC236}">
              <a16:creationId xmlns:a16="http://schemas.microsoft.com/office/drawing/2014/main" id="{1E142B67-EBB3-407D-B914-719E737F4BF1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144" name="テキスト 472">
          <a:extLst>
            <a:ext uri="{FF2B5EF4-FFF2-40B4-BE49-F238E27FC236}">
              <a16:creationId xmlns:a16="http://schemas.microsoft.com/office/drawing/2014/main" id="{ABBD08A3-CFDA-47F2-826A-6546BB801DF6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8</xdr:col>
      <xdr:colOff>671376</xdr:colOff>
      <xdr:row>439</xdr:row>
      <xdr:rowOff>201386</xdr:rowOff>
    </xdr:from>
    <xdr:to>
      <xdr:col>9</xdr:col>
      <xdr:colOff>214993</xdr:colOff>
      <xdr:row>439</xdr:row>
      <xdr:rowOff>201386</xdr:rowOff>
    </xdr:to>
    <xdr:sp macro="" textlink="">
      <xdr:nvSpPr>
        <xdr:cNvPr id="145" name="テキスト 472">
          <a:extLst>
            <a:ext uri="{FF2B5EF4-FFF2-40B4-BE49-F238E27FC236}">
              <a16:creationId xmlns:a16="http://schemas.microsoft.com/office/drawing/2014/main" id="{3ED2967D-7AE8-4285-BC1F-CA29772CF31D}"/>
            </a:ext>
          </a:extLst>
        </xdr:cNvPr>
        <xdr:cNvSpPr txBox="1">
          <a:spLocks noChangeArrowheads="1"/>
        </xdr:cNvSpPr>
      </xdr:nvSpPr>
      <xdr:spPr>
        <a:xfrm>
          <a:off x="13578967907" y="5249636"/>
          <a:ext cx="93426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146" name="テキスト 472">
          <a:extLst>
            <a:ext uri="{FF2B5EF4-FFF2-40B4-BE49-F238E27FC236}">
              <a16:creationId xmlns:a16="http://schemas.microsoft.com/office/drawing/2014/main" id="{39DBA369-AA1C-41BC-86F8-795662698989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147" name="テキスト 642">
          <a:extLst>
            <a:ext uri="{FF2B5EF4-FFF2-40B4-BE49-F238E27FC236}">
              <a16:creationId xmlns:a16="http://schemas.microsoft.com/office/drawing/2014/main" id="{96834078-295E-42B1-8B45-9595244DF373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148" name="テキスト 472">
          <a:extLst>
            <a:ext uri="{FF2B5EF4-FFF2-40B4-BE49-F238E27FC236}">
              <a16:creationId xmlns:a16="http://schemas.microsoft.com/office/drawing/2014/main" id="{ABE55D82-0DA5-4844-87D3-6B30BBC7BEB9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9</xdr:col>
      <xdr:colOff>906780</xdr:colOff>
      <xdr:row>442</xdr:row>
      <xdr:rowOff>351064</xdr:rowOff>
    </xdr:from>
    <xdr:to>
      <xdr:col>9</xdr:col>
      <xdr:colOff>2162175</xdr:colOff>
      <xdr:row>442</xdr:row>
      <xdr:rowOff>351064</xdr:rowOff>
    </xdr:to>
    <xdr:sp macro="" textlink="">
      <xdr:nvSpPr>
        <xdr:cNvPr id="149" name="テキスト 472">
          <a:extLst>
            <a:ext uri="{FF2B5EF4-FFF2-40B4-BE49-F238E27FC236}">
              <a16:creationId xmlns:a16="http://schemas.microsoft.com/office/drawing/2014/main" id="{E8E137DE-55F9-469D-B2EC-24401051BD87}"/>
            </a:ext>
          </a:extLst>
        </xdr:cNvPr>
        <xdr:cNvSpPr txBox="1">
          <a:spLocks noChangeArrowheads="1"/>
        </xdr:cNvSpPr>
      </xdr:nvSpPr>
      <xdr:spPr>
        <a:xfrm>
          <a:off x="13577020725" y="659946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150" name="テキスト 472">
          <a:extLst>
            <a:ext uri="{FF2B5EF4-FFF2-40B4-BE49-F238E27FC236}">
              <a16:creationId xmlns:a16="http://schemas.microsoft.com/office/drawing/2014/main" id="{3A35FC81-8A01-4CCD-9386-60C4E73A9326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151" name="テキスト 642">
          <a:extLst>
            <a:ext uri="{FF2B5EF4-FFF2-40B4-BE49-F238E27FC236}">
              <a16:creationId xmlns:a16="http://schemas.microsoft.com/office/drawing/2014/main" id="{CFCFCF56-EBC5-4D35-AB38-99D9AB14AA5B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9</xdr:col>
      <xdr:colOff>891540</xdr:colOff>
      <xdr:row>442</xdr:row>
      <xdr:rowOff>351064</xdr:rowOff>
    </xdr:from>
    <xdr:to>
      <xdr:col>9</xdr:col>
      <xdr:colOff>2154555</xdr:colOff>
      <xdr:row>442</xdr:row>
      <xdr:rowOff>351064</xdr:rowOff>
    </xdr:to>
    <xdr:sp macro="" textlink="">
      <xdr:nvSpPr>
        <xdr:cNvPr id="152" name="テキスト 472">
          <a:extLst>
            <a:ext uri="{FF2B5EF4-FFF2-40B4-BE49-F238E27FC236}">
              <a16:creationId xmlns:a16="http://schemas.microsoft.com/office/drawing/2014/main" id="{E4C863CD-883E-4988-B4E7-70FA6D6CAB41}"/>
            </a:ext>
          </a:extLst>
        </xdr:cNvPr>
        <xdr:cNvSpPr txBox="1">
          <a:spLocks noChangeArrowheads="1"/>
        </xdr:cNvSpPr>
      </xdr:nvSpPr>
      <xdr:spPr>
        <a:xfrm>
          <a:off x="13577028345" y="65994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9</xdr:col>
      <xdr:colOff>891871</xdr:colOff>
      <xdr:row>443</xdr:row>
      <xdr:rowOff>385732</xdr:rowOff>
    </xdr:from>
    <xdr:to>
      <xdr:col>10</xdr:col>
      <xdr:colOff>168611</xdr:colOff>
      <xdr:row>443</xdr:row>
      <xdr:rowOff>385732</xdr:rowOff>
    </xdr:to>
    <xdr:sp macro="" textlink="">
      <xdr:nvSpPr>
        <xdr:cNvPr id="153" name="テキスト 472">
          <a:extLst>
            <a:ext uri="{FF2B5EF4-FFF2-40B4-BE49-F238E27FC236}">
              <a16:creationId xmlns:a16="http://schemas.microsoft.com/office/drawing/2014/main" id="{B2106DA1-0C0E-40FD-B11D-E8C7A73A8B4A}"/>
            </a:ext>
          </a:extLst>
        </xdr:cNvPr>
        <xdr:cNvSpPr txBox="1">
          <a:spLocks noChangeArrowheads="1"/>
        </xdr:cNvSpPr>
      </xdr:nvSpPr>
      <xdr:spPr>
        <a:xfrm>
          <a:off x="13576709239" y="7034182"/>
          <a:ext cx="158179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154" name="テキスト 472">
          <a:extLst>
            <a:ext uri="{FF2B5EF4-FFF2-40B4-BE49-F238E27FC236}">
              <a16:creationId xmlns:a16="http://schemas.microsoft.com/office/drawing/2014/main" id="{A0C6F157-932C-4F6C-BCBF-302E8540EF91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155" name="テキスト 642">
          <a:extLst>
            <a:ext uri="{FF2B5EF4-FFF2-40B4-BE49-F238E27FC236}">
              <a16:creationId xmlns:a16="http://schemas.microsoft.com/office/drawing/2014/main" id="{40C3842A-D457-4F62-8DA5-4A8446FE4EAC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9</xdr:col>
      <xdr:colOff>876631</xdr:colOff>
      <xdr:row>443</xdr:row>
      <xdr:rowOff>385732</xdr:rowOff>
    </xdr:from>
    <xdr:to>
      <xdr:col>10</xdr:col>
      <xdr:colOff>160991</xdr:colOff>
      <xdr:row>443</xdr:row>
      <xdr:rowOff>385732</xdr:rowOff>
    </xdr:to>
    <xdr:sp macro="" textlink="">
      <xdr:nvSpPr>
        <xdr:cNvPr id="156" name="テキスト 472">
          <a:extLst>
            <a:ext uri="{FF2B5EF4-FFF2-40B4-BE49-F238E27FC236}">
              <a16:creationId xmlns:a16="http://schemas.microsoft.com/office/drawing/2014/main" id="{AAFB5B19-76E1-40BD-ABB7-95D5F7A90DEE}"/>
            </a:ext>
          </a:extLst>
        </xdr:cNvPr>
        <xdr:cNvSpPr txBox="1">
          <a:spLocks noChangeArrowheads="1"/>
        </xdr:cNvSpPr>
      </xdr:nvSpPr>
      <xdr:spPr>
        <a:xfrm>
          <a:off x="13576716859" y="70341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8</xdr:col>
      <xdr:colOff>671376</xdr:colOff>
      <xdr:row>439</xdr:row>
      <xdr:rowOff>201386</xdr:rowOff>
    </xdr:from>
    <xdr:to>
      <xdr:col>9</xdr:col>
      <xdr:colOff>214993</xdr:colOff>
      <xdr:row>439</xdr:row>
      <xdr:rowOff>201386</xdr:rowOff>
    </xdr:to>
    <xdr:sp macro="" textlink="">
      <xdr:nvSpPr>
        <xdr:cNvPr id="157" name="テキスト 472">
          <a:extLst>
            <a:ext uri="{FF2B5EF4-FFF2-40B4-BE49-F238E27FC236}">
              <a16:creationId xmlns:a16="http://schemas.microsoft.com/office/drawing/2014/main" id="{4644F8A4-5E0E-4945-A335-940CE0772761}"/>
            </a:ext>
          </a:extLst>
        </xdr:cNvPr>
        <xdr:cNvSpPr txBox="1">
          <a:spLocks noChangeArrowheads="1"/>
        </xdr:cNvSpPr>
      </xdr:nvSpPr>
      <xdr:spPr>
        <a:xfrm>
          <a:off x="13578967907" y="5249636"/>
          <a:ext cx="93426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158" name="テキスト 472">
          <a:extLst>
            <a:ext uri="{FF2B5EF4-FFF2-40B4-BE49-F238E27FC236}">
              <a16:creationId xmlns:a16="http://schemas.microsoft.com/office/drawing/2014/main" id="{DFC1FF89-1DE9-4690-A0D8-A0FE95D79A36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159" name="テキスト 642">
          <a:extLst>
            <a:ext uri="{FF2B5EF4-FFF2-40B4-BE49-F238E27FC236}">
              <a16:creationId xmlns:a16="http://schemas.microsoft.com/office/drawing/2014/main" id="{F266FA4F-70E8-4D67-A898-9086DA4BC7CC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8</xdr:col>
      <xdr:colOff>656136</xdr:colOff>
      <xdr:row>439</xdr:row>
      <xdr:rowOff>201386</xdr:rowOff>
    </xdr:from>
    <xdr:to>
      <xdr:col>9</xdr:col>
      <xdr:colOff>207373</xdr:colOff>
      <xdr:row>439</xdr:row>
      <xdr:rowOff>201386</xdr:rowOff>
    </xdr:to>
    <xdr:sp macro="" textlink="">
      <xdr:nvSpPr>
        <xdr:cNvPr id="160" name="テキスト 472">
          <a:extLst>
            <a:ext uri="{FF2B5EF4-FFF2-40B4-BE49-F238E27FC236}">
              <a16:creationId xmlns:a16="http://schemas.microsoft.com/office/drawing/2014/main" id="{6D0F0656-04D3-41F4-85F0-E1198D026BE1}"/>
            </a:ext>
          </a:extLst>
        </xdr:cNvPr>
        <xdr:cNvSpPr txBox="1">
          <a:spLocks noChangeArrowheads="1"/>
        </xdr:cNvSpPr>
      </xdr:nvSpPr>
      <xdr:spPr>
        <a:xfrm>
          <a:off x="13578975527" y="52496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9</xdr:col>
      <xdr:colOff>906780</xdr:colOff>
      <xdr:row>444</xdr:row>
      <xdr:rowOff>351064</xdr:rowOff>
    </xdr:from>
    <xdr:to>
      <xdr:col>9</xdr:col>
      <xdr:colOff>2162175</xdr:colOff>
      <xdr:row>444</xdr:row>
      <xdr:rowOff>351064</xdr:rowOff>
    </xdr:to>
    <xdr:sp macro="" textlink="">
      <xdr:nvSpPr>
        <xdr:cNvPr id="161" name="テキスト 472">
          <a:extLst>
            <a:ext uri="{FF2B5EF4-FFF2-40B4-BE49-F238E27FC236}">
              <a16:creationId xmlns:a16="http://schemas.microsoft.com/office/drawing/2014/main" id="{BA70CEA2-B2C3-47D9-A68F-0B2C6F37FC25}"/>
            </a:ext>
          </a:extLst>
        </xdr:cNvPr>
        <xdr:cNvSpPr txBox="1">
          <a:spLocks noChangeArrowheads="1"/>
        </xdr:cNvSpPr>
      </xdr:nvSpPr>
      <xdr:spPr>
        <a:xfrm>
          <a:off x="13577020725" y="739956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9</xdr:col>
      <xdr:colOff>891540</xdr:colOff>
      <xdr:row>444</xdr:row>
      <xdr:rowOff>351064</xdr:rowOff>
    </xdr:from>
    <xdr:to>
      <xdr:col>9</xdr:col>
      <xdr:colOff>2154555</xdr:colOff>
      <xdr:row>444</xdr:row>
      <xdr:rowOff>351064</xdr:rowOff>
    </xdr:to>
    <xdr:sp macro="" textlink="">
      <xdr:nvSpPr>
        <xdr:cNvPr id="162" name="テキスト 472">
          <a:extLst>
            <a:ext uri="{FF2B5EF4-FFF2-40B4-BE49-F238E27FC236}">
              <a16:creationId xmlns:a16="http://schemas.microsoft.com/office/drawing/2014/main" id="{6D04E26B-5A7C-420D-AC31-EE3EBA994082}"/>
            </a:ext>
          </a:extLst>
        </xdr:cNvPr>
        <xdr:cNvSpPr txBox="1">
          <a:spLocks noChangeArrowheads="1"/>
        </xdr:cNvSpPr>
      </xdr:nvSpPr>
      <xdr:spPr>
        <a:xfrm>
          <a:off x="13577028345" y="73995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9</xdr:col>
      <xdr:colOff>891540</xdr:colOff>
      <xdr:row>444</xdr:row>
      <xdr:rowOff>351064</xdr:rowOff>
    </xdr:from>
    <xdr:to>
      <xdr:col>9</xdr:col>
      <xdr:colOff>2154555</xdr:colOff>
      <xdr:row>444</xdr:row>
      <xdr:rowOff>351064</xdr:rowOff>
    </xdr:to>
    <xdr:sp macro="" textlink="">
      <xdr:nvSpPr>
        <xdr:cNvPr id="163" name="テキスト 642">
          <a:extLst>
            <a:ext uri="{FF2B5EF4-FFF2-40B4-BE49-F238E27FC236}">
              <a16:creationId xmlns:a16="http://schemas.microsoft.com/office/drawing/2014/main" id="{71EA008F-2D28-4967-9720-431A62BC9402}"/>
            </a:ext>
          </a:extLst>
        </xdr:cNvPr>
        <xdr:cNvSpPr txBox="1">
          <a:spLocks noChangeArrowheads="1"/>
        </xdr:cNvSpPr>
      </xdr:nvSpPr>
      <xdr:spPr>
        <a:xfrm>
          <a:off x="13577028345" y="73995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9</xdr:col>
      <xdr:colOff>891540</xdr:colOff>
      <xdr:row>444</xdr:row>
      <xdr:rowOff>351064</xdr:rowOff>
    </xdr:from>
    <xdr:to>
      <xdr:col>9</xdr:col>
      <xdr:colOff>2154555</xdr:colOff>
      <xdr:row>444</xdr:row>
      <xdr:rowOff>351064</xdr:rowOff>
    </xdr:to>
    <xdr:sp macro="" textlink="">
      <xdr:nvSpPr>
        <xdr:cNvPr id="164" name="テキスト 472">
          <a:extLst>
            <a:ext uri="{FF2B5EF4-FFF2-40B4-BE49-F238E27FC236}">
              <a16:creationId xmlns:a16="http://schemas.microsoft.com/office/drawing/2014/main" id="{BEBF2AD8-4AC2-48D7-A65F-E30F97E752D5}"/>
            </a:ext>
          </a:extLst>
        </xdr:cNvPr>
        <xdr:cNvSpPr txBox="1">
          <a:spLocks noChangeArrowheads="1"/>
        </xdr:cNvSpPr>
      </xdr:nvSpPr>
      <xdr:spPr>
        <a:xfrm>
          <a:off x="13577028345" y="73995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9</xdr:col>
      <xdr:colOff>891871</xdr:colOff>
      <xdr:row>445</xdr:row>
      <xdr:rowOff>385732</xdr:rowOff>
    </xdr:from>
    <xdr:to>
      <xdr:col>10</xdr:col>
      <xdr:colOff>168611</xdr:colOff>
      <xdr:row>445</xdr:row>
      <xdr:rowOff>385732</xdr:rowOff>
    </xdr:to>
    <xdr:sp macro="" textlink="">
      <xdr:nvSpPr>
        <xdr:cNvPr id="165" name="テキスト 472">
          <a:extLst>
            <a:ext uri="{FF2B5EF4-FFF2-40B4-BE49-F238E27FC236}">
              <a16:creationId xmlns:a16="http://schemas.microsoft.com/office/drawing/2014/main" id="{0F9875D2-DB7D-4FA3-AA19-37BC8D29FB6B}"/>
            </a:ext>
          </a:extLst>
        </xdr:cNvPr>
        <xdr:cNvSpPr txBox="1">
          <a:spLocks noChangeArrowheads="1"/>
        </xdr:cNvSpPr>
      </xdr:nvSpPr>
      <xdr:spPr>
        <a:xfrm>
          <a:off x="13576709239" y="7834282"/>
          <a:ext cx="158179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9</xdr:col>
      <xdr:colOff>876631</xdr:colOff>
      <xdr:row>445</xdr:row>
      <xdr:rowOff>385732</xdr:rowOff>
    </xdr:from>
    <xdr:to>
      <xdr:col>10</xdr:col>
      <xdr:colOff>160991</xdr:colOff>
      <xdr:row>445</xdr:row>
      <xdr:rowOff>385732</xdr:rowOff>
    </xdr:to>
    <xdr:sp macro="" textlink="">
      <xdr:nvSpPr>
        <xdr:cNvPr id="166" name="テキスト 472">
          <a:extLst>
            <a:ext uri="{FF2B5EF4-FFF2-40B4-BE49-F238E27FC236}">
              <a16:creationId xmlns:a16="http://schemas.microsoft.com/office/drawing/2014/main" id="{316F72CF-509A-4F89-8F68-AC2B4E0A2D23}"/>
            </a:ext>
          </a:extLst>
        </xdr:cNvPr>
        <xdr:cNvSpPr txBox="1">
          <a:spLocks noChangeArrowheads="1"/>
        </xdr:cNvSpPr>
      </xdr:nvSpPr>
      <xdr:spPr>
        <a:xfrm>
          <a:off x="13576716859" y="78342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9</xdr:col>
      <xdr:colOff>876631</xdr:colOff>
      <xdr:row>445</xdr:row>
      <xdr:rowOff>385732</xdr:rowOff>
    </xdr:from>
    <xdr:to>
      <xdr:col>10</xdr:col>
      <xdr:colOff>160991</xdr:colOff>
      <xdr:row>445</xdr:row>
      <xdr:rowOff>385732</xdr:rowOff>
    </xdr:to>
    <xdr:sp macro="" textlink="">
      <xdr:nvSpPr>
        <xdr:cNvPr id="167" name="テキスト 642">
          <a:extLst>
            <a:ext uri="{FF2B5EF4-FFF2-40B4-BE49-F238E27FC236}">
              <a16:creationId xmlns:a16="http://schemas.microsoft.com/office/drawing/2014/main" id="{76B3954D-964C-45E9-B245-C67E1A9ECAEC}"/>
            </a:ext>
          </a:extLst>
        </xdr:cNvPr>
        <xdr:cNvSpPr txBox="1">
          <a:spLocks noChangeArrowheads="1"/>
        </xdr:cNvSpPr>
      </xdr:nvSpPr>
      <xdr:spPr>
        <a:xfrm>
          <a:off x="13576716859" y="78342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9</xdr:col>
      <xdr:colOff>876631</xdr:colOff>
      <xdr:row>445</xdr:row>
      <xdr:rowOff>385732</xdr:rowOff>
    </xdr:from>
    <xdr:to>
      <xdr:col>10</xdr:col>
      <xdr:colOff>160991</xdr:colOff>
      <xdr:row>445</xdr:row>
      <xdr:rowOff>385732</xdr:rowOff>
    </xdr:to>
    <xdr:sp macro="" textlink="">
      <xdr:nvSpPr>
        <xdr:cNvPr id="168" name="テキスト 472">
          <a:extLst>
            <a:ext uri="{FF2B5EF4-FFF2-40B4-BE49-F238E27FC236}">
              <a16:creationId xmlns:a16="http://schemas.microsoft.com/office/drawing/2014/main" id="{4D52158A-7E1D-4C94-886D-F79746842602}"/>
            </a:ext>
          </a:extLst>
        </xdr:cNvPr>
        <xdr:cNvSpPr txBox="1">
          <a:spLocks noChangeArrowheads="1"/>
        </xdr:cNvSpPr>
      </xdr:nvSpPr>
      <xdr:spPr>
        <a:xfrm>
          <a:off x="13576716859" y="7834282"/>
          <a:ext cx="158941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8</xdr:col>
      <xdr:colOff>671376</xdr:colOff>
      <xdr:row>441</xdr:row>
      <xdr:rowOff>201386</xdr:rowOff>
    </xdr:from>
    <xdr:to>
      <xdr:col>9</xdr:col>
      <xdr:colOff>214993</xdr:colOff>
      <xdr:row>441</xdr:row>
      <xdr:rowOff>201386</xdr:rowOff>
    </xdr:to>
    <xdr:sp macro="" textlink="">
      <xdr:nvSpPr>
        <xdr:cNvPr id="169" name="テキスト 472">
          <a:extLst>
            <a:ext uri="{FF2B5EF4-FFF2-40B4-BE49-F238E27FC236}">
              <a16:creationId xmlns:a16="http://schemas.microsoft.com/office/drawing/2014/main" id="{F781FBA5-81D2-4C77-9793-E3B07B0C1794}"/>
            </a:ext>
          </a:extLst>
        </xdr:cNvPr>
        <xdr:cNvSpPr txBox="1">
          <a:spLocks noChangeArrowheads="1"/>
        </xdr:cNvSpPr>
      </xdr:nvSpPr>
      <xdr:spPr>
        <a:xfrm>
          <a:off x="13578967907" y="6049736"/>
          <a:ext cx="93426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8</xdr:col>
      <xdr:colOff>656136</xdr:colOff>
      <xdr:row>441</xdr:row>
      <xdr:rowOff>201386</xdr:rowOff>
    </xdr:from>
    <xdr:to>
      <xdr:col>9</xdr:col>
      <xdr:colOff>207373</xdr:colOff>
      <xdr:row>441</xdr:row>
      <xdr:rowOff>201386</xdr:rowOff>
    </xdr:to>
    <xdr:sp macro="" textlink="">
      <xdr:nvSpPr>
        <xdr:cNvPr id="170" name="テキスト 472">
          <a:extLst>
            <a:ext uri="{FF2B5EF4-FFF2-40B4-BE49-F238E27FC236}">
              <a16:creationId xmlns:a16="http://schemas.microsoft.com/office/drawing/2014/main" id="{756AD3AA-F20D-4FC9-AEF1-DE3903AFAEE4}"/>
            </a:ext>
          </a:extLst>
        </xdr:cNvPr>
        <xdr:cNvSpPr txBox="1">
          <a:spLocks noChangeArrowheads="1"/>
        </xdr:cNvSpPr>
      </xdr:nvSpPr>
      <xdr:spPr>
        <a:xfrm>
          <a:off x="13578975527" y="60497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8</xdr:col>
      <xdr:colOff>656136</xdr:colOff>
      <xdr:row>441</xdr:row>
      <xdr:rowOff>201386</xdr:rowOff>
    </xdr:from>
    <xdr:to>
      <xdr:col>9</xdr:col>
      <xdr:colOff>207373</xdr:colOff>
      <xdr:row>441</xdr:row>
      <xdr:rowOff>201386</xdr:rowOff>
    </xdr:to>
    <xdr:sp macro="" textlink="">
      <xdr:nvSpPr>
        <xdr:cNvPr id="171" name="テキスト 642">
          <a:extLst>
            <a:ext uri="{FF2B5EF4-FFF2-40B4-BE49-F238E27FC236}">
              <a16:creationId xmlns:a16="http://schemas.microsoft.com/office/drawing/2014/main" id="{D5961DAD-7870-4E64-A75A-EF19D515F8C3}"/>
            </a:ext>
          </a:extLst>
        </xdr:cNvPr>
        <xdr:cNvSpPr txBox="1">
          <a:spLocks noChangeArrowheads="1"/>
        </xdr:cNvSpPr>
      </xdr:nvSpPr>
      <xdr:spPr>
        <a:xfrm>
          <a:off x="13578975527" y="60497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8</xdr:col>
      <xdr:colOff>656136</xdr:colOff>
      <xdr:row>441</xdr:row>
      <xdr:rowOff>201386</xdr:rowOff>
    </xdr:from>
    <xdr:to>
      <xdr:col>9</xdr:col>
      <xdr:colOff>207373</xdr:colOff>
      <xdr:row>441</xdr:row>
      <xdr:rowOff>201386</xdr:rowOff>
    </xdr:to>
    <xdr:sp macro="" textlink="">
      <xdr:nvSpPr>
        <xdr:cNvPr id="172" name="テキスト 472">
          <a:extLst>
            <a:ext uri="{FF2B5EF4-FFF2-40B4-BE49-F238E27FC236}">
              <a16:creationId xmlns:a16="http://schemas.microsoft.com/office/drawing/2014/main" id="{AD89ABB5-ABE6-43DA-9DA2-B8F07E52F07D}"/>
            </a:ext>
          </a:extLst>
        </xdr:cNvPr>
        <xdr:cNvSpPr txBox="1">
          <a:spLocks noChangeArrowheads="1"/>
        </xdr:cNvSpPr>
      </xdr:nvSpPr>
      <xdr:spPr>
        <a:xfrm>
          <a:off x="13578975527" y="6049736"/>
          <a:ext cx="941887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11</xdr:col>
      <xdr:colOff>304800</xdr:colOff>
      <xdr:row>439</xdr:row>
      <xdr:rowOff>201386</xdr:rowOff>
    </xdr:from>
    <xdr:to>
      <xdr:col>12</xdr:col>
      <xdr:colOff>0</xdr:colOff>
      <xdr:row>439</xdr:row>
      <xdr:rowOff>201386</xdr:rowOff>
    </xdr:to>
    <xdr:sp macro="" textlink="">
      <xdr:nvSpPr>
        <xdr:cNvPr id="173" name="テキスト 644">
          <a:extLst>
            <a:ext uri="{FF2B5EF4-FFF2-40B4-BE49-F238E27FC236}">
              <a16:creationId xmlns:a16="http://schemas.microsoft.com/office/drawing/2014/main" id="{23D192CC-A6A6-4C7E-89F3-1E1889158643}"/>
            </a:ext>
          </a:extLst>
        </xdr:cNvPr>
        <xdr:cNvSpPr txBox="1">
          <a:spLocks noChangeArrowheads="1"/>
        </xdr:cNvSpPr>
      </xdr:nvSpPr>
      <xdr:spPr>
        <a:xfrm>
          <a:off x="13579246854" y="5249636"/>
          <a:ext cx="2022021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11</xdr:col>
      <xdr:colOff>304800</xdr:colOff>
      <xdr:row>439</xdr:row>
      <xdr:rowOff>201386</xdr:rowOff>
    </xdr:from>
    <xdr:to>
      <xdr:col>12</xdr:col>
      <xdr:colOff>0</xdr:colOff>
      <xdr:row>439</xdr:row>
      <xdr:rowOff>201386</xdr:rowOff>
    </xdr:to>
    <xdr:sp macro="" textlink="">
      <xdr:nvSpPr>
        <xdr:cNvPr id="174" name="テキスト 644">
          <a:extLst>
            <a:ext uri="{FF2B5EF4-FFF2-40B4-BE49-F238E27FC236}">
              <a16:creationId xmlns:a16="http://schemas.microsoft.com/office/drawing/2014/main" id="{5D29C669-E14D-4462-A209-B440DF453BDC}"/>
            </a:ext>
          </a:extLst>
        </xdr:cNvPr>
        <xdr:cNvSpPr txBox="1">
          <a:spLocks noChangeArrowheads="1"/>
        </xdr:cNvSpPr>
      </xdr:nvSpPr>
      <xdr:spPr>
        <a:xfrm>
          <a:off x="13579246854" y="5249636"/>
          <a:ext cx="2022021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11</xdr:col>
      <xdr:colOff>304800</xdr:colOff>
      <xdr:row>439</xdr:row>
      <xdr:rowOff>201386</xdr:rowOff>
    </xdr:from>
    <xdr:to>
      <xdr:col>12</xdr:col>
      <xdr:colOff>0</xdr:colOff>
      <xdr:row>439</xdr:row>
      <xdr:rowOff>201386</xdr:rowOff>
    </xdr:to>
    <xdr:sp macro="" textlink="">
      <xdr:nvSpPr>
        <xdr:cNvPr id="175" name="テキスト 644">
          <a:extLst>
            <a:ext uri="{FF2B5EF4-FFF2-40B4-BE49-F238E27FC236}">
              <a16:creationId xmlns:a16="http://schemas.microsoft.com/office/drawing/2014/main" id="{95DFE03D-0B7B-4BAB-B6B9-078DB2FBB97B}"/>
            </a:ext>
          </a:extLst>
        </xdr:cNvPr>
        <xdr:cNvSpPr txBox="1">
          <a:spLocks noChangeArrowheads="1"/>
        </xdr:cNvSpPr>
      </xdr:nvSpPr>
      <xdr:spPr>
        <a:xfrm>
          <a:off x="13579246854" y="5249636"/>
          <a:ext cx="2022021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11</xdr:col>
      <xdr:colOff>304800</xdr:colOff>
      <xdr:row>439</xdr:row>
      <xdr:rowOff>201386</xdr:rowOff>
    </xdr:from>
    <xdr:to>
      <xdr:col>12</xdr:col>
      <xdr:colOff>0</xdr:colOff>
      <xdr:row>439</xdr:row>
      <xdr:rowOff>201386</xdr:rowOff>
    </xdr:to>
    <xdr:sp macro="" textlink="">
      <xdr:nvSpPr>
        <xdr:cNvPr id="176" name="テキスト 644">
          <a:extLst>
            <a:ext uri="{FF2B5EF4-FFF2-40B4-BE49-F238E27FC236}">
              <a16:creationId xmlns:a16="http://schemas.microsoft.com/office/drawing/2014/main" id="{1FFA1204-457C-419F-B858-DBA901890DB7}"/>
            </a:ext>
          </a:extLst>
        </xdr:cNvPr>
        <xdr:cNvSpPr txBox="1">
          <a:spLocks noChangeArrowheads="1"/>
        </xdr:cNvSpPr>
      </xdr:nvSpPr>
      <xdr:spPr>
        <a:xfrm>
          <a:off x="13579246854" y="5249636"/>
          <a:ext cx="2022021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11</xdr:col>
      <xdr:colOff>304800</xdr:colOff>
      <xdr:row>439</xdr:row>
      <xdr:rowOff>201386</xdr:rowOff>
    </xdr:from>
    <xdr:to>
      <xdr:col>12</xdr:col>
      <xdr:colOff>0</xdr:colOff>
      <xdr:row>439</xdr:row>
      <xdr:rowOff>201386</xdr:rowOff>
    </xdr:to>
    <xdr:sp macro="" textlink="">
      <xdr:nvSpPr>
        <xdr:cNvPr id="177" name="テキスト 644">
          <a:extLst>
            <a:ext uri="{FF2B5EF4-FFF2-40B4-BE49-F238E27FC236}">
              <a16:creationId xmlns:a16="http://schemas.microsoft.com/office/drawing/2014/main" id="{94D22B66-E0D4-41CC-BBA2-51714950522A}"/>
            </a:ext>
          </a:extLst>
        </xdr:cNvPr>
        <xdr:cNvSpPr txBox="1">
          <a:spLocks noChangeArrowheads="1"/>
        </xdr:cNvSpPr>
      </xdr:nvSpPr>
      <xdr:spPr>
        <a:xfrm>
          <a:off x="13579246854" y="5249636"/>
          <a:ext cx="2022021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11</xdr:col>
      <xdr:colOff>304800</xdr:colOff>
      <xdr:row>439</xdr:row>
      <xdr:rowOff>201386</xdr:rowOff>
    </xdr:from>
    <xdr:to>
      <xdr:col>12</xdr:col>
      <xdr:colOff>0</xdr:colOff>
      <xdr:row>439</xdr:row>
      <xdr:rowOff>201386</xdr:rowOff>
    </xdr:to>
    <xdr:sp macro="" textlink="">
      <xdr:nvSpPr>
        <xdr:cNvPr id="178" name="テキスト 644">
          <a:extLst>
            <a:ext uri="{FF2B5EF4-FFF2-40B4-BE49-F238E27FC236}">
              <a16:creationId xmlns:a16="http://schemas.microsoft.com/office/drawing/2014/main" id="{7B46DD8A-9C0D-4C19-9FA9-C24648050865}"/>
            </a:ext>
          </a:extLst>
        </xdr:cNvPr>
        <xdr:cNvSpPr txBox="1">
          <a:spLocks noChangeArrowheads="1"/>
        </xdr:cNvSpPr>
      </xdr:nvSpPr>
      <xdr:spPr>
        <a:xfrm>
          <a:off x="13579246854" y="5249636"/>
          <a:ext cx="2022021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11</xdr:col>
      <xdr:colOff>304800</xdr:colOff>
      <xdr:row>439</xdr:row>
      <xdr:rowOff>201386</xdr:rowOff>
    </xdr:from>
    <xdr:to>
      <xdr:col>12</xdr:col>
      <xdr:colOff>0</xdr:colOff>
      <xdr:row>439</xdr:row>
      <xdr:rowOff>201386</xdr:rowOff>
    </xdr:to>
    <xdr:sp macro="" textlink="">
      <xdr:nvSpPr>
        <xdr:cNvPr id="179" name="テキスト 644">
          <a:extLst>
            <a:ext uri="{FF2B5EF4-FFF2-40B4-BE49-F238E27FC236}">
              <a16:creationId xmlns:a16="http://schemas.microsoft.com/office/drawing/2014/main" id="{9E37B503-8B4C-47E2-9E66-F93FB72D121D}"/>
            </a:ext>
          </a:extLst>
        </xdr:cNvPr>
        <xdr:cNvSpPr txBox="1">
          <a:spLocks noChangeArrowheads="1"/>
        </xdr:cNvSpPr>
      </xdr:nvSpPr>
      <xdr:spPr>
        <a:xfrm>
          <a:off x="13579246854" y="5249636"/>
          <a:ext cx="2022021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11</xdr:col>
      <xdr:colOff>304800</xdr:colOff>
      <xdr:row>439</xdr:row>
      <xdr:rowOff>201386</xdr:rowOff>
    </xdr:from>
    <xdr:to>
      <xdr:col>12</xdr:col>
      <xdr:colOff>0</xdr:colOff>
      <xdr:row>439</xdr:row>
      <xdr:rowOff>201386</xdr:rowOff>
    </xdr:to>
    <xdr:sp macro="" textlink="">
      <xdr:nvSpPr>
        <xdr:cNvPr id="180" name="テキスト 644">
          <a:extLst>
            <a:ext uri="{FF2B5EF4-FFF2-40B4-BE49-F238E27FC236}">
              <a16:creationId xmlns:a16="http://schemas.microsoft.com/office/drawing/2014/main" id="{1BD42BD5-6A7D-45FA-9097-D73D6105E4FC}"/>
            </a:ext>
          </a:extLst>
        </xdr:cNvPr>
        <xdr:cNvSpPr txBox="1">
          <a:spLocks noChangeArrowheads="1"/>
        </xdr:cNvSpPr>
      </xdr:nvSpPr>
      <xdr:spPr>
        <a:xfrm>
          <a:off x="13579246854" y="5249636"/>
          <a:ext cx="2022021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11</xdr:col>
      <xdr:colOff>0</xdr:colOff>
      <xdr:row>437</xdr:row>
      <xdr:rowOff>141515</xdr:rowOff>
    </xdr:from>
    <xdr:to>
      <xdr:col>11</xdr:col>
      <xdr:colOff>304800</xdr:colOff>
      <xdr:row>437</xdr:row>
      <xdr:rowOff>141515</xdr:rowOff>
    </xdr:to>
    <xdr:sp macro="" textlink="">
      <xdr:nvSpPr>
        <xdr:cNvPr id="181" name="テキスト 644">
          <a:extLst>
            <a:ext uri="{FF2B5EF4-FFF2-40B4-BE49-F238E27FC236}">
              <a16:creationId xmlns:a16="http://schemas.microsoft.com/office/drawing/2014/main" id="{D52FD1E8-3726-4723-AC05-499C042E9818}"/>
            </a:ext>
          </a:extLst>
        </xdr:cNvPr>
        <xdr:cNvSpPr txBox="1">
          <a:spLocks noChangeArrowheads="1"/>
        </xdr:cNvSpPr>
      </xdr:nvSpPr>
      <xdr:spPr bwMode="auto">
        <a:xfrm>
          <a:off x="13581268875" y="4389665"/>
          <a:ext cx="30480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トルク管理表による</a:t>
          </a:r>
        </a:p>
      </xdr:txBody>
    </xdr:sp>
    <xdr:clientData/>
  </xdr:twoCellAnchor>
  <xdr:twoCellAnchor>
    <xdr:from>
      <xdr:col>11</xdr:col>
      <xdr:colOff>304800</xdr:colOff>
      <xdr:row>441</xdr:row>
      <xdr:rowOff>201386</xdr:rowOff>
    </xdr:from>
    <xdr:to>
      <xdr:col>12</xdr:col>
      <xdr:colOff>0</xdr:colOff>
      <xdr:row>441</xdr:row>
      <xdr:rowOff>201386</xdr:rowOff>
    </xdr:to>
    <xdr:sp macro="" textlink="">
      <xdr:nvSpPr>
        <xdr:cNvPr id="182" name="テキスト 644">
          <a:extLst>
            <a:ext uri="{FF2B5EF4-FFF2-40B4-BE49-F238E27FC236}">
              <a16:creationId xmlns:a16="http://schemas.microsoft.com/office/drawing/2014/main" id="{D73442FB-9B1A-4B27-ABDC-0382C3EA62F2}"/>
            </a:ext>
          </a:extLst>
        </xdr:cNvPr>
        <xdr:cNvSpPr txBox="1">
          <a:spLocks noChangeArrowheads="1"/>
        </xdr:cNvSpPr>
      </xdr:nvSpPr>
      <xdr:spPr>
        <a:xfrm>
          <a:off x="13579246854" y="6049736"/>
          <a:ext cx="2022021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10</xdr:col>
      <xdr:colOff>0</xdr:colOff>
      <xdr:row>437</xdr:row>
      <xdr:rowOff>141515</xdr:rowOff>
    </xdr:from>
    <xdr:to>
      <xdr:col>10</xdr:col>
      <xdr:colOff>304800</xdr:colOff>
      <xdr:row>437</xdr:row>
      <xdr:rowOff>141515</xdr:rowOff>
    </xdr:to>
    <xdr:sp macro="" textlink="">
      <xdr:nvSpPr>
        <xdr:cNvPr id="183" name="テキスト 644">
          <a:extLst>
            <a:ext uri="{FF2B5EF4-FFF2-40B4-BE49-F238E27FC236}">
              <a16:creationId xmlns:a16="http://schemas.microsoft.com/office/drawing/2014/main" id="{3918373A-D7C9-4F8F-B60F-A82589A09F30}"/>
            </a:ext>
          </a:extLst>
        </xdr:cNvPr>
        <xdr:cNvSpPr txBox="1">
          <a:spLocks noChangeArrowheads="1"/>
        </xdr:cNvSpPr>
      </xdr:nvSpPr>
      <xdr:spPr bwMode="auto">
        <a:xfrm>
          <a:off x="16058555" y="242850421"/>
          <a:ext cx="30480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トルク管理表による</a:t>
          </a:r>
        </a:p>
      </xdr:txBody>
    </xdr:sp>
    <xdr:clientData/>
  </xdr:twoCellAnchor>
  <xdr:twoCellAnchor>
    <xdr:from>
      <xdr:col>17</xdr:col>
      <xdr:colOff>891871</xdr:colOff>
      <xdr:row>443</xdr:row>
      <xdr:rowOff>385732</xdr:rowOff>
    </xdr:from>
    <xdr:to>
      <xdr:col>18</xdr:col>
      <xdr:colOff>168611</xdr:colOff>
      <xdr:row>443</xdr:row>
      <xdr:rowOff>385732</xdr:rowOff>
    </xdr:to>
    <xdr:sp macro="" textlink="">
      <xdr:nvSpPr>
        <xdr:cNvPr id="693" name="テキスト 472">
          <a:extLst>
            <a:ext uri="{FF2B5EF4-FFF2-40B4-BE49-F238E27FC236}">
              <a16:creationId xmlns:a16="http://schemas.microsoft.com/office/drawing/2014/main" id="{19A84C77-F853-4E60-A5C1-8FDC38F74E0E}"/>
            </a:ext>
          </a:extLst>
        </xdr:cNvPr>
        <xdr:cNvSpPr txBox="1">
          <a:spLocks noChangeArrowheads="1"/>
        </xdr:cNvSpPr>
      </xdr:nvSpPr>
      <xdr:spPr>
        <a:xfrm>
          <a:off x="30343171" y="247188007"/>
          <a:ext cx="23723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694" name="テキスト 472">
          <a:extLst>
            <a:ext uri="{FF2B5EF4-FFF2-40B4-BE49-F238E27FC236}">
              <a16:creationId xmlns:a16="http://schemas.microsoft.com/office/drawing/2014/main" id="{6AE107C8-58A0-4CD6-B7A2-DDD6D7C08EC1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695" name="テキスト 642">
          <a:extLst>
            <a:ext uri="{FF2B5EF4-FFF2-40B4-BE49-F238E27FC236}">
              <a16:creationId xmlns:a16="http://schemas.microsoft.com/office/drawing/2014/main" id="{17C00FA5-3C2C-4592-88FF-D1B6B2A33EE2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696" name="テキスト 472">
          <a:extLst>
            <a:ext uri="{FF2B5EF4-FFF2-40B4-BE49-F238E27FC236}">
              <a16:creationId xmlns:a16="http://schemas.microsoft.com/office/drawing/2014/main" id="{E115A674-F37D-4CB1-9D0C-703D7602FEF3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891871</xdr:colOff>
      <xdr:row>443</xdr:row>
      <xdr:rowOff>385732</xdr:rowOff>
    </xdr:from>
    <xdr:to>
      <xdr:col>18</xdr:col>
      <xdr:colOff>168611</xdr:colOff>
      <xdr:row>443</xdr:row>
      <xdr:rowOff>385732</xdr:rowOff>
    </xdr:to>
    <xdr:sp macro="" textlink="">
      <xdr:nvSpPr>
        <xdr:cNvPr id="697" name="テキスト 472">
          <a:extLst>
            <a:ext uri="{FF2B5EF4-FFF2-40B4-BE49-F238E27FC236}">
              <a16:creationId xmlns:a16="http://schemas.microsoft.com/office/drawing/2014/main" id="{A128CD58-10A0-4242-8D74-59E290804C15}"/>
            </a:ext>
          </a:extLst>
        </xdr:cNvPr>
        <xdr:cNvSpPr txBox="1">
          <a:spLocks noChangeArrowheads="1"/>
        </xdr:cNvSpPr>
      </xdr:nvSpPr>
      <xdr:spPr>
        <a:xfrm>
          <a:off x="30343171" y="247188007"/>
          <a:ext cx="23723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698" name="テキスト 472">
          <a:extLst>
            <a:ext uri="{FF2B5EF4-FFF2-40B4-BE49-F238E27FC236}">
              <a16:creationId xmlns:a16="http://schemas.microsoft.com/office/drawing/2014/main" id="{25879B57-AF93-4992-916E-B0CD411BBBEF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699" name="テキスト 642">
          <a:extLst>
            <a:ext uri="{FF2B5EF4-FFF2-40B4-BE49-F238E27FC236}">
              <a16:creationId xmlns:a16="http://schemas.microsoft.com/office/drawing/2014/main" id="{1849BFFA-2030-468A-A695-22DA568F4010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00" name="テキスト 472">
          <a:extLst>
            <a:ext uri="{FF2B5EF4-FFF2-40B4-BE49-F238E27FC236}">
              <a16:creationId xmlns:a16="http://schemas.microsoft.com/office/drawing/2014/main" id="{1DF9A60A-BC12-473A-B63A-81C31DC4A4D6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891871</xdr:colOff>
      <xdr:row>443</xdr:row>
      <xdr:rowOff>385732</xdr:rowOff>
    </xdr:from>
    <xdr:to>
      <xdr:col>18</xdr:col>
      <xdr:colOff>168611</xdr:colOff>
      <xdr:row>443</xdr:row>
      <xdr:rowOff>385732</xdr:rowOff>
    </xdr:to>
    <xdr:sp macro="" textlink="">
      <xdr:nvSpPr>
        <xdr:cNvPr id="701" name="テキスト 472">
          <a:extLst>
            <a:ext uri="{FF2B5EF4-FFF2-40B4-BE49-F238E27FC236}">
              <a16:creationId xmlns:a16="http://schemas.microsoft.com/office/drawing/2014/main" id="{AF0CD93D-A97B-43E6-BB78-E1D2D65C24F0}"/>
            </a:ext>
          </a:extLst>
        </xdr:cNvPr>
        <xdr:cNvSpPr txBox="1">
          <a:spLocks noChangeArrowheads="1"/>
        </xdr:cNvSpPr>
      </xdr:nvSpPr>
      <xdr:spPr>
        <a:xfrm>
          <a:off x="30343171" y="247188007"/>
          <a:ext cx="23723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02" name="テキスト 472">
          <a:extLst>
            <a:ext uri="{FF2B5EF4-FFF2-40B4-BE49-F238E27FC236}">
              <a16:creationId xmlns:a16="http://schemas.microsoft.com/office/drawing/2014/main" id="{032CBFFD-ABDA-4C02-BE66-8A3DC0312BAC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03" name="テキスト 642">
          <a:extLst>
            <a:ext uri="{FF2B5EF4-FFF2-40B4-BE49-F238E27FC236}">
              <a16:creationId xmlns:a16="http://schemas.microsoft.com/office/drawing/2014/main" id="{A189DB5E-398E-4C7B-9A46-B94ECEEDB4C4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04" name="テキスト 472">
          <a:extLst>
            <a:ext uri="{FF2B5EF4-FFF2-40B4-BE49-F238E27FC236}">
              <a16:creationId xmlns:a16="http://schemas.microsoft.com/office/drawing/2014/main" id="{9D834F3C-7FB1-4849-BDE7-5172E91402D6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18</xdr:col>
      <xdr:colOff>300061</xdr:colOff>
      <xdr:row>438</xdr:row>
      <xdr:rowOff>184730</xdr:rowOff>
    </xdr:from>
    <xdr:to>
      <xdr:col>18</xdr:col>
      <xdr:colOff>484792</xdr:colOff>
      <xdr:row>439</xdr:row>
      <xdr:rowOff>54683</xdr:rowOff>
    </xdr:to>
    <xdr:sp macro="" textlink="">
      <xdr:nvSpPr>
        <xdr:cNvPr id="705" name="文本框 6">
          <a:extLst>
            <a:ext uri="{FF2B5EF4-FFF2-40B4-BE49-F238E27FC236}">
              <a16:creationId xmlns:a16="http://schemas.microsoft.com/office/drawing/2014/main" id="{565D6445-7A81-460E-A87F-5F9942808435}"/>
            </a:ext>
          </a:extLst>
        </xdr:cNvPr>
        <xdr:cNvSpPr txBox="1"/>
      </xdr:nvSpPr>
      <xdr:spPr>
        <a:xfrm>
          <a:off x="32846986" y="244272380"/>
          <a:ext cx="184731" cy="4128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zh-CN" altLang="en-US" sz="1100"/>
        </a:p>
      </xdr:txBody>
    </xdr:sp>
    <xdr:clientData/>
  </xdr:twoCellAnchor>
  <xdr:twoCellAnchor>
    <xdr:from>
      <xdr:col>17</xdr:col>
      <xdr:colOff>891871</xdr:colOff>
      <xdr:row>443</xdr:row>
      <xdr:rowOff>385732</xdr:rowOff>
    </xdr:from>
    <xdr:to>
      <xdr:col>18</xdr:col>
      <xdr:colOff>168611</xdr:colOff>
      <xdr:row>443</xdr:row>
      <xdr:rowOff>385732</xdr:rowOff>
    </xdr:to>
    <xdr:sp macro="" textlink="">
      <xdr:nvSpPr>
        <xdr:cNvPr id="706" name="テキスト 472">
          <a:extLst>
            <a:ext uri="{FF2B5EF4-FFF2-40B4-BE49-F238E27FC236}">
              <a16:creationId xmlns:a16="http://schemas.microsoft.com/office/drawing/2014/main" id="{430EB2F0-4904-48B7-974A-F9F4975B7147}"/>
            </a:ext>
          </a:extLst>
        </xdr:cNvPr>
        <xdr:cNvSpPr txBox="1">
          <a:spLocks noChangeArrowheads="1"/>
        </xdr:cNvSpPr>
      </xdr:nvSpPr>
      <xdr:spPr>
        <a:xfrm>
          <a:off x="30343171" y="247188007"/>
          <a:ext cx="23723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07" name="テキスト 472">
          <a:extLst>
            <a:ext uri="{FF2B5EF4-FFF2-40B4-BE49-F238E27FC236}">
              <a16:creationId xmlns:a16="http://schemas.microsoft.com/office/drawing/2014/main" id="{381FD921-14C1-4178-8A20-BB7AFB110BF2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08" name="テキスト 642">
          <a:extLst>
            <a:ext uri="{FF2B5EF4-FFF2-40B4-BE49-F238E27FC236}">
              <a16:creationId xmlns:a16="http://schemas.microsoft.com/office/drawing/2014/main" id="{C67BC2C2-0C21-4107-A8F7-51CF1254D3BD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09" name="テキスト 472">
          <a:extLst>
            <a:ext uri="{FF2B5EF4-FFF2-40B4-BE49-F238E27FC236}">
              <a16:creationId xmlns:a16="http://schemas.microsoft.com/office/drawing/2014/main" id="{2DA06CDC-BE9C-49B3-A1B7-E84A0269A5BA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891871</xdr:colOff>
      <xdr:row>443</xdr:row>
      <xdr:rowOff>385732</xdr:rowOff>
    </xdr:from>
    <xdr:to>
      <xdr:col>18</xdr:col>
      <xdr:colOff>168611</xdr:colOff>
      <xdr:row>443</xdr:row>
      <xdr:rowOff>385732</xdr:rowOff>
    </xdr:to>
    <xdr:sp macro="" textlink="">
      <xdr:nvSpPr>
        <xdr:cNvPr id="710" name="テキスト 472">
          <a:extLst>
            <a:ext uri="{FF2B5EF4-FFF2-40B4-BE49-F238E27FC236}">
              <a16:creationId xmlns:a16="http://schemas.microsoft.com/office/drawing/2014/main" id="{73657843-64AE-48A8-B48E-40E0933052F7}"/>
            </a:ext>
          </a:extLst>
        </xdr:cNvPr>
        <xdr:cNvSpPr txBox="1">
          <a:spLocks noChangeArrowheads="1"/>
        </xdr:cNvSpPr>
      </xdr:nvSpPr>
      <xdr:spPr>
        <a:xfrm>
          <a:off x="30343171" y="247188007"/>
          <a:ext cx="23723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11" name="テキスト 472">
          <a:extLst>
            <a:ext uri="{FF2B5EF4-FFF2-40B4-BE49-F238E27FC236}">
              <a16:creationId xmlns:a16="http://schemas.microsoft.com/office/drawing/2014/main" id="{0DF80AAA-F0A9-47AA-9B1A-960FD1202A4D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12" name="テキスト 642">
          <a:extLst>
            <a:ext uri="{FF2B5EF4-FFF2-40B4-BE49-F238E27FC236}">
              <a16:creationId xmlns:a16="http://schemas.microsoft.com/office/drawing/2014/main" id="{F0890F69-CDE9-4F4F-993D-2800CA1066DC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13" name="テキスト 472">
          <a:extLst>
            <a:ext uri="{FF2B5EF4-FFF2-40B4-BE49-F238E27FC236}">
              <a16:creationId xmlns:a16="http://schemas.microsoft.com/office/drawing/2014/main" id="{2BB0874F-6D1C-4C5A-9584-114CBFD1BDC3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891871</xdr:colOff>
      <xdr:row>443</xdr:row>
      <xdr:rowOff>385732</xdr:rowOff>
    </xdr:from>
    <xdr:to>
      <xdr:col>18</xdr:col>
      <xdr:colOff>168611</xdr:colOff>
      <xdr:row>443</xdr:row>
      <xdr:rowOff>385732</xdr:rowOff>
    </xdr:to>
    <xdr:sp macro="" textlink="">
      <xdr:nvSpPr>
        <xdr:cNvPr id="714" name="テキスト 472">
          <a:extLst>
            <a:ext uri="{FF2B5EF4-FFF2-40B4-BE49-F238E27FC236}">
              <a16:creationId xmlns:a16="http://schemas.microsoft.com/office/drawing/2014/main" id="{DE9EB7EA-AB6F-4C41-9F40-A812537D6D3B}"/>
            </a:ext>
          </a:extLst>
        </xdr:cNvPr>
        <xdr:cNvSpPr txBox="1">
          <a:spLocks noChangeArrowheads="1"/>
        </xdr:cNvSpPr>
      </xdr:nvSpPr>
      <xdr:spPr>
        <a:xfrm>
          <a:off x="30343171" y="247188007"/>
          <a:ext cx="23723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15" name="テキスト 472">
          <a:extLst>
            <a:ext uri="{FF2B5EF4-FFF2-40B4-BE49-F238E27FC236}">
              <a16:creationId xmlns:a16="http://schemas.microsoft.com/office/drawing/2014/main" id="{2D02F6E9-FE55-4EFB-A599-B5485DC425BA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16" name="テキスト 642">
          <a:extLst>
            <a:ext uri="{FF2B5EF4-FFF2-40B4-BE49-F238E27FC236}">
              <a16:creationId xmlns:a16="http://schemas.microsoft.com/office/drawing/2014/main" id="{377A0665-554A-4F48-BD84-9610EF08C720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17" name="テキスト 472">
          <a:extLst>
            <a:ext uri="{FF2B5EF4-FFF2-40B4-BE49-F238E27FC236}">
              <a16:creationId xmlns:a16="http://schemas.microsoft.com/office/drawing/2014/main" id="{38838BCA-B43B-422F-B5F4-5F2E1600E1AF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891871</xdr:colOff>
      <xdr:row>443</xdr:row>
      <xdr:rowOff>385732</xdr:rowOff>
    </xdr:from>
    <xdr:to>
      <xdr:col>18</xdr:col>
      <xdr:colOff>168611</xdr:colOff>
      <xdr:row>443</xdr:row>
      <xdr:rowOff>385732</xdr:rowOff>
    </xdr:to>
    <xdr:sp macro="" textlink="">
      <xdr:nvSpPr>
        <xdr:cNvPr id="718" name="テキスト 472">
          <a:extLst>
            <a:ext uri="{FF2B5EF4-FFF2-40B4-BE49-F238E27FC236}">
              <a16:creationId xmlns:a16="http://schemas.microsoft.com/office/drawing/2014/main" id="{C20E00B4-1F63-48B4-BBDE-287CED9D7FD7}"/>
            </a:ext>
          </a:extLst>
        </xdr:cNvPr>
        <xdr:cNvSpPr txBox="1">
          <a:spLocks noChangeArrowheads="1"/>
        </xdr:cNvSpPr>
      </xdr:nvSpPr>
      <xdr:spPr>
        <a:xfrm>
          <a:off x="30343171" y="247188007"/>
          <a:ext cx="23723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19" name="テキスト 472">
          <a:extLst>
            <a:ext uri="{FF2B5EF4-FFF2-40B4-BE49-F238E27FC236}">
              <a16:creationId xmlns:a16="http://schemas.microsoft.com/office/drawing/2014/main" id="{75EFB0BC-84E0-4036-A8B5-4FE28B4C5973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20" name="テキスト 642">
          <a:extLst>
            <a:ext uri="{FF2B5EF4-FFF2-40B4-BE49-F238E27FC236}">
              <a16:creationId xmlns:a16="http://schemas.microsoft.com/office/drawing/2014/main" id="{80997CBE-0A1D-4214-A18A-565566DE6BCF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21" name="テキスト 472">
          <a:extLst>
            <a:ext uri="{FF2B5EF4-FFF2-40B4-BE49-F238E27FC236}">
              <a16:creationId xmlns:a16="http://schemas.microsoft.com/office/drawing/2014/main" id="{24F2D072-2B15-4480-AFC4-61D7A5C76D16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891871</xdr:colOff>
      <xdr:row>443</xdr:row>
      <xdr:rowOff>385732</xdr:rowOff>
    </xdr:from>
    <xdr:to>
      <xdr:col>18</xdr:col>
      <xdr:colOff>168611</xdr:colOff>
      <xdr:row>443</xdr:row>
      <xdr:rowOff>385732</xdr:rowOff>
    </xdr:to>
    <xdr:sp macro="" textlink="">
      <xdr:nvSpPr>
        <xdr:cNvPr id="722" name="テキスト 472">
          <a:extLst>
            <a:ext uri="{FF2B5EF4-FFF2-40B4-BE49-F238E27FC236}">
              <a16:creationId xmlns:a16="http://schemas.microsoft.com/office/drawing/2014/main" id="{5CC8B6B0-D0EC-4135-829D-DA7E3ABA8E61}"/>
            </a:ext>
          </a:extLst>
        </xdr:cNvPr>
        <xdr:cNvSpPr txBox="1">
          <a:spLocks noChangeArrowheads="1"/>
        </xdr:cNvSpPr>
      </xdr:nvSpPr>
      <xdr:spPr>
        <a:xfrm>
          <a:off x="30343171" y="247188007"/>
          <a:ext cx="23723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23" name="テキスト 472">
          <a:extLst>
            <a:ext uri="{FF2B5EF4-FFF2-40B4-BE49-F238E27FC236}">
              <a16:creationId xmlns:a16="http://schemas.microsoft.com/office/drawing/2014/main" id="{B99F1E93-C5B2-4249-91CE-821BB082CF2B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24" name="テキスト 642">
          <a:extLst>
            <a:ext uri="{FF2B5EF4-FFF2-40B4-BE49-F238E27FC236}">
              <a16:creationId xmlns:a16="http://schemas.microsoft.com/office/drawing/2014/main" id="{9EBE9A4B-ACD1-4B22-A6E5-E0D4E8B92BC7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25" name="テキスト 472">
          <a:extLst>
            <a:ext uri="{FF2B5EF4-FFF2-40B4-BE49-F238E27FC236}">
              <a16:creationId xmlns:a16="http://schemas.microsoft.com/office/drawing/2014/main" id="{9B4BF1C2-7A45-47BF-81CD-499A1B21DE07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891871</xdr:colOff>
      <xdr:row>443</xdr:row>
      <xdr:rowOff>385732</xdr:rowOff>
    </xdr:from>
    <xdr:to>
      <xdr:col>18</xdr:col>
      <xdr:colOff>168611</xdr:colOff>
      <xdr:row>443</xdr:row>
      <xdr:rowOff>385732</xdr:rowOff>
    </xdr:to>
    <xdr:sp macro="" textlink="">
      <xdr:nvSpPr>
        <xdr:cNvPr id="726" name="テキスト 472">
          <a:extLst>
            <a:ext uri="{FF2B5EF4-FFF2-40B4-BE49-F238E27FC236}">
              <a16:creationId xmlns:a16="http://schemas.microsoft.com/office/drawing/2014/main" id="{75E8C302-DAFB-46A2-A83F-6C7B375BB35F}"/>
            </a:ext>
          </a:extLst>
        </xdr:cNvPr>
        <xdr:cNvSpPr txBox="1">
          <a:spLocks noChangeArrowheads="1"/>
        </xdr:cNvSpPr>
      </xdr:nvSpPr>
      <xdr:spPr>
        <a:xfrm>
          <a:off x="30343171" y="247188007"/>
          <a:ext cx="23723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27" name="テキスト 472">
          <a:extLst>
            <a:ext uri="{FF2B5EF4-FFF2-40B4-BE49-F238E27FC236}">
              <a16:creationId xmlns:a16="http://schemas.microsoft.com/office/drawing/2014/main" id="{9F26449F-E678-4652-AFEC-4832B5523D4D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28" name="テキスト 642">
          <a:extLst>
            <a:ext uri="{FF2B5EF4-FFF2-40B4-BE49-F238E27FC236}">
              <a16:creationId xmlns:a16="http://schemas.microsoft.com/office/drawing/2014/main" id="{19AFE61F-B7D8-426E-BC57-C13A7EF159F3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29" name="テキスト 472">
          <a:extLst>
            <a:ext uri="{FF2B5EF4-FFF2-40B4-BE49-F238E27FC236}">
              <a16:creationId xmlns:a16="http://schemas.microsoft.com/office/drawing/2014/main" id="{9E7592F8-63DC-4CE7-8DFF-3554A7E3F1BF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891871</xdr:colOff>
      <xdr:row>445</xdr:row>
      <xdr:rowOff>385732</xdr:rowOff>
    </xdr:from>
    <xdr:to>
      <xdr:col>18</xdr:col>
      <xdr:colOff>168611</xdr:colOff>
      <xdr:row>445</xdr:row>
      <xdr:rowOff>385732</xdr:rowOff>
    </xdr:to>
    <xdr:sp macro="" textlink="">
      <xdr:nvSpPr>
        <xdr:cNvPr id="730" name="テキスト 472">
          <a:extLst>
            <a:ext uri="{FF2B5EF4-FFF2-40B4-BE49-F238E27FC236}">
              <a16:creationId xmlns:a16="http://schemas.microsoft.com/office/drawing/2014/main" id="{F426529D-B4DA-4367-8A9D-81CD332501A1}"/>
            </a:ext>
          </a:extLst>
        </xdr:cNvPr>
        <xdr:cNvSpPr txBox="1">
          <a:spLocks noChangeArrowheads="1"/>
        </xdr:cNvSpPr>
      </xdr:nvSpPr>
      <xdr:spPr>
        <a:xfrm>
          <a:off x="30343171" y="248273857"/>
          <a:ext cx="23723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876631</xdr:colOff>
      <xdr:row>445</xdr:row>
      <xdr:rowOff>385732</xdr:rowOff>
    </xdr:from>
    <xdr:to>
      <xdr:col>18</xdr:col>
      <xdr:colOff>160991</xdr:colOff>
      <xdr:row>445</xdr:row>
      <xdr:rowOff>385732</xdr:rowOff>
    </xdr:to>
    <xdr:sp macro="" textlink="">
      <xdr:nvSpPr>
        <xdr:cNvPr id="731" name="テキスト 472">
          <a:extLst>
            <a:ext uri="{FF2B5EF4-FFF2-40B4-BE49-F238E27FC236}">
              <a16:creationId xmlns:a16="http://schemas.microsoft.com/office/drawing/2014/main" id="{EDEC0F25-241B-4866-8DC1-087FDF7584A3}"/>
            </a:ext>
          </a:extLst>
        </xdr:cNvPr>
        <xdr:cNvSpPr txBox="1">
          <a:spLocks noChangeArrowheads="1"/>
        </xdr:cNvSpPr>
      </xdr:nvSpPr>
      <xdr:spPr>
        <a:xfrm>
          <a:off x="30327931" y="24827385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876631</xdr:colOff>
      <xdr:row>445</xdr:row>
      <xdr:rowOff>385732</xdr:rowOff>
    </xdr:from>
    <xdr:to>
      <xdr:col>18</xdr:col>
      <xdr:colOff>160991</xdr:colOff>
      <xdr:row>445</xdr:row>
      <xdr:rowOff>385732</xdr:rowOff>
    </xdr:to>
    <xdr:sp macro="" textlink="">
      <xdr:nvSpPr>
        <xdr:cNvPr id="732" name="テキスト 642">
          <a:extLst>
            <a:ext uri="{FF2B5EF4-FFF2-40B4-BE49-F238E27FC236}">
              <a16:creationId xmlns:a16="http://schemas.microsoft.com/office/drawing/2014/main" id="{C1010E4F-4878-4AB2-84D6-2802B65393B7}"/>
            </a:ext>
          </a:extLst>
        </xdr:cNvPr>
        <xdr:cNvSpPr txBox="1">
          <a:spLocks noChangeArrowheads="1"/>
        </xdr:cNvSpPr>
      </xdr:nvSpPr>
      <xdr:spPr>
        <a:xfrm>
          <a:off x="30327931" y="24827385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876631</xdr:colOff>
      <xdr:row>445</xdr:row>
      <xdr:rowOff>385732</xdr:rowOff>
    </xdr:from>
    <xdr:to>
      <xdr:col>18</xdr:col>
      <xdr:colOff>160991</xdr:colOff>
      <xdr:row>445</xdr:row>
      <xdr:rowOff>385732</xdr:rowOff>
    </xdr:to>
    <xdr:sp macro="" textlink="">
      <xdr:nvSpPr>
        <xdr:cNvPr id="733" name="テキスト 472">
          <a:extLst>
            <a:ext uri="{FF2B5EF4-FFF2-40B4-BE49-F238E27FC236}">
              <a16:creationId xmlns:a16="http://schemas.microsoft.com/office/drawing/2014/main" id="{EBEA32CE-D914-43E3-80A9-2D928CC50592}"/>
            </a:ext>
          </a:extLst>
        </xdr:cNvPr>
        <xdr:cNvSpPr txBox="1">
          <a:spLocks noChangeArrowheads="1"/>
        </xdr:cNvSpPr>
      </xdr:nvSpPr>
      <xdr:spPr>
        <a:xfrm>
          <a:off x="30327931" y="24827385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16</xdr:col>
      <xdr:colOff>244928</xdr:colOff>
      <xdr:row>442</xdr:row>
      <xdr:rowOff>351064</xdr:rowOff>
    </xdr:from>
    <xdr:to>
      <xdr:col>17</xdr:col>
      <xdr:colOff>1857375</xdr:colOff>
      <xdr:row>442</xdr:row>
      <xdr:rowOff>351064</xdr:rowOff>
    </xdr:to>
    <xdr:sp macro="" textlink="">
      <xdr:nvSpPr>
        <xdr:cNvPr id="734" name="テキスト 644">
          <a:extLst>
            <a:ext uri="{FF2B5EF4-FFF2-40B4-BE49-F238E27FC236}">
              <a16:creationId xmlns:a16="http://schemas.microsoft.com/office/drawing/2014/main" id="{1830C7DE-739A-41D8-9EEA-6BABC87FBD9C}"/>
            </a:ext>
          </a:extLst>
        </xdr:cNvPr>
        <xdr:cNvSpPr txBox="1">
          <a:spLocks noChangeArrowheads="1"/>
        </xdr:cNvSpPr>
      </xdr:nvSpPr>
      <xdr:spPr>
        <a:xfrm>
          <a:off x="27838853" y="246610414"/>
          <a:ext cx="346982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17</xdr:col>
      <xdr:colOff>906780</xdr:colOff>
      <xdr:row>442</xdr:row>
      <xdr:rowOff>351064</xdr:rowOff>
    </xdr:from>
    <xdr:to>
      <xdr:col>17</xdr:col>
      <xdr:colOff>2162175</xdr:colOff>
      <xdr:row>442</xdr:row>
      <xdr:rowOff>351064</xdr:rowOff>
    </xdr:to>
    <xdr:sp macro="" textlink="">
      <xdr:nvSpPr>
        <xdr:cNvPr id="735" name="テキスト 472">
          <a:extLst>
            <a:ext uri="{FF2B5EF4-FFF2-40B4-BE49-F238E27FC236}">
              <a16:creationId xmlns:a16="http://schemas.microsoft.com/office/drawing/2014/main" id="{BF16156A-9FB7-4C59-ABCA-FF3A224B3842}"/>
            </a:ext>
          </a:extLst>
        </xdr:cNvPr>
        <xdr:cNvSpPr txBox="1">
          <a:spLocks noChangeArrowheads="1"/>
        </xdr:cNvSpPr>
      </xdr:nvSpPr>
      <xdr:spPr>
        <a:xfrm>
          <a:off x="30358080" y="24661041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736" name="テキスト 472">
          <a:extLst>
            <a:ext uri="{FF2B5EF4-FFF2-40B4-BE49-F238E27FC236}">
              <a16:creationId xmlns:a16="http://schemas.microsoft.com/office/drawing/2014/main" id="{A780124A-4905-43FC-842B-662638C627EA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737" name="テキスト 642">
          <a:extLst>
            <a:ext uri="{FF2B5EF4-FFF2-40B4-BE49-F238E27FC236}">
              <a16:creationId xmlns:a16="http://schemas.microsoft.com/office/drawing/2014/main" id="{340E3919-F78E-4DB5-9EC6-F4C0A22B9688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738" name="テキスト 472">
          <a:extLst>
            <a:ext uri="{FF2B5EF4-FFF2-40B4-BE49-F238E27FC236}">
              <a16:creationId xmlns:a16="http://schemas.microsoft.com/office/drawing/2014/main" id="{FE442804-5EB1-48C8-A2C8-8804C936C8CD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16</xdr:col>
      <xdr:colOff>244928</xdr:colOff>
      <xdr:row>442</xdr:row>
      <xdr:rowOff>351064</xdr:rowOff>
    </xdr:from>
    <xdr:to>
      <xdr:col>17</xdr:col>
      <xdr:colOff>1857375</xdr:colOff>
      <xdr:row>442</xdr:row>
      <xdr:rowOff>351064</xdr:rowOff>
    </xdr:to>
    <xdr:sp macro="" textlink="">
      <xdr:nvSpPr>
        <xdr:cNvPr id="739" name="テキスト 644">
          <a:extLst>
            <a:ext uri="{FF2B5EF4-FFF2-40B4-BE49-F238E27FC236}">
              <a16:creationId xmlns:a16="http://schemas.microsoft.com/office/drawing/2014/main" id="{2DFC76A1-8881-4E5C-93B1-831D6B4222D9}"/>
            </a:ext>
          </a:extLst>
        </xdr:cNvPr>
        <xdr:cNvSpPr txBox="1">
          <a:spLocks noChangeArrowheads="1"/>
        </xdr:cNvSpPr>
      </xdr:nvSpPr>
      <xdr:spPr>
        <a:xfrm>
          <a:off x="27838853" y="246610414"/>
          <a:ext cx="346982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17</xdr:col>
      <xdr:colOff>906780</xdr:colOff>
      <xdr:row>442</xdr:row>
      <xdr:rowOff>351064</xdr:rowOff>
    </xdr:from>
    <xdr:to>
      <xdr:col>17</xdr:col>
      <xdr:colOff>2162175</xdr:colOff>
      <xdr:row>442</xdr:row>
      <xdr:rowOff>351064</xdr:rowOff>
    </xdr:to>
    <xdr:sp macro="" textlink="">
      <xdr:nvSpPr>
        <xdr:cNvPr id="740" name="テキスト 472">
          <a:extLst>
            <a:ext uri="{FF2B5EF4-FFF2-40B4-BE49-F238E27FC236}">
              <a16:creationId xmlns:a16="http://schemas.microsoft.com/office/drawing/2014/main" id="{4F14AACA-7490-4CFE-82F7-AB712028E386}"/>
            </a:ext>
          </a:extLst>
        </xdr:cNvPr>
        <xdr:cNvSpPr txBox="1">
          <a:spLocks noChangeArrowheads="1"/>
        </xdr:cNvSpPr>
      </xdr:nvSpPr>
      <xdr:spPr>
        <a:xfrm>
          <a:off x="30358080" y="24661041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741" name="テキスト 472">
          <a:extLst>
            <a:ext uri="{FF2B5EF4-FFF2-40B4-BE49-F238E27FC236}">
              <a16:creationId xmlns:a16="http://schemas.microsoft.com/office/drawing/2014/main" id="{124731F9-3529-4C21-8988-3F52836F18EA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742" name="テキスト 642">
          <a:extLst>
            <a:ext uri="{FF2B5EF4-FFF2-40B4-BE49-F238E27FC236}">
              <a16:creationId xmlns:a16="http://schemas.microsoft.com/office/drawing/2014/main" id="{AE9970F6-5699-4380-A4FB-680676E88D54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743" name="テキスト 472">
          <a:extLst>
            <a:ext uri="{FF2B5EF4-FFF2-40B4-BE49-F238E27FC236}">
              <a16:creationId xmlns:a16="http://schemas.microsoft.com/office/drawing/2014/main" id="{B91D1FA3-7300-4D02-989F-879D3DB9F35D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16</xdr:col>
      <xdr:colOff>244928</xdr:colOff>
      <xdr:row>443</xdr:row>
      <xdr:rowOff>385732</xdr:rowOff>
    </xdr:from>
    <xdr:to>
      <xdr:col>17</xdr:col>
      <xdr:colOff>2163418</xdr:colOff>
      <xdr:row>443</xdr:row>
      <xdr:rowOff>385732</xdr:rowOff>
    </xdr:to>
    <xdr:sp macro="" textlink="">
      <xdr:nvSpPr>
        <xdr:cNvPr id="744" name="テキスト 644">
          <a:extLst>
            <a:ext uri="{FF2B5EF4-FFF2-40B4-BE49-F238E27FC236}">
              <a16:creationId xmlns:a16="http://schemas.microsoft.com/office/drawing/2014/main" id="{43D05595-AA80-4032-B885-9045A631F65F}"/>
            </a:ext>
          </a:extLst>
        </xdr:cNvPr>
        <xdr:cNvSpPr txBox="1">
          <a:spLocks noChangeArrowheads="1"/>
        </xdr:cNvSpPr>
      </xdr:nvSpPr>
      <xdr:spPr>
        <a:xfrm>
          <a:off x="27838853" y="247188007"/>
          <a:ext cx="37758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17</xdr:col>
      <xdr:colOff>891871</xdr:colOff>
      <xdr:row>443</xdr:row>
      <xdr:rowOff>385732</xdr:rowOff>
    </xdr:from>
    <xdr:to>
      <xdr:col>18</xdr:col>
      <xdr:colOff>168611</xdr:colOff>
      <xdr:row>443</xdr:row>
      <xdr:rowOff>385732</xdr:rowOff>
    </xdr:to>
    <xdr:sp macro="" textlink="">
      <xdr:nvSpPr>
        <xdr:cNvPr id="745" name="テキスト 472">
          <a:extLst>
            <a:ext uri="{FF2B5EF4-FFF2-40B4-BE49-F238E27FC236}">
              <a16:creationId xmlns:a16="http://schemas.microsoft.com/office/drawing/2014/main" id="{61B4E46F-9AAB-477A-813B-3E14CBC8A174}"/>
            </a:ext>
          </a:extLst>
        </xdr:cNvPr>
        <xdr:cNvSpPr txBox="1">
          <a:spLocks noChangeArrowheads="1"/>
        </xdr:cNvSpPr>
      </xdr:nvSpPr>
      <xdr:spPr>
        <a:xfrm>
          <a:off x="30343171" y="247188007"/>
          <a:ext cx="23723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46" name="テキスト 472">
          <a:extLst>
            <a:ext uri="{FF2B5EF4-FFF2-40B4-BE49-F238E27FC236}">
              <a16:creationId xmlns:a16="http://schemas.microsoft.com/office/drawing/2014/main" id="{7953EA6B-2A29-44BE-B394-F14DF25E83CB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47" name="テキスト 642">
          <a:extLst>
            <a:ext uri="{FF2B5EF4-FFF2-40B4-BE49-F238E27FC236}">
              <a16:creationId xmlns:a16="http://schemas.microsoft.com/office/drawing/2014/main" id="{CD02CD0F-FCDB-46D2-B00A-814022EF3E06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48" name="テキスト 472">
          <a:extLst>
            <a:ext uri="{FF2B5EF4-FFF2-40B4-BE49-F238E27FC236}">
              <a16:creationId xmlns:a16="http://schemas.microsoft.com/office/drawing/2014/main" id="{E4E01D8C-0E6F-4734-9BA7-AF4CA336F181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16</xdr:col>
      <xdr:colOff>1164912</xdr:colOff>
      <xdr:row>443</xdr:row>
      <xdr:rowOff>6630</xdr:rowOff>
    </xdr:from>
    <xdr:to>
      <xdr:col>17</xdr:col>
      <xdr:colOff>739085</xdr:colOff>
      <xdr:row>443</xdr:row>
      <xdr:rowOff>340413</xdr:rowOff>
    </xdr:to>
    <xdr:sp macro="" textlink="">
      <xdr:nvSpPr>
        <xdr:cNvPr id="749" name="sec">
          <a:extLst>
            <a:ext uri="{FF2B5EF4-FFF2-40B4-BE49-F238E27FC236}">
              <a16:creationId xmlns:a16="http://schemas.microsoft.com/office/drawing/2014/main" id="{9E0CD5EB-DB4F-45E6-9A19-955BCD9CDEF0}"/>
            </a:ext>
          </a:extLst>
        </xdr:cNvPr>
        <xdr:cNvSpPr txBox="1">
          <a:spLocks noChangeArrowheads="1"/>
        </xdr:cNvSpPr>
      </xdr:nvSpPr>
      <xdr:spPr bwMode="auto">
        <a:xfrm>
          <a:off x="28758837" y="246808905"/>
          <a:ext cx="1431548" cy="333783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ja-JP" altLang="en-US" sz="1000" b="0" i="0" u="sng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16</xdr:col>
      <xdr:colOff>244928</xdr:colOff>
      <xdr:row>442</xdr:row>
      <xdr:rowOff>351064</xdr:rowOff>
    </xdr:from>
    <xdr:to>
      <xdr:col>17</xdr:col>
      <xdr:colOff>1857375</xdr:colOff>
      <xdr:row>442</xdr:row>
      <xdr:rowOff>351064</xdr:rowOff>
    </xdr:to>
    <xdr:sp macro="" textlink="">
      <xdr:nvSpPr>
        <xdr:cNvPr id="750" name="テキスト 644">
          <a:extLst>
            <a:ext uri="{FF2B5EF4-FFF2-40B4-BE49-F238E27FC236}">
              <a16:creationId xmlns:a16="http://schemas.microsoft.com/office/drawing/2014/main" id="{DD138BFB-3EB4-4DF3-9246-9835BE5DB944}"/>
            </a:ext>
          </a:extLst>
        </xdr:cNvPr>
        <xdr:cNvSpPr txBox="1">
          <a:spLocks noChangeArrowheads="1"/>
        </xdr:cNvSpPr>
      </xdr:nvSpPr>
      <xdr:spPr>
        <a:xfrm>
          <a:off x="27838853" y="246610414"/>
          <a:ext cx="346982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17</xdr:col>
      <xdr:colOff>906780</xdr:colOff>
      <xdr:row>442</xdr:row>
      <xdr:rowOff>351064</xdr:rowOff>
    </xdr:from>
    <xdr:to>
      <xdr:col>17</xdr:col>
      <xdr:colOff>2162175</xdr:colOff>
      <xdr:row>442</xdr:row>
      <xdr:rowOff>351064</xdr:rowOff>
    </xdr:to>
    <xdr:sp macro="" textlink="">
      <xdr:nvSpPr>
        <xdr:cNvPr id="751" name="テキスト 472">
          <a:extLst>
            <a:ext uri="{FF2B5EF4-FFF2-40B4-BE49-F238E27FC236}">
              <a16:creationId xmlns:a16="http://schemas.microsoft.com/office/drawing/2014/main" id="{C7B367A6-64F6-4E46-B1E7-9EEB57CF1ACA}"/>
            </a:ext>
          </a:extLst>
        </xdr:cNvPr>
        <xdr:cNvSpPr txBox="1">
          <a:spLocks noChangeArrowheads="1"/>
        </xdr:cNvSpPr>
      </xdr:nvSpPr>
      <xdr:spPr>
        <a:xfrm>
          <a:off x="30358080" y="24661041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752" name="テキスト 472">
          <a:extLst>
            <a:ext uri="{FF2B5EF4-FFF2-40B4-BE49-F238E27FC236}">
              <a16:creationId xmlns:a16="http://schemas.microsoft.com/office/drawing/2014/main" id="{397311BB-3AC9-4979-ABF3-D3005F674622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753" name="テキスト 642">
          <a:extLst>
            <a:ext uri="{FF2B5EF4-FFF2-40B4-BE49-F238E27FC236}">
              <a16:creationId xmlns:a16="http://schemas.microsoft.com/office/drawing/2014/main" id="{9B2CA879-9C86-4734-BB8A-28D0A3204661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754" name="テキスト 472">
          <a:extLst>
            <a:ext uri="{FF2B5EF4-FFF2-40B4-BE49-F238E27FC236}">
              <a16:creationId xmlns:a16="http://schemas.microsoft.com/office/drawing/2014/main" id="{3DF4859A-2455-4AEE-8D0A-E8C3E5C438EF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16</xdr:col>
      <xdr:colOff>244928</xdr:colOff>
      <xdr:row>443</xdr:row>
      <xdr:rowOff>385732</xdr:rowOff>
    </xdr:from>
    <xdr:to>
      <xdr:col>17</xdr:col>
      <xdr:colOff>2163418</xdr:colOff>
      <xdr:row>443</xdr:row>
      <xdr:rowOff>385732</xdr:rowOff>
    </xdr:to>
    <xdr:sp macro="" textlink="">
      <xdr:nvSpPr>
        <xdr:cNvPr id="755" name="テキスト 644">
          <a:extLst>
            <a:ext uri="{FF2B5EF4-FFF2-40B4-BE49-F238E27FC236}">
              <a16:creationId xmlns:a16="http://schemas.microsoft.com/office/drawing/2014/main" id="{924675D8-4592-43FE-B5E6-580CC840030A}"/>
            </a:ext>
          </a:extLst>
        </xdr:cNvPr>
        <xdr:cNvSpPr txBox="1">
          <a:spLocks noChangeArrowheads="1"/>
        </xdr:cNvSpPr>
      </xdr:nvSpPr>
      <xdr:spPr>
        <a:xfrm>
          <a:off x="27838853" y="247188007"/>
          <a:ext cx="37758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17</xdr:col>
      <xdr:colOff>891871</xdr:colOff>
      <xdr:row>443</xdr:row>
      <xdr:rowOff>385732</xdr:rowOff>
    </xdr:from>
    <xdr:to>
      <xdr:col>18</xdr:col>
      <xdr:colOff>168611</xdr:colOff>
      <xdr:row>443</xdr:row>
      <xdr:rowOff>385732</xdr:rowOff>
    </xdr:to>
    <xdr:sp macro="" textlink="">
      <xdr:nvSpPr>
        <xdr:cNvPr id="756" name="テキスト 472">
          <a:extLst>
            <a:ext uri="{FF2B5EF4-FFF2-40B4-BE49-F238E27FC236}">
              <a16:creationId xmlns:a16="http://schemas.microsoft.com/office/drawing/2014/main" id="{96F492FA-FA21-4D34-BFD9-F58C036E05FF}"/>
            </a:ext>
          </a:extLst>
        </xdr:cNvPr>
        <xdr:cNvSpPr txBox="1">
          <a:spLocks noChangeArrowheads="1"/>
        </xdr:cNvSpPr>
      </xdr:nvSpPr>
      <xdr:spPr>
        <a:xfrm>
          <a:off x="30343171" y="247188007"/>
          <a:ext cx="23723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57" name="テキスト 472">
          <a:extLst>
            <a:ext uri="{FF2B5EF4-FFF2-40B4-BE49-F238E27FC236}">
              <a16:creationId xmlns:a16="http://schemas.microsoft.com/office/drawing/2014/main" id="{E247447F-46D7-4927-874F-9FCF5FFFF904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58" name="テキスト 642">
          <a:extLst>
            <a:ext uri="{FF2B5EF4-FFF2-40B4-BE49-F238E27FC236}">
              <a16:creationId xmlns:a16="http://schemas.microsoft.com/office/drawing/2014/main" id="{03E21774-BB12-47D0-AA5D-9B2023778AA0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59" name="テキスト 472">
          <a:extLst>
            <a:ext uri="{FF2B5EF4-FFF2-40B4-BE49-F238E27FC236}">
              <a16:creationId xmlns:a16="http://schemas.microsoft.com/office/drawing/2014/main" id="{7DD58E7E-80A9-40A0-B8D3-6202DE48F528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16</xdr:col>
      <xdr:colOff>671376</xdr:colOff>
      <xdr:row>439</xdr:row>
      <xdr:rowOff>201386</xdr:rowOff>
    </xdr:from>
    <xdr:to>
      <xdr:col>17</xdr:col>
      <xdr:colOff>214993</xdr:colOff>
      <xdr:row>439</xdr:row>
      <xdr:rowOff>201386</xdr:rowOff>
    </xdr:to>
    <xdr:sp macro="" textlink="">
      <xdr:nvSpPr>
        <xdr:cNvPr id="760" name="テキスト 472">
          <a:extLst>
            <a:ext uri="{FF2B5EF4-FFF2-40B4-BE49-F238E27FC236}">
              <a16:creationId xmlns:a16="http://schemas.microsoft.com/office/drawing/2014/main" id="{A5E5D568-0606-4AFA-AAE2-53DDC96F0CA7}"/>
            </a:ext>
          </a:extLst>
        </xdr:cNvPr>
        <xdr:cNvSpPr txBox="1">
          <a:spLocks noChangeArrowheads="1"/>
        </xdr:cNvSpPr>
      </xdr:nvSpPr>
      <xdr:spPr>
        <a:xfrm>
          <a:off x="28265301" y="244831961"/>
          <a:ext cx="140099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761" name="テキスト 472">
          <a:extLst>
            <a:ext uri="{FF2B5EF4-FFF2-40B4-BE49-F238E27FC236}">
              <a16:creationId xmlns:a16="http://schemas.microsoft.com/office/drawing/2014/main" id="{B322A8C5-6FC5-4CAB-9844-74C0A24B9313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762" name="テキスト 642">
          <a:extLst>
            <a:ext uri="{FF2B5EF4-FFF2-40B4-BE49-F238E27FC236}">
              <a16:creationId xmlns:a16="http://schemas.microsoft.com/office/drawing/2014/main" id="{E3EDCB93-1EF5-49E9-9FB7-88501B3A7548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763" name="テキスト 472">
          <a:extLst>
            <a:ext uri="{FF2B5EF4-FFF2-40B4-BE49-F238E27FC236}">
              <a16:creationId xmlns:a16="http://schemas.microsoft.com/office/drawing/2014/main" id="{FCD550EF-9E1D-4007-88EE-4A8B572F20A6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906780</xdr:colOff>
      <xdr:row>442</xdr:row>
      <xdr:rowOff>351064</xdr:rowOff>
    </xdr:from>
    <xdr:to>
      <xdr:col>17</xdr:col>
      <xdr:colOff>2162175</xdr:colOff>
      <xdr:row>442</xdr:row>
      <xdr:rowOff>351064</xdr:rowOff>
    </xdr:to>
    <xdr:sp macro="" textlink="">
      <xdr:nvSpPr>
        <xdr:cNvPr id="764" name="テキスト 472">
          <a:extLst>
            <a:ext uri="{FF2B5EF4-FFF2-40B4-BE49-F238E27FC236}">
              <a16:creationId xmlns:a16="http://schemas.microsoft.com/office/drawing/2014/main" id="{55F187AC-A10A-451F-B876-A8228F9E52E5}"/>
            </a:ext>
          </a:extLst>
        </xdr:cNvPr>
        <xdr:cNvSpPr txBox="1">
          <a:spLocks noChangeArrowheads="1"/>
        </xdr:cNvSpPr>
      </xdr:nvSpPr>
      <xdr:spPr>
        <a:xfrm>
          <a:off x="30358080" y="24661041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765" name="テキスト 472">
          <a:extLst>
            <a:ext uri="{FF2B5EF4-FFF2-40B4-BE49-F238E27FC236}">
              <a16:creationId xmlns:a16="http://schemas.microsoft.com/office/drawing/2014/main" id="{F656B213-F5DE-48F4-AD45-6C3B042126D8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766" name="テキスト 642">
          <a:extLst>
            <a:ext uri="{FF2B5EF4-FFF2-40B4-BE49-F238E27FC236}">
              <a16:creationId xmlns:a16="http://schemas.microsoft.com/office/drawing/2014/main" id="{5B6F14C5-EA83-49CB-AD10-6B1F0F3C384F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767" name="テキスト 472">
          <a:extLst>
            <a:ext uri="{FF2B5EF4-FFF2-40B4-BE49-F238E27FC236}">
              <a16:creationId xmlns:a16="http://schemas.microsoft.com/office/drawing/2014/main" id="{0DD0E12C-12A6-4033-8D5C-46203B9BF352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891871</xdr:colOff>
      <xdr:row>443</xdr:row>
      <xdr:rowOff>385732</xdr:rowOff>
    </xdr:from>
    <xdr:to>
      <xdr:col>18</xdr:col>
      <xdr:colOff>168611</xdr:colOff>
      <xdr:row>443</xdr:row>
      <xdr:rowOff>385732</xdr:rowOff>
    </xdr:to>
    <xdr:sp macro="" textlink="">
      <xdr:nvSpPr>
        <xdr:cNvPr id="768" name="テキスト 472">
          <a:extLst>
            <a:ext uri="{FF2B5EF4-FFF2-40B4-BE49-F238E27FC236}">
              <a16:creationId xmlns:a16="http://schemas.microsoft.com/office/drawing/2014/main" id="{020E11DB-FB3D-4EC0-B8C1-5517EA81ABD9}"/>
            </a:ext>
          </a:extLst>
        </xdr:cNvPr>
        <xdr:cNvSpPr txBox="1">
          <a:spLocks noChangeArrowheads="1"/>
        </xdr:cNvSpPr>
      </xdr:nvSpPr>
      <xdr:spPr>
        <a:xfrm>
          <a:off x="30343171" y="247188007"/>
          <a:ext cx="23723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69" name="テキスト 472">
          <a:extLst>
            <a:ext uri="{FF2B5EF4-FFF2-40B4-BE49-F238E27FC236}">
              <a16:creationId xmlns:a16="http://schemas.microsoft.com/office/drawing/2014/main" id="{C5BF6654-163B-4429-93C7-FC392D0B608E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70" name="テキスト 642">
          <a:extLst>
            <a:ext uri="{FF2B5EF4-FFF2-40B4-BE49-F238E27FC236}">
              <a16:creationId xmlns:a16="http://schemas.microsoft.com/office/drawing/2014/main" id="{FE7D82A3-BA44-4795-AEFC-670EE6F099D1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71" name="テキスト 472">
          <a:extLst>
            <a:ext uri="{FF2B5EF4-FFF2-40B4-BE49-F238E27FC236}">
              <a16:creationId xmlns:a16="http://schemas.microsoft.com/office/drawing/2014/main" id="{18D0A022-A2B8-435B-BBA7-01934121A4D3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16</xdr:col>
      <xdr:colOff>671376</xdr:colOff>
      <xdr:row>439</xdr:row>
      <xdr:rowOff>201386</xdr:rowOff>
    </xdr:from>
    <xdr:to>
      <xdr:col>17</xdr:col>
      <xdr:colOff>214993</xdr:colOff>
      <xdr:row>439</xdr:row>
      <xdr:rowOff>201386</xdr:rowOff>
    </xdr:to>
    <xdr:sp macro="" textlink="">
      <xdr:nvSpPr>
        <xdr:cNvPr id="772" name="テキスト 472">
          <a:extLst>
            <a:ext uri="{FF2B5EF4-FFF2-40B4-BE49-F238E27FC236}">
              <a16:creationId xmlns:a16="http://schemas.microsoft.com/office/drawing/2014/main" id="{81C3BA83-D425-4152-BA12-7494D3AB4F1C}"/>
            </a:ext>
          </a:extLst>
        </xdr:cNvPr>
        <xdr:cNvSpPr txBox="1">
          <a:spLocks noChangeArrowheads="1"/>
        </xdr:cNvSpPr>
      </xdr:nvSpPr>
      <xdr:spPr>
        <a:xfrm>
          <a:off x="28265301" y="244831961"/>
          <a:ext cx="140099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773" name="テキスト 472">
          <a:extLst>
            <a:ext uri="{FF2B5EF4-FFF2-40B4-BE49-F238E27FC236}">
              <a16:creationId xmlns:a16="http://schemas.microsoft.com/office/drawing/2014/main" id="{E1B30032-DA43-401E-93B9-036AE2AFD076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774" name="テキスト 642">
          <a:extLst>
            <a:ext uri="{FF2B5EF4-FFF2-40B4-BE49-F238E27FC236}">
              <a16:creationId xmlns:a16="http://schemas.microsoft.com/office/drawing/2014/main" id="{E6E69670-D9C9-4F1A-B87B-47A39B368B83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775" name="テキスト 472">
          <a:extLst>
            <a:ext uri="{FF2B5EF4-FFF2-40B4-BE49-F238E27FC236}">
              <a16:creationId xmlns:a16="http://schemas.microsoft.com/office/drawing/2014/main" id="{A6A26F7D-7E85-4452-9585-081A0068DE13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16</xdr:col>
      <xdr:colOff>244928</xdr:colOff>
      <xdr:row>442</xdr:row>
      <xdr:rowOff>351064</xdr:rowOff>
    </xdr:from>
    <xdr:to>
      <xdr:col>17</xdr:col>
      <xdr:colOff>1857375</xdr:colOff>
      <xdr:row>442</xdr:row>
      <xdr:rowOff>351064</xdr:rowOff>
    </xdr:to>
    <xdr:sp macro="" textlink="">
      <xdr:nvSpPr>
        <xdr:cNvPr id="776" name="テキスト 644">
          <a:extLst>
            <a:ext uri="{FF2B5EF4-FFF2-40B4-BE49-F238E27FC236}">
              <a16:creationId xmlns:a16="http://schemas.microsoft.com/office/drawing/2014/main" id="{1C7E4D25-A589-4743-A902-C9C899E660AB}"/>
            </a:ext>
          </a:extLst>
        </xdr:cNvPr>
        <xdr:cNvSpPr txBox="1">
          <a:spLocks noChangeArrowheads="1"/>
        </xdr:cNvSpPr>
      </xdr:nvSpPr>
      <xdr:spPr>
        <a:xfrm>
          <a:off x="27838853" y="246610414"/>
          <a:ext cx="346982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17</xdr:col>
      <xdr:colOff>906780</xdr:colOff>
      <xdr:row>442</xdr:row>
      <xdr:rowOff>351064</xdr:rowOff>
    </xdr:from>
    <xdr:to>
      <xdr:col>17</xdr:col>
      <xdr:colOff>2162175</xdr:colOff>
      <xdr:row>442</xdr:row>
      <xdr:rowOff>351064</xdr:rowOff>
    </xdr:to>
    <xdr:sp macro="" textlink="">
      <xdr:nvSpPr>
        <xdr:cNvPr id="777" name="テキスト 472">
          <a:extLst>
            <a:ext uri="{FF2B5EF4-FFF2-40B4-BE49-F238E27FC236}">
              <a16:creationId xmlns:a16="http://schemas.microsoft.com/office/drawing/2014/main" id="{32F4C4F2-3C9E-469F-8A45-CE18224FAF0A}"/>
            </a:ext>
          </a:extLst>
        </xdr:cNvPr>
        <xdr:cNvSpPr txBox="1">
          <a:spLocks noChangeArrowheads="1"/>
        </xdr:cNvSpPr>
      </xdr:nvSpPr>
      <xdr:spPr>
        <a:xfrm>
          <a:off x="30358080" y="24661041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778" name="テキスト 472">
          <a:extLst>
            <a:ext uri="{FF2B5EF4-FFF2-40B4-BE49-F238E27FC236}">
              <a16:creationId xmlns:a16="http://schemas.microsoft.com/office/drawing/2014/main" id="{2E395263-C365-480C-82E9-F3F3E57432B0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779" name="テキスト 642">
          <a:extLst>
            <a:ext uri="{FF2B5EF4-FFF2-40B4-BE49-F238E27FC236}">
              <a16:creationId xmlns:a16="http://schemas.microsoft.com/office/drawing/2014/main" id="{8CD4DCDF-BD0A-49FC-8103-B8D2AE86E693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780" name="テキスト 472">
          <a:extLst>
            <a:ext uri="{FF2B5EF4-FFF2-40B4-BE49-F238E27FC236}">
              <a16:creationId xmlns:a16="http://schemas.microsoft.com/office/drawing/2014/main" id="{1F92FF2C-FE19-4125-8373-DE801BC04CF7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16</xdr:col>
      <xdr:colOff>244928</xdr:colOff>
      <xdr:row>443</xdr:row>
      <xdr:rowOff>385732</xdr:rowOff>
    </xdr:from>
    <xdr:to>
      <xdr:col>17</xdr:col>
      <xdr:colOff>2163418</xdr:colOff>
      <xdr:row>443</xdr:row>
      <xdr:rowOff>385732</xdr:rowOff>
    </xdr:to>
    <xdr:sp macro="" textlink="">
      <xdr:nvSpPr>
        <xdr:cNvPr id="781" name="テキスト 644">
          <a:extLst>
            <a:ext uri="{FF2B5EF4-FFF2-40B4-BE49-F238E27FC236}">
              <a16:creationId xmlns:a16="http://schemas.microsoft.com/office/drawing/2014/main" id="{A94ED1C9-5B59-4F7F-BACD-DB40C534AAC2}"/>
            </a:ext>
          </a:extLst>
        </xdr:cNvPr>
        <xdr:cNvSpPr txBox="1">
          <a:spLocks noChangeArrowheads="1"/>
        </xdr:cNvSpPr>
      </xdr:nvSpPr>
      <xdr:spPr>
        <a:xfrm>
          <a:off x="27838853" y="247188007"/>
          <a:ext cx="37758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締付トルク</a:t>
          </a:r>
        </a:p>
      </xdr:txBody>
    </xdr:sp>
    <xdr:clientData/>
  </xdr:twoCellAnchor>
  <xdr:twoCellAnchor>
    <xdr:from>
      <xdr:col>17</xdr:col>
      <xdr:colOff>891871</xdr:colOff>
      <xdr:row>443</xdr:row>
      <xdr:rowOff>385732</xdr:rowOff>
    </xdr:from>
    <xdr:to>
      <xdr:col>18</xdr:col>
      <xdr:colOff>168611</xdr:colOff>
      <xdr:row>443</xdr:row>
      <xdr:rowOff>385732</xdr:rowOff>
    </xdr:to>
    <xdr:sp macro="" textlink="">
      <xdr:nvSpPr>
        <xdr:cNvPr id="782" name="テキスト 472">
          <a:extLst>
            <a:ext uri="{FF2B5EF4-FFF2-40B4-BE49-F238E27FC236}">
              <a16:creationId xmlns:a16="http://schemas.microsoft.com/office/drawing/2014/main" id="{7A656089-30A8-4F21-9AA9-7F7A4C6D680F}"/>
            </a:ext>
          </a:extLst>
        </xdr:cNvPr>
        <xdr:cNvSpPr txBox="1">
          <a:spLocks noChangeArrowheads="1"/>
        </xdr:cNvSpPr>
      </xdr:nvSpPr>
      <xdr:spPr>
        <a:xfrm>
          <a:off x="30343171" y="247188007"/>
          <a:ext cx="23723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83" name="テキスト 472">
          <a:extLst>
            <a:ext uri="{FF2B5EF4-FFF2-40B4-BE49-F238E27FC236}">
              <a16:creationId xmlns:a16="http://schemas.microsoft.com/office/drawing/2014/main" id="{2B6AFB60-F19C-4822-B8F9-7C36520F1250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84" name="テキスト 642">
          <a:extLst>
            <a:ext uri="{FF2B5EF4-FFF2-40B4-BE49-F238E27FC236}">
              <a16:creationId xmlns:a16="http://schemas.microsoft.com/office/drawing/2014/main" id="{1673EC0C-1A56-48DD-8A8C-B3A5FA4BBF11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85" name="テキスト 472">
          <a:extLst>
            <a:ext uri="{FF2B5EF4-FFF2-40B4-BE49-F238E27FC236}">
              <a16:creationId xmlns:a16="http://schemas.microsoft.com/office/drawing/2014/main" id="{7DAD4691-D39E-4EC1-8152-576D7D9EF5B1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16</xdr:col>
      <xdr:colOff>671376</xdr:colOff>
      <xdr:row>439</xdr:row>
      <xdr:rowOff>201386</xdr:rowOff>
    </xdr:from>
    <xdr:to>
      <xdr:col>17</xdr:col>
      <xdr:colOff>214993</xdr:colOff>
      <xdr:row>439</xdr:row>
      <xdr:rowOff>201386</xdr:rowOff>
    </xdr:to>
    <xdr:sp macro="" textlink="">
      <xdr:nvSpPr>
        <xdr:cNvPr id="786" name="テキスト 472">
          <a:extLst>
            <a:ext uri="{FF2B5EF4-FFF2-40B4-BE49-F238E27FC236}">
              <a16:creationId xmlns:a16="http://schemas.microsoft.com/office/drawing/2014/main" id="{ED5DA21E-3C8D-456E-AFC3-2600FD60C343}"/>
            </a:ext>
          </a:extLst>
        </xdr:cNvPr>
        <xdr:cNvSpPr txBox="1">
          <a:spLocks noChangeArrowheads="1"/>
        </xdr:cNvSpPr>
      </xdr:nvSpPr>
      <xdr:spPr>
        <a:xfrm>
          <a:off x="28265301" y="244831961"/>
          <a:ext cx="140099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787" name="テキスト 472">
          <a:extLst>
            <a:ext uri="{FF2B5EF4-FFF2-40B4-BE49-F238E27FC236}">
              <a16:creationId xmlns:a16="http://schemas.microsoft.com/office/drawing/2014/main" id="{524F8FF6-8C55-45AF-9D3D-FCB059842F96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788" name="テキスト 642">
          <a:extLst>
            <a:ext uri="{FF2B5EF4-FFF2-40B4-BE49-F238E27FC236}">
              <a16:creationId xmlns:a16="http://schemas.microsoft.com/office/drawing/2014/main" id="{BAA66661-EF0D-4361-B3D1-449BF5749A4F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789" name="テキスト 472">
          <a:extLst>
            <a:ext uri="{FF2B5EF4-FFF2-40B4-BE49-F238E27FC236}">
              <a16:creationId xmlns:a16="http://schemas.microsoft.com/office/drawing/2014/main" id="{D4CA14F5-9516-4870-9865-11FE0C85A6F1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906780</xdr:colOff>
      <xdr:row>442</xdr:row>
      <xdr:rowOff>351064</xdr:rowOff>
    </xdr:from>
    <xdr:to>
      <xdr:col>17</xdr:col>
      <xdr:colOff>2162175</xdr:colOff>
      <xdr:row>442</xdr:row>
      <xdr:rowOff>351064</xdr:rowOff>
    </xdr:to>
    <xdr:sp macro="" textlink="">
      <xdr:nvSpPr>
        <xdr:cNvPr id="790" name="テキスト 472">
          <a:extLst>
            <a:ext uri="{FF2B5EF4-FFF2-40B4-BE49-F238E27FC236}">
              <a16:creationId xmlns:a16="http://schemas.microsoft.com/office/drawing/2014/main" id="{A8B6D818-4CE1-4803-9513-38F077AFA02A}"/>
            </a:ext>
          </a:extLst>
        </xdr:cNvPr>
        <xdr:cNvSpPr txBox="1">
          <a:spLocks noChangeArrowheads="1"/>
        </xdr:cNvSpPr>
      </xdr:nvSpPr>
      <xdr:spPr>
        <a:xfrm>
          <a:off x="30358080" y="24661041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791" name="テキスト 472">
          <a:extLst>
            <a:ext uri="{FF2B5EF4-FFF2-40B4-BE49-F238E27FC236}">
              <a16:creationId xmlns:a16="http://schemas.microsoft.com/office/drawing/2014/main" id="{3E24227D-FAA2-42E9-B824-594230C576D4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792" name="テキスト 642">
          <a:extLst>
            <a:ext uri="{FF2B5EF4-FFF2-40B4-BE49-F238E27FC236}">
              <a16:creationId xmlns:a16="http://schemas.microsoft.com/office/drawing/2014/main" id="{05E6B028-EA3E-47CB-862C-1AE405A7A289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793" name="テキスト 472">
          <a:extLst>
            <a:ext uri="{FF2B5EF4-FFF2-40B4-BE49-F238E27FC236}">
              <a16:creationId xmlns:a16="http://schemas.microsoft.com/office/drawing/2014/main" id="{4C62F9F1-20FA-4738-8A64-809F779F219C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891871</xdr:colOff>
      <xdr:row>443</xdr:row>
      <xdr:rowOff>385732</xdr:rowOff>
    </xdr:from>
    <xdr:to>
      <xdr:col>18</xdr:col>
      <xdr:colOff>168611</xdr:colOff>
      <xdr:row>443</xdr:row>
      <xdr:rowOff>385732</xdr:rowOff>
    </xdr:to>
    <xdr:sp macro="" textlink="">
      <xdr:nvSpPr>
        <xdr:cNvPr id="794" name="テキスト 472">
          <a:extLst>
            <a:ext uri="{FF2B5EF4-FFF2-40B4-BE49-F238E27FC236}">
              <a16:creationId xmlns:a16="http://schemas.microsoft.com/office/drawing/2014/main" id="{DF9E4FDB-249B-41DD-8CFE-4015BB15FAEE}"/>
            </a:ext>
          </a:extLst>
        </xdr:cNvPr>
        <xdr:cNvSpPr txBox="1">
          <a:spLocks noChangeArrowheads="1"/>
        </xdr:cNvSpPr>
      </xdr:nvSpPr>
      <xdr:spPr>
        <a:xfrm>
          <a:off x="30343171" y="247188007"/>
          <a:ext cx="23723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95" name="テキスト 472">
          <a:extLst>
            <a:ext uri="{FF2B5EF4-FFF2-40B4-BE49-F238E27FC236}">
              <a16:creationId xmlns:a16="http://schemas.microsoft.com/office/drawing/2014/main" id="{EE3BF2FF-E239-4403-B52A-2205A314AA7D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96" name="テキスト 642">
          <a:extLst>
            <a:ext uri="{FF2B5EF4-FFF2-40B4-BE49-F238E27FC236}">
              <a16:creationId xmlns:a16="http://schemas.microsoft.com/office/drawing/2014/main" id="{B2E7BDE5-872C-4B99-892D-AD3A28D3E6B3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797" name="テキスト 472">
          <a:extLst>
            <a:ext uri="{FF2B5EF4-FFF2-40B4-BE49-F238E27FC236}">
              <a16:creationId xmlns:a16="http://schemas.microsoft.com/office/drawing/2014/main" id="{DE0E9666-15B6-4BEE-83DB-5406467A42D2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16</xdr:col>
      <xdr:colOff>671376</xdr:colOff>
      <xdr:row>439</xdr:row>
      <xdr:rowOff>201386</xdr:rowOff>
    </xdr:from>
    <xdr:to>
      <xdr:col>17</xdr:col>
      <xdr:colOff>214993</xdr:colOff>
      <xdr:row>439</xdr:row>
      <xdr:rowOff>201386</xdr:rowOff>
    </xdr:to>
    <xdr:sp macro="" textlink="">
      <xdr:nvSpPr>
        <xdr:cNvPr id="798" name="テキスト 472">
          <a:extLst>
            <a:ext uri="{FF2B5EF4-FFF2-40B4-BE49-F238E27FC236}">
              <a16:creationId xmlns:a16="http://schemas.microsoft.com/office/drawing/2014/main" id="{E9AD56D4-0D85-43A0-A3F6-BE4C063E8D6C}"/>
            </a:ext>
          </a:extLst>
        </xdr:cNvPr>
        <xdr:cNvSpPr txBox="1">
          <a:spLocks noChangeArrowheads="1"/>
        </xdr:cNvSpPr>
      </xdr:nvSpPr>
      <xdr:spPr>
        <a:xfrm>
          <a:off x="28265301" y="244831961"/>
          <a:ext cx="140099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799" name="テキスト 472">
          <a:extLst>
            <a:ext uri="{FF2B5EF4-FFF2-40B4-BE49-F238E27FC236}">
              <a16:creationId xmlns:a16="http://schemas.microsoft.com/office/drawing/2014/main" id="{2C7DFB1C-6C84-40E7-B85F-F655B6BB4EF7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800" name="テキスト 642">
          <a:extLst>
            <a:ext uri="{FF2B5EF4-FFF2-40B4-BE49-F238E27FC236}">
              <a16:creationId xmlns:a16="http://schemas.microsoft.com/office/drawing/2014/main" id="{720FD454-F892-4257-A3AC-770DC8F77140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801" name="テキスト 472">
          <a:extLst>
            <a:ext uri="{FF2B5EF4-FFF2-40B4-BE49-F238E27FC236}">
              <a16:creationId xmlns:a16="http://schemas.microsoft.com/office/drawing/2014/main" id="{7E74EE0E-4B73-4E22-B865-87DDFFFF6B8A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906780</xdr:colOff>
      <xdr:row>442</xdr:row>
      <xdr:rowOff>351064</xdr:rowOff>
    </xdr:from>
    <xdr:to>
      <xdr:col>17</xdr:col>
      <xdr:colOff>2162175</xdr:colOff>
      <xdr:row>442</xdr:row>
      <xdr:rowOff>351064</xdr:rowOff>
    </xdr:to>
    <xdr:sp macro="" textlink="">
      <xdr:nvSpPr>
        <xdr:cNvPr id="802" name="テキスト 472">
          <a:extLst>
            <a:ext uri="{FF2B5EF4-FFF2-40B4-BE49-F238E27FC236}">
              <a16:creationId xmlns:a16="http://schemas.microsoft.com/office/drawing/2014/main" id="{E05BDD5C-3191-48EA-B212-2250424F0A94}"/>
            </a:ext>
          </a:extLst>
        </xdr:cNvPr>
        <xdr:cNvSpPr txBox="1">
          <a:spLocks noChangeArrowheads="1"/>
        </xdr:cNvSpPr>
      </xdr:nvSpPr>
      <xdr:spPr>
        <a:xfrm>
          <a:off x="30358080" y="24661041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803" name="テキスト 472">
          <a:extLst>
            <a:ext uri="{FF2B5EF4-FFF2-40B4-BE49-F238E27FC236}">
              <a16:creationId xmlns:a16="http://schemas.microsoft.com/office/drawing/2014/main" id="{A6BEEF39-6152-4AE1-8626-5DB87EF6A825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804" name="テキスト 642">
          <a:extLst>
            <a:ext uri="{FF2B5EF4-FFF2-40B4-BE49-F238E27FC236}">
              <a16:creationId xmlns:a16="http://schemas.microsoft.com/office/drawing/2014/main" id="{F3F54856-3AE4-4B01-975A-CC31EE6F2DBE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805" name="テキスト 472">
          <a:extLst>
            <a:ext uri="{FF2B5EF4-FFF2-40B4-BE49-F238E27FC236}">
              <a16:creationId xmlns:a16="http://schemas.microsoft.com/office/drawing/2014/main" id="{A6F17A9E-D71D-4AF3-99B2-B4739F8B2254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891871</xdr:colOff>
      <xdr:row>443</xdr:row>
      <xdr:rowOff>385732</xdr:rowOff>
    </xdr:from>
    <xdr:to>
      <xdr:col>18</xdr:col>
      <xdr:colOff>168611</xdr:colOff>
      <xdr:row>443</xdr:row>
      <xdr:rowOff>385732</xdr:rowOff>
    </xdr:to>
    <xdr:sp macro="" textlink="">
      <xdr:nvSpPr>
        <xdr:cNvPr id="806" name="テキスト 472">
          <a:extLst>
            <a:ext uri="{FF2B5EF4-FFF2-40B4-BE49-F238E27FC236}">
              <a16:creationId xmlns:a16="http://schemas.microsoft.com/office/drawing/2014/main" id="{F105BD56-8806-4841-9C57-FDA5794DF3ED}"/>
            </a:ext>
          </a:extLst>
        </xdr:cNvPr>
        <xdr:cNvSpPr txBox="1">
          <a:spLocks noChangeArrowheads="1"/>
        </xdr:cNvSpPr>
      </xdr:nvSpPr>
      <xdr:spPr>
        <a:xfrm>
          <a:off x="30343171" y="247188007"/>
          <a:ext cx="23723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807" name="テキスト 472">
          <a:extLst>
            <a:ext uri="{FF2B5EF4-FFF2-40B4-BE49-F238E27FC236}">
              <a16:creationId xmlns:a16="http://schemas.microsoft.com/office/drawing/2014/main" id="{9FD496A3-3CE6-40B9-8EC0-E29361920D4B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808" name="テキスト 642">
          <a:extLst>
            <a:ext uri="{FF2B5EF4-FFF2-40B4-BE49-F238E27FC236}">
              <a16:creationId xmlns:a16="http://schemas.microsoft.com/office/drawing/2014/main" id="{41171790-2ACF-4261-8C64-6F929DDE8DA1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809" name="テキスト 472">
          <a:extLst>
            <a:ext uri="{FF2B5EF4-FFF2-40B4-BE49-F238E27FC236}">
              <a16:creationId xmlns:a16="http://schemas.microsoft.com/office/drawing/2014/main" id="{1FAD5C77-A91F-48B8-9E26-AF2EC58F8690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16</xdr:col>
      <xdr:colOff>671376</xdr:colOff>
      <xdr:row>439</xdr:row>
      <xdr:rowOff>201386</xdr:rowOff>
    </xdr:from>
    <xdr:to>
      <xdr:col>17</xdr:col>
      <xdr:colOff>214993</xdr:colOff>
      <xdr:row>439</xdr:row>
      <xdr:rowOff>201386</xdr:rowOff>
    </xdr:to>
    <xdr:sp macro="" textlink="">
      <xdr:nvSpPr>
        <xdr:cNvPr id="810" name="テキスト 472">
          <a:extLst>
            <a:ext uri="{FF2B5EF4-FFF2-40B4-BE49-F238E27FC236}">
              <a16:creationId xmlns:a16="http://schemas.microsoft.com/office/drawing/2014/main" id="{73A08C32-94D3-4CD3-84B5-23A455229E9D}"/>
            </a:ext>
          </a:extLst>
        </xdr:cNvPr>
        <xdr:cNvSpPr txBox="1">
          <a:spLocks noChangeArrowheads="1"/>
        </xdr:cNvSpPr>
      </xdr:nvSpPr>
      <xdr:spPr>
        <a:xfrm>
          <a:off x="28265301" y="244831961"/>
          <a:ext cx="140099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811" name="テキスト 472">
          <a:extLst>
            <a:ext uri="{FF2B5EF4-FFF2-40B4-BE49-F238E27FC236}">
              <a16:creationId xmlns:a16="http://schemas.microsoft.com/office/drawing/2014/main" id="{F02F5E3F-AF34-4A01-A0E2-27A69062339C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812" name="テキスト 642">
          <a:extLst>
            <a:ext uri="{FF2B5EF4-FFF2-40B4-BE49-F238E27FC236}">
              <a16:creationId xmlns:a16="http://schemas.microsoft.com/office/drawing/2014/main" id="{0523EBB2-A511-4868-9C78-451FF6EDDDF4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813" name="テキスト 472">
          <a:extLst>
            <a:ext uri="{FF2B5EF4-FFF2-40B4-BE49-F238E27FC236}">
              <a16:creationId xmlns:a16="http://schemas.microsoft.com/office/drawing/2014/main" id="{0A022F39-B323-4B5F-B108-9F25DED50C9E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906780</xdr:colOff>
      <xdr:row>442</xdr:row>
      <xdr:rowOff>351064</xdr:rowOff>
    </xdr:from>
    <xdr:to>
      <xdr:col>17</xdr:col>
      <xdr:colOff>2162175</xdr:colOff>
      <xdr:row>442</xdr:row>
      <xdr:rowOff>351064</xdr:rowOff>
    </xdr:to>
    <xdr:sp macro="" textlink="">
      <xdr:nvSpPr>
        <xdr:cNvPr id="814" name="テキスト 472">
          <a:extLst>
            <a:ext uri="{FF2B5EF4-FFF2-40B4-BE49-F238E27FC236}">
              <a16:creationId xmlns:a16="http://schemas.microsoft.com/office/drawing/2014/main" id="{AA33BF28-170D-44C3-8A2E-6ADF35484FEF}"/>
            </a:ext>
          </a:extLst>
        </xdr:cNvPr>
        <xdr:cNvSpPr txBox="1">
          <a:spLocks noChangeArrowheads="1"/>
        </xdr:cNvSpPr>
      </xdr:nvSpPr>
      <xdr:spPr>
        <a:xfrm>
          <a:off x="30358080" y="24661041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815" name="テキスト 472">
          <a:extLst>
            <a:ext uri="{FF2B5EF4-FFF2-40B4-BE49-F238E27FC236}">
              <a16:creationId xmlns:a16="http://schemas.microsoft.com/office/drawing/2014/main" id="{4326909D-C953-4685-824F-3B944EC41063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816" name="テキスト 642">
          <a:extLst>
            <a:ext uri="{FF2B5EF4-FFF2-40B4-BE49-F238E27FC236}">
              <a16:creationId xmlns:a16="http://schemas.microsoft.com/office/drawing/2014/main" id="{CF76631D-52CB-449D-9839-11C7E5BEAC27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817" name="テキスト 472">
          <a:extLst>
            <a:ext uri="{FF2B5EF4-FFF2-40B4-BE49-F238E27FC236}">
              <a16:creationId xmlns:a16="http://schemas.microsoft.com/office/drawing/2014/main" id="{311D4590-2E3B-47F4-9809-F2035578A8A1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891871</xdr:colOff>
      <xdr:row>443</xdr:row>
      <xdr:rowOff>385732</xdr:rowOff>
    </xdr:from>
    <xdr:to>
      <xdr:col>18</xdr:col>
      <xdr:colOff>168611</xdr:colOff>
      <xdr:row>443</xdr:row>
      <xdr:rowOff>385732</xdr:rowOff>
    </xdr:to>
    <xdr:sp macro="" textlink="">
      <xdr:nvSpPr>
        <xdr:cNvPr id="818" name="テキスト 472">
          <a:extLst>
            <a:ext uri="{FF2B5EF4-FFF2-40B4-BE49-F238E27FC236}">
              <a16:creationId xmlns:a16="http://schemas.microsoft.com/office/drawing/2014/main" id="{1A782E31-FE7E-4800-BD68-8A8C26D43866}"/>
            </a:ext>
          </a:extLst>
        </xdr:cNvPr>
        <xdr:cNvSpPr txBox="1">
          <a:spLocks noChangeArrowheads="1"/>
        </xdr:cNvSpPr>
      </xdr:nvSpPr>
      <xdr:spPr>
        <a:xfrm>
          <a:off x="30343171" y="247188007"/>
          <a:ext cx="23723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819" name="テキスト 472">
          <a:extLst>
            <a:ext uri="{FF2B5EF4-FFF2-40B4-BE49-F238E27FC236}">
              <a16:creationId xmlns:a16="http://schemas.microsoft.com/office/drawing/2014/main" id="{846B87C5-63D7-419D-8344-FC4AAB57D6A6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820" name="テキスト 642">
          <a:extLst>
            <a:ext uri="{FF2B5EF4-FFF2-40B4-BE49-F238E27FC236}">
              <a16:creationId xmlns:a16="http://schemas.microsoft.com/office/drawing/2014/main" id="{37CAE4BF-B534-40FF-B4B0-F681EFAA1370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821" name="テキスト 472">
          <a:extLst>
            <a:ext uri="{FF2B5EF4-FFF2-40B4-BE49-F238E27FC236}">
              <a16:creationId xmlns:a16="http://schemas.microsoft.com/office/drawing/2014/main" id="{D69B3021-EC7C-450B-A309-5DCCB1BA7F2B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16</xdr:col>
      <xdr:colOff>671376</xdr:colOff>
      <xdr:row>439</xdr:row>
      <xdr:rowOff>201386</xdr:rowOff>
    </xdr:from>
    <xdr:to>
      <xdr:col>17</xdr:col>
      <xdr:colOff>214993</xdr:colOff>
      <xdr:row>439</xdr:row>
      <xdr:rowOff>201386</xdr:rowOff>
    </xdr:to>
    <xdr:sp macro="" textlink="">
      <xdr:nvSpPr>
        <xdr:cNvPr id="822" name="テキスト 472">
          <a:extLst>
            <a:ext uri="{FF2B5EF4-FFF2-40B4-BE49-F238E27FC236}">
              <a16:creationId xmlns:a16="http://schemas.microsoft.com/office/drawing/2014/main" id="{D4746715-6D16-4640-8DF8-0C6DBD41F363}"/>
            </a:ext>
          </a:extLst>
        </xdr:cNvPr>
        <xdr:cNvSpPr txBox="1">
          <a:spLocks noChangeArrowheads="1"/>
        </xdr:cNvSpPr>
      </xdr:nvSpPr>
      <xdr:spPr>
        <a:xfrm>
          <a:off x="28265301" y="244831961"/>
          <a:ext cx="140099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823" name="テキスト 472">
          <a:extLst>
            <a:ext uri="{FF2B5EF4-FFF2-40B4-BE49-F238E27FC236}">
              <a16:creationId xmlns:a16="http://schemas.microsoft.com/office/drawing/2014/main" id="{DE9ED62D-AF62-4DAD-9C24-BE07EDD534A6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824" name="テキスト 642">
          <a:extLst>
            <a:ext uri="{FF2B5EF4-FFF2-40B4-BE49-F238E27FC236}">
              <a16:creationId xmlns:a16="http://schemas.microsoft.com/office/drawing/2014/main" id="{FF7A0861-1086-4E35-AF46-B7656AB7CE13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825" name="テキスト 472">
          <a:extLst>
            <a:ext uri="{FF2B5EF4-FFF2-40B4-BE49-F238E27FC236}">
              <a16:creationId xmlns:a16="http://schemas.microsoft.com/office/drawing/2014/main" id="{733722D8-0F81-4A64-8B11-E39943BD24DB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906780</xdr:colOff>
      <xdr:row>442</xdr:row>
      <xdr:rowOff>351064</xdr:rowOff>
    </xdr:from>
    <xdr:to>
      <xdr:col>17</xdr:col>
      <xdr:colOff>2162175</xdr:colOff>
      <xdr:row>442</xdr:row>
      <xdr:rowOff>351064</xdr:rowOff>
    </xdr:to>
    <xdr:sp macro="" textlink="">
      <xdr:nvSpPr>
        <xdr:cNvPr id="826" name="テキスト 472">
          <a:extLst>
            <a:ext uri="{FF2B5EF4-FFF2-40B4-BE49-F238E27FC236}">
              <a16:creationId xmlns:a16="http://schemas.microsoft.com/office/drawing/2014/main" id="{846907D4-8985-4617-9DDC-1DC3ABE8318A}"/>
            </a:ext>
          </a:extLst>
        </xdr:cNvPr>
        <xdr:cNvSpPr txBox="1">
          <a:spLocks noChangeArrowheads="1"/>
        </xdr:cNvSpPr>
      </xdr:nvSpPr>
      <xdr:spPr>
        <a:xfrm>
          <a:off x="30358080" y="24661041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827" name="テキスト 472">
          <a:extLst>
            <a:ext uri="{FF2B5EF4-FFF2-40B4-BE49-F238E27FC236}">
              <a16:creationId xmlns:a16="http://schemas.microsoft.com/office/drawing/2014/main" id="{3B7CFF20-7E90-4DF9-82F9-4744083A7A9E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828" name="テキスト 642">
          <a:extLst>
            <a:ext uri="{FF2B5EF4-FFF2-40B4-BE49-F238E27FC236}">
              <a16:creationId xmlns:a16="http://schemas.microsoft.com/office/drawing/2014/main" id="{2C3C4F0D-DB0B-41ED-AC32-3EFA6942EB88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829" name="テキスト 472">
          <a:extLst>
            <a:ext uri="{FF2B5EF4-FFF2-40B4-BE49-F238E27FC236}">
              <a16:creationId xmlns:a16="http://schemas.microsoft.com/office/drawing/2014/main" id="{91280B61-24DD-4CD2-9B73-8A90855E1154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891871</xdr:colOff>
      <xdr:row>443</xdr:row>
      <xdr:rowOff>385732</xdr:rowOff>
    </xdr:from>
    <xdr:to>
      <xdr:col>18</xdr:col>
      <xdr:colOff>168611</xdr:colOff>
      <xdr:row>443</xdr:row>
      <xdr:rowOff>385732</xdr:rowOff>
    </xdr:to>
    <xdr:sp macro="" textlink="">
      <xdr:nvSpPr>
        <xdr:cNvPr id="830" name="テキスト 472">
          <a:extLst>
            <a:ext uri="{FF2B5EF4-FFF2-40B4-BE49-F238E27FC236}">
              <a16:creationId xmlns:a16="http://schemas.microsoft.com/office/drawing/2014/main" id="{35CE9019-9952-41AD-B298-4658CDA5609F}"/>
            </a:ext>
          </a:extLst>
        </xdr:cNvPr>
        <xdr:cNvSpPr txBox="1">
          <a:spLocks noChangeArrowheads="1"/>
        </xdr:cNvSpPr>
      </xdr:nvSpPr>
      <xdr:spPr>
        <a:xfrm>
          <a:off x="30343171" y="247188007"/>
          <a:ext cx="23723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831" name="テキスト 472">
          <a:extLst>
            <a:ext uri="{FF2B5EF4-FFF2-40B4-BE49-F238E27FC236}">
              <a16:creationId xmlns:a16="http://schemas.microsoft.com/office/drawing/2014/main" id="{B7E2D368-839F-48DE-8879-F6826CA516A1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832" name="テキスト 642">
          <a:extLst>
            <a:ext uri="{FF2B5EF4-FFF2-40B4-BE49-F238E27FC236}">
              <a16:creationId xmlns:a16="http://schemas.microsoft.com/office/drawing/2014/main" id="{85703465-2D3D-4D89-B24C-BDEFC25398D3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833" name="テキスト 472">
          <a:extLst>
            <a:ext uri="{FF2B5EF4-FFF2-40B4-BE49-F238E27FC236}">
              <a16:creationId xmlns:a16="http://schemas.microsoft.com/office/drawing/2014/main" id="{163CC0E7-3F0A-480E-9994-D8D9E5E62A41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16</xdr:col>
      <xdr:colOff>671376</xdr:colOff>
      <xdr:row>439</xdr:row>
      <xdr:rowOff>201386</xdr:rowOff>
    </xdr:from>
    <xdr:to>
      <xdr:col>17</xdr:col>
      <xdr:colOff>214993</xdr:colOff>
      <xdr:row>439</xdr:row>
      <xdr:rowOff>201386</xdr:rowOff>
    </xdr:to>
    <xdr:sp macro="" textlink="">
      <xdr:nvSpPr>
        <xdr:cNvPr id="834" name="テキスト 472">
          <a:extLst>
            <a:ext uri="{FF2B5EF4-FFF2-40B4-BE49-F238E27FC236}">
              <a16:creationId xmlns:a16="http://schemas.microsoft.com/office/drawing/2014/main" id="{48674B3C-D83C-4BC6-B2FD-E50B83AB8666}"/>
            </a:ext>
          </a:extLst>
        </xdr:cNvPr>
        <xdr:cNvSpPr txBox="1">
          <a:spLocks noChangeArrowheads="1"/>
        </xdr:cNvSpPr>
      </xdr:nvSpPr>
      <xdr:spPr>
        <a:xfrm>
          <a:off x="28265301" y="244831961"/>
          <a:ext cx="140099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835" name="テキスト 472">
          <a:extLst>
            <a:ext uri="{FF2B5EF4-FFF2-40B4-BE49-F238E27FC236}">
              <a16:creationId xmlns:a16="http://schemas.microsoft.com/office/drawing/2014/main" id="{86D538BE-5FBE-4178-A4F2-5D9D03E6277D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836" name="テキスト 642">
          <a:extLst>
            <a:ext uri="{FF2B5EF4-FFF2-40B4-BE49-F238E27FC236}">
              <a16:creationId xmlns:a16="http://schemas.microsoft.com/office/drawing/2014/main" id="{33C8F9A1-95C4-4BD9-9CA7-35D950726A28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837" name="テキスト 472">
          <a:extLst>
            <a:ext uri="{FF2B5EF4-FFF2-40B4-BE49-F238E27FC236}">
              <a16:creationId xmlns:a16="http://schemas.microsoft.com/office/drawing/2014/main" id="{581452A0-4139-48AA-A400-FA4ADC84646E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906780</xdr:colOff>
      <xdr:row>442</xdr:row>
      <xdr:rowOff>351064</xdr:rowOff>
    </xdr:from>
    <xdr:to>
      <xdr:col>17</xdr:col>
      <xdr:colOff>2162175</xdr:colOff>
      <xdr:row>442</xdr:row>
      <xdr:rowOff>351064</xdr:rowOff>
    </xdr:to>
    <xdr:sp macro="" textlink="">
      <xdr:nvSpPr>
        <xdr:cNvPr id="838" name="テキスト 472">
          <a:extLst>
            <a:ext uri="{FF2B5EF4-FFF2-40B4-BE49-F238E27FC236}">
              <a16:creationId xmlns:a16="http://schemas.microsoft.com/office/drawing/2014/main" id="{F8167080-18B3-4967-BDB6-85D0434B99E2}"/>
            </a:ext>
          </a:extLst>
        </xdr:cNvPr>
        <xdr:cNvSpPr txBox="1">
          <a:spLocks noChangeArrowheads="1"/>
        </xdr:cNvSpPr>
      </xdr:nvSpPr>
      <xdr:spPr>
        <a:xfrm>
          <a:off x="30358080" y="24661041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839" name="テキスト 472">
          <a:extLst>
            <a:ext uri="{FF2B5EF4-FFF2-40B4-BE49-F238E27FC236}">
              <a16:creationId xmlns:a16="http://schemas.microsoft.com/office/drawing/2014/main" id="{0524013B-2C3B-40CF-8670-A76143FBED47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840" name="テキスト 642">
          <a:extLst>
            <a:ext uri="{FF2B5EF4-FFF2-40B4-BE49-F238E27FC236}">
              <a16:creationId xmlns:a16="http://schemas.microsoft.com/office/drawing/2014/main" id="{AC494915-E9E7-417E-9090-FBC96AA420E2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891540</xdr:colOff>
      <xdr:row>442</xdr:row>
      <xdr:rowOff>351064</xdr:rowOff>
    </xdr:from>
    <xdr:to>
      <xdr:col>17</xdr:col>
      <xdr:colOff>2154555</xdr:colOff>
      <xdr:row>442</xdr:row>
      <xdr:rowOff>351064</xdr:rowOff>
    </xdr:to>
    <xdr:sp macro="" textlink="">
      <xdr:nvSpPr>
        <xdr:cNvPr id="841" name="テキスト 472">
          <a:extLst>
            <a:ext uri="{FF2B5EF4-FFF2-40B4-BE49-F238E27FC236}">
              <a16:creationId xmlns:a16="http://schemas.microsoft.com/office/drawing/2014/main" id="{808B88DD-6326-41B7-91DA-D1B95C7733B7}"/>
            </a:ext>
          </a:extLst>
        </xdr:cNvPr>
        <xdr:cNvSpPr txBox="1">
          <a:spLocks noChangeArrowheads="1"/>
        </xdr:cNvSpPr>
      </xdr:nvSpPr>
      <xdr:spPr>
        <a:xfrm>
          <a:off x="30342840" y="24661041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891871</xdr:colOff>
      <xdr:row>443</xdr:row>
      <xdr:rowOff>385732</xdr:rowOff>
    </xdr:from>
    <xdr:to>
      <xdr:col>18</xdr:col>
      <xdr:colOff>168611</xdr:colOff>
      <xdr:row>443</xdr:row>
      <xdr:rowOff>385732</xdr:rowOff>
    </xdr:to>
    <xdr:sp macro="" textlink="">
      <xdr:nvSpPr>
        <xdr:cNvPr id="842" name="テキスト 472">
          <a:extLst>
            <a:ext uri="{FF2B5EF4-FFF2-40B4-BE49-F238E27FC236}">
              <a16:creationId xmlns:a16="http://schemas.microsoft.com/office/drawing/2014/main" id="{7FBBB221-9005-4BB9-B1F3-110578A6C436}"/>
            </a:ext>
          </a:extLst>
        </xdr:cNvPr>
        <xdr:cNvSpPr txBox="1">
          <a:spLocks noChangeArrowheads="1"/>
        </xdr:cNvSpPr>
      </xdr:nvSpPr>
      <xdr:spPr>
        <a:xfrm>
          <a:off x="30343171" y="247188007"/>
          <a:ext cx="23723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843" name="テキスト 472">
          <a:extLst>
            <a:ext uri="{FF2B5EF4-FFF2-40B4-BE49-F238E27FC236}">
              <a16:creationId xmlns:a16="http://schemas.microsoft.com/office/drawing/2014/main" id="{55B256F8-9D04-4B16-91C7-2C1C216E823E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844" name="テキスト 642">
          <a:extLst>
            <a:ext uri="{FF2B5EF4-FFF2-40B4-BE49-F238E27FC236}">
              <a16:creationId xmlns:a16="http://schemas.microsoft.com/office/drawing/2014/main" id="{3FE14241-40C3-400A-B01E-D89373D717BF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876631</xdr:colOff>
      <xdr:row>443</xdr:row>
      <xdr:rowOff>385732</xdr:rowOff>
    </xdr:from>
    <xdr:to>
      <xdr:col>18</xdr:col>
      <xdr:colOff>160991</xdr:colOff>
      <xdr:row>443</xdr:row>
      <xdr:rowOff>385732</xdr:rowOff>
    </xdr:to>
    <xdr:sp macro="" textlink="">
      <xdr:nvSpPr>
        <xdr:cNvPr id="845" name="テキスト 472">
          <a:extLst>
            <a:ext uri="{FF2B5EF4-FFF2-40B4-BE49-F238E27FC236}">
              <a16:creationId xmlns:a16="http://schemas.microsoft.com/office/drawing/2014/main" id="{1B42FAFB-88CE-4300-BECA-122934ACCE47}"/>
            </a:ext>
          </a:extLst>
        </xdr:cNvPr>
        <xdr:cNvSpPr txBox="1">
          <a:spLocks noChangeArrowheads="1"/>
        </xdr:cNvSpPr>
      </xdr:nvSpPr>
      <xdr:spPr>
        <a:xfrm>
          <a:off x="30327931" y="24718800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16</xdr:col>
      <xdr:colOff>671376</xdr:colOff>
      <xdr:row>439</xdr:row>
      <xdr:rowOff>201386</xdr:rowOff>
    </xdr:from>
    <xdr:to>
      <xdr:col>17</xdr:col>
      <xdr:colOff>214993</xdr:colOff>
      <xdr:row>439</xdr:row>
      <xdr:rowOff>201386</xdr:rowOff>
    </xdr:to>
    <xdr:sp macro="" textlink="">
      <xdr:nvSpPr>
        <xdr:cNvPr id="846" name="テキスト 472">
          <a:extLst>
            <a:ext uri="{FF2B5EF4-FFF2-40B4-BE49-F238E27FC236}">
              <a16:creationId xmlns:a16="http://schemas.microsoft.com/office/drawing/2014/main" id="{CC176658-F717-4A4B-BD8C-7E619830AAFF}"/>
            </a:ext>
          </a:extLst>
        </xdr:cNvPr>
        <xdr:cNvSpPr txBox="1">
          <a:spLocks noChangeArrowheads="1"/>
        </xdr:cNvSpPr>
      </xdr:nvSpPr>
      <xdr:spPr>
        <a:xfrm>
          <a:off x="28265301" y="244831961"/>
          <a:ext cx="140099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847" name="テキスト 472">
          <a:extLst>
            <a:ext uri="{FF2B5EF4-FFF2-40B4-BE49-F238E27FC236}">
              <a16:creationId xmlns:a16="http://schemas.microsoft.com/office/drawing/2014/main" id="{B4568128-923A-4577-8301-65BFA70018E3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848" name="テキスト 642">
          <a:extLst>
            <a:ext uri="{FF2B5EF4-FFF2-40B4-BE49-F238E27FC236}">
              <a16:creationId xmlns:a16="http://schemas.microsoft.com/office/drawing/2014/main" id="{98E4918B-F85A-4ACC-AA98-DF62CCBA5A0D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16</xdr:col>
      <xdr:colOff>656136</xdr:colOff>
      <xdr:row>439</xdr:row>
      <xdr:rowOff>201386</xdr:rowOff>
    </xdr:from>
    <xdr:to>
      <xdr:col>17</xdr:col>
      <xdr:colOff>207373</xdr:colOff>
      <xdr:row>439</xdr:row>
      <xdr:rowOff>201386</xdr:rowOff>
    </xdr:to>
    <xdr:sp macro="" textlink="">
      <xdr:nvSpPr>
        <xdr:cNvPr id="849" name="テキスト 472">
          <a:extLst>
            <a:ext uri="{FF2B5EF4-FFF2-40B4-BE49-F238E27FC236}">
              <a16:creationId xmlns:a16="http://schemas.microsoft.com/office/drawing/2014/main" id="{4E9E1DD2-0F1B-43D7-A38E-D3B97FFBDFBF}"/>
            </a:ext>
          </a:extLst>
        </xdr:cNvPr>
        <xdr:cNvSpPr txBox="1">
          <a:spLocks noChangeArrowheads="1"/>
        </xdr:cNvSpPr>
      </xdr:nvSpPr>
      <xdr:spPr>
        <a:xfrm>
          <a:off x="28250061" y="24483196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906780</xdr:colOff>
      <xdr:row>444</xdr:row>
      <xdr:rowOff>351064</xdr:rowOff>
    </xdr:from>
    <xdr:to>
      <xdr:col>17</xdr:col>
      <xdr:colOff>2162175</xdr:colOff>
      <xdr:row>444</xdr:row>
      <xdr:rowOff>351064</xdr:rowOff>
    </xdr:to>
    <xdr:sp macro="" textlink="">
      <xdr:nvSpPr>
        <xdr:cNvPr id="850" name="テキスト 472">
          <a:extLst>
            <a:ext uri="{FF2B5EF4-FFF2-40B4-BE49-F238E27FC236}">
              <a16:creationId xmlns:a16="http://schemas.microsoft.com/office/drawing/2014/main" id="{06A52399-716F-4E27-87F7-FFE98F5C5945}"/>
            </a:ext>
          </a:extLst>
        </xdr:cNvPr>
        <xdr:cNvSpPr txBox="1">
          <a:spLocks noChangeArrowheads="1"/>
        </xdr:cNvSpPr>
      </xdr:nvSpPr>
      <xdr:spPr>
        <a:xfrm>
          <a:off x="30358080" y="247696264"/>
          <a:ext cx="125539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891540</xdr:colOff>
      <xdr:row>444</xdr:row>
      <xdr:rowOff>351064</xdr:rowOff>
    </xdr:from>
    <xdr:to>
      <xdr:col>17</xdr:col>
      <xdr:colOff>2154555</xdr:colOff>
      <xdr:row>444</xdr:row>
      <xdr:rowOff>351064</xdr:rowOff>
    </xdr:to>
    <xdr:sp macro="" textlink="">
      <xdr:nvSpPr>
        <xdr:cNvPr id="851" name="テキスト 472">
          <a:extLst>
            <a:ext uri="{FF2B5EF4-FFF2-40B4-BE49-F238E27FC236}">
              <a16:creationId xmlns:a16="http://schemas.microsoft.com/office/drawing/2014/main" id="{16D7525F-5348-4D96-A8B1-E9E8EF5BF237}"/>
            </a:ext>
          </a:extLst>
        </xdr:cNvPr>
        <xdr:cNvSpPr txBox="1">
          <a:spLocks noChangeArrowheads="1"/>
        </xdr:cNvSpPr>
      </xdr:nvSpPr>
      <xdr:spPr>
        <a:xfrm>
          <a:off x="30342840" y="2476962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891540</xdr:colOff>
      <xdr:row>444</xdr:row>
      <xdr:rowOff>351064</xdr:rowOff>
    </xdr:from>
    <xdr:to>
      <xdr:col>17</xdr:col>
      <xdr:colOff>2154555</xdr:colOff>
      <xdr:row>444</xdr:row>
      <xdr:rowOff>351064</xdr:rowOff>
    </xdr:to>
    <xdr:sp macro="" textlink="">
      <xdr:nvSpPr>
        <xdr:cNvPr id="852" name="テキスト 642">
          <a:extLst>
            <a:ext uri="{FF2B5EF4-FFF2-40B4-BE49-F238E27FC236}">
              <a16:creationId xmlns:a16="http://schemas.microsoft.com/office/drawing/2014/main" id="{40F43DE3-2F8D-4867-8EF9-E3F0B65513D0}"/>
            </a:ext>
          </a:extLst>
        </xdr:cNvPr>
        <xdr:cNvSpPr txBox="1">
          <a:spLocks noChangeArrowheads="1"/>
        </xdr:cNvSpPr>
      </xdr:nvSpPr>
      <xdr:spPr>
        <a:xfrm>
          <a:off x="30342840" y="2476962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891540</xdr:colOff>
      <xdr:row>444</xdr:row>
      <xdr:rowOff>351064</xdr:rowOff>
    </xdr:from>
    <xdr:to>
      <xdr:col>17</xdr:col>
      <xdr:colOff>2154555</xdr:colOff>
      <xdr:row>444</xdr:row>
      <xdr:rowOff>351064</xdr:rowOff>
    </xdr:to>
    <xdr:sp macro="" textlink="">
      <xdr:nvSpPr>
        <xdr:cNvPr id="853" name="テキスト 472">
          <a:extLst>
            <a:ext uri="{FF2B5EF4-FFF2-40B4-BE49-F238E27FC236}">
              <a16:creationId xmlns:a16="http://schemas.microsoft.com/office/drawing/2014/main" id="{3C7221C3-EC9A-4582-9451-F2AF5401A19E}"/>
            </a:ext>
          </a:extLst>
        </xdr:cNvPr>
        <xdr:cNvSpPr txBox="1">
          <a:spLocks noChangeArrowheads="1"/>
        </xdr:cNvSpPr>
      </xdr:nvSpPr>
      <xdr:spPr>
        <a:xfrm>
          <a:off x="30342840" y="247696264"/>
          <a:ext cx="126301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17</xdr:col>
      <xdr:colOff>891871</xdr:colOff>
      <xdr:row>445</xdr:row>
      <xdr:rowOff>385732</xdr:rowOff>
    </xdr:from>
    <xdr:to>
      <xdr:col>18</xdr:col>
      <xdr:colOff>168611</xdr:colOff>
      <xdr:row>445</xdr:row>
      <xdr:rowOff>385732</xdr:rowOff>
    </xdr:to>
    <xdr:sp macro="" textlink="">
      <xdr:nvSpPr>
        <xdr:cNvPr id="854" name="テキスト 472">
          <a:extLst>
            <a:ext uri="{FF2B5EF4-FFF2-40B4-BE49-F238E27FC236}">
              <a16:creationId xmlns:a16="http://schemas.microsoft.com/office/drawing/2014/main" id="{4E6D4472-8484-4F00-A593-38700A1158A5}"/>
            </a:ext>
          </a:extLst>
        </xdr:cNvPr>
        <xdr:cNvSpPr txBox="1">
          <a:spLocks noChangeArrowheads="1"/>
        </xdr:cNvSpPr>
      </xdr:nvSpPr>
      <xdr:spPr>
        <a:xfrm>
          <a:off x="30343171" y="248273857"/>
          <a:ext cx="237236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17</xdr:col>
      <xdr:colOff>876631</xdr:colOff>
      <xdr:row>445</xdr:row>
      <xdr:rowOff>385732</xdr:rowOff>
    </xdr:from>
    <xdr:to>
      <xdr:col>18</xdr:col>
      <xdr:colOff>160991</xdr:colOff>
      <xdr:row>445</xdr:row>
      <xdr:rowOff>385732</xdr:rowOff>
    </xdr:to>
    <xdr:sp macro="" textlink="">
      <xdr:nvSpPr>
        <xdr:cNvPr id="855" name="テキスト 472">
          <a:extLst>
            <a:ext uri="{FF2B5EF4-FFF2-40B4-BE49-F238E27FC236}">
              <a16:creationId xmlns:a16="http://schemas.microsoft.com/office/drawing/2014/main" id="{75FB7F00-2711-4B6E-B9A4-4A3E29976406}"/>
            </a:ext>
          </a:extLst>
        </xdr:cNvPr>
        <xdr:cNvSpPr txBox="1">
          <a:spLocks noChangeArrowheads="1"/>
        </xdr:cNvSpPr>
      </xdr:nvSpPr>
      <xdr:spPr>
        <a:xfrm>
          <a:off x="30327931" y="24827385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17</xdr:col>
      <xdr:colOff>876631</xdr:colOff>
      <xdr:row>445</xdr:row>
      <xdr:rowOff>385732</xdr:rowOff>
    </xdr:from>
    <xdr:to>
      <xdr:col>18</xdr:col>
      <xdr:colOff>160991</xdr:colOff>
      <xdr:row>445</xdr:row>
      <xdr:rowOff>385732</xdr:rowOff>
    </xdr:to>
    <xdr:sp macro="" textlink="">
      <xdr:nvSpPr>
        <xdr:cNvPr id="856" name="テキスト 642">
          <a:extLst>
            <a:ext uri="{FF2B5EF4-FFF2-40B4-BE49-F238E27FC236}">
              <a16:creationId xmlns:a16="http://schemas.microsoft.com/office/drawing/2014/main" id="{C5A738EE-E606-4B9A-87EE-83AD7272926D}"/>
            </a:ext>
          </a:extLst>
        </xdr:cNvPr>
        <xdr:cNvSpPr txBox="1">
          <a:spLocks noChangeArrowheads="1"/>
        </xdr:cNvSpPr>
      </xdr:nvSpPr>
      <xdr:spPr>
        <a:xfrm>
          <a:off x="30327931" y="24827385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17</xdr:col>
      <xdr:colOff>876631</xdr:colOff>
      <xdr:row>445</xdr:row>
      <xdr:rowOff>385732</xdr:rowOff>
    </xdr:from>
    <xdr:to>
      <xdr:col>18</xdr:col>
      <xdr:colOff>160991</xdr:colOff>
      <xdr:row>445</xdr:row>
      <xdr:rowOff>385732</xdr:rowOff>
    </xdr:to>
    <xdr:sp macro="" textlink="">
      <xdr:nvSpPr>
        <xdr:cNvPr id="857" name="テキスト 472">
          <a:extLst>
            <a:ext uri="{FF2B5EF4-FFF2-40B4-BE49-F238E27FC236}">
              <a16:creationId xmlns:a16="http://schemas.microsoft.com/office/drawing/2014/main" id="{966F73B7-D1A9-4074-B5F1-0DFA3487E9AB}"/>
            </a:ext>
          </a:extLst>
        </xdr:cNvPr>
        <xdr:cNvSpPr txBox="1">
          <a:spLocks noChangeArrowheads="1"/>
        </xdr:cNvSpPr>
      </xdr:nvSpPr>
      <xdr:spPr>
        <a:xfrm>
          <a:off x="30327931" y="248273857"/>
          <a:ext cx="237998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16</xdr:col>
      <xdr:colOff>671376</xdr:colOff>
      <xdr:row>441</xdr:row>
      <xdr:rowOff>201386</xdr:rowOff>
    </xdr:from>
    <xdr:to>
      <xdr:col>17</xdr:col>
      <xdr:colOff>214993</xdr:colOff>
      <xdr:row>441</xdr:row>
      <xdr:rowOff>201386</xdr:rowOff>
    </xdr:to>
    <xdr:sp macro="" textlink="">
      <xdr:nvSpPr>
        <xdr:cNvPr id="858" name="テキスト 472">
          <a:extLst>
            <a:ext uri="{FF2B5EF4-FFF2-40B4-BE49-F238E27FC236}">
              <a16:creationId xmlns:a16="http://schemas.microsoft.com/office/drawing/2014/main" id="{F2CACF56-C524-458B-9415-AB3AB4B3BD58}"/>
            </a:ext>
          </a:extLst>
        </xdr:cNvPr>
        <xdr:cNvSpPr txBox="1">
          <a:spLocks noChangeArrowheads="1"/>
        </xdr:cNvSpPr>
      </xdr:nvSpPr>
      <xdr:spPr>
        <a:xfrm>
          <a:off x="28265301" y="245917811"/>
          <a:ext cx="140099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ホース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挿入助剤</a:t>
          </a:r>
        </a:p>
      </xdr:txBody>
    </xdr:sp>
    <xdr:clientData/>
  </xdr:twoCellAnchor>
  <xdr:twoCellAnchor>
    <xdr:from>
      <xdr:col>16</xdr:col>
      <xdr:colOff>656136</xdr:colOff>
      <xdr:row>441</xdr:row>
      <xdr:rowOff>201386</xdr:rowOff>
    </xdr:from>
    <xdr:to>
      <xdr:col>17</xdr:col>
      <xdr:colOff>207373</xdr:colOff>
      <xdr:row>441</xdr:row>
      <xdr:rowOff>201386</xdr:rowOff>
    </xdr:to>
    <xdr:sp macro="" textlink="">
      <xdr:nvSpPr>
        <xdr:cNvPr id="859" name="テキスト 472">
          <a:extLst>
            <a:ext uri="{FF2B5EF4-FFF2-40B4-BE49-F238E27FC236}">
              <a16:creationId xmlns:a16="http://schemas.microsoft.com/office/drawing/2014/main" id="{6224BCF1-87D4-4140-9102-4E831A6D642C}"/>
            </a:ext>
          </a:extLst>
        </xdr:cNvPr>
        <xdr:cNvSpPr txBox="1">
          <a:spLocks noChangeArrowheads="1"/>
        </xdr:cNvSpPr>
      </xdr:nvSpPr>
      <xdr:spPr>
        <a:xfrm>
          <a:off x="28250061" y="24591781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配索状態</a:t>
          </a:r>
        </a:p>
      </xdr:txBody>
    </xdr:sp>
    <xdr:clientData/>
  </xdr:twoCellAnchor>
  <xdr:twoCellAnchor>
    <xdr:from>
      <xdr:col>16</xdr:col>
      <xdr:colOff>656136</xdr:colOff>
      <xdr:row>441</xdr:row>
      <xdr:rowOff>201386</xdr:rowOff>
    </xdr:from>
    <xdr:to>
      <xdr:col>17</xdr:col>
      <xdr:colOff>207373</xdr:colOff>
      <xdr:row>441</xdr:row>
      <xdr:rowOff>201386</xdr:rowOff>
    </xdr:to>
    <xdr:sp macro="" textlink="">
      <xdr:nvSpPr>
        <xdr:cNvPr id="860" name="テキスト 642">
          <a:extLst>
            <a:ext uri="{FF2B5EF4-FFF2-40B4-BE49-F238E27FC236}">
              <a16:creationId xmlns:a16="http://schemas.microsoft.com/office/drawing/2014/main" id="{9AA82E1C-38B1-4725-9DFE-7BDB321DDC0D}"/>
            </a:ext>
          </a:extLst>
        </xdr:cNvPr>
        <xdr:cNvSpPr txBox="1">
          <a:spLocks noChangeArrowheads="1"/>
        </xdr:cNvSpPr>
      </xdr:nvSpPr>
      <xdr:spPr>
        <a:xfrm>
          <a:off x="28250061" y="24591781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クランプ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取付向き</a:t>
          </a:r>
        </a:p>
      </xdr:txBody>
    </xdr:sp>
    <xdr:clientData/>
  </xdr:twoCellAnchor>
  <xdr:twoCellAnchor>
    <xdr:from>
      <xdr:col>16</xdr:col>
      <xdr:colOff>656136</xdr:colOff>
      <xdr:row>441</xdr:row>
      <xdr:rowOff>201386</xdr:rowOff>
    </xdr:from>
    <xdr:to>
      <xdr:col>17</xdr:col>
      <xdr:colOff>207373</xdr:colOff>
      <xdr:row>441</xdr:row>
      <xdr:rowOff>201386</xdr:rowOff>
    </xdr:to>
    <xdr:sp macro="" textlink="">
      <xdr:nvSpPr>
        <xdr:cNvPr id="861" name="テキスト 472">
          <a:extLst>
            <a:ext uri="{FF2B5EF4-FFF2-40B4-BE49-F238E27FC236}">
              <a16:creationId xmlns:a16="http://schemas.microsoft.com/office/drawing/2014/main" id="{86127A59-119B-4407-8FAF-3ABE5616547B}"/>
            </a:ext>
          </a:extLst>
        </xdr:cNvPr>
        <xdr:cNvSpPr txBox="1">
          <a:spLocks noChangeArrowheads="1"/>
        </xdr:cNvSpPr>
      </xdr:nvSpPr>
      <xdr:spPr>
        <a:xfrm>
          <a:off x="28250061" y="245917811"/>
          <a:ext cx="1408612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ハーネス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結線状態</a:t>
          </a:r>
        </a:p>
      </xdr:txBody>
    </xdr:sp>
    <xdr:clientData/>
  </xdr:twoCellAnchor>
  <xdr:twoCellAnchor>
    <xdr:from>
      <xdr:col>18</xdr:col>
      <xdr:colOff>0</xdr:colOff>
      <xdr:row>437</xdr:row>
      <xdr:rowOff>141515</xdr:rowOff>
    </xdr:from>
    <xdr:to>
      <xdr:col>18</xdr:col>
      <xdr:colOff>304800</xdr:colOff>
      <xdr:row>437</xdr:row>
      <xdr:rowOff>141515</xdr:rowOff>
    </xdr:to>
    <xdr:sp macro="" textlink="">
      <xdr:nvSpPr>
        <xdr:cNvPr id="862" name="テキスト 644">
          <a:extLst>
            <a:ext uri="{FF2B5EF4-FFF2-40B4-BE49-F238E27FC236}">
              <a16:creationId xmlns:a16="http://schemas.microsoft.com/office/drawing/2014/main" id="{C968CE3E-BF69-467E-AAD9-E098381C1628}"/>
            </a:ext>
          </a:extLst>
        </xdr:cNvPr>
        <xdr:cNvSpPr txBox="1">
          <a:spLocks noChangeArrowheads="1"/>
        </xdr:cNvSpPr>
      </xdr:nvSpPr>
      <xdr:spPr bwMode="auto">
        <a:xfrm>
          <a:off x="32546925" y="243686240"/>
          <a:ext cx="30480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トルク管理表による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169658</xdr:colOff>
          <xdr:row>0</xdr:row>
          <xdr:rowOff>137371</xdr:rowOff>
        </xdr:from>
        <xdr:to>
          <xdr:col>26</xdr:col>
          <xdr:colOff>721494</xdr:colOff>
          <xdr:row>1</xdr:row>
          <xdr:rowOff>49018</xdr:rowOff>
        </xdr:to>
        <xdr:pic>
          <xdr:nvPicPr>
            <xdr:cNvPr id="355" name="Picture 354">
              <a:extLst>
                <a:ext uri="{FF2B5EF4-FFF2-40B4-BE49-F238E27FC236}">
                  <a16:creationId xmlns:a16="http://schemas.microsoft.com/office/drawing/2014/main" id="{5348BEE5-516C-4C4B-8D29-FE4F05EFBA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eader!$C$10:$Q$13" spid="_x0000_s5719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479431" y="137371"/>
              <a:ext cx="20606290" cy="141832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11</xdr:col>
          <xdr:colOff>954922</xdr:colOff>
          <xdr:row>0</xdr:row>
          <xdr:rowOff>1404534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99837165-7884-834E-EFE5-78D27AA9442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eader!$C$3:$Q$6" spid="_x0000_s5719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0" y="0"/>
              <a:ext cx="21552331" cy="140453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ssapsrv1\A-SOL\WebSphere\AppServer\installedApps\dst2.ear\dst2.war\DL_DIR\02%20Excel\Documents%20and%20Settings\Kazuaki\&#12487;&#12473;&#12463;&#12488;&#12483;&#12503;\ASOL&#12450;&#12503;&#12522;&#12465;&#12540;&#12471;&#12519;&#12531;\(1-%207)&#26032;&#36554;&#22522;&#28310;&#26178;&#38291;&#12522;&#12473;&#12488;(&#20840;&#36554;&#31278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ssapsrv1\&#26032;&#36554;DST&#38283;&#30330;\Documents%20and%20Settings\Administrator\&#12487;&#12473;&#12463;&#12488;&#12483;&#12503;\dst_tmplate\DOCUME~1\Kazuaki\LOCALS~1\Temp\(2-2)&#20182;&#31038;&#36554;&#20998;&#35299;&#35519;&#26619;&#12522;&#12473;&#12488;&#65403;&#65437;&#65420;&#65439;&#6543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「1-7」新車基準時間リスト(全件）"/>
      <sheetName val="Raw data"/>
      <sheetName val="採否比較金額"/>
      <sheetName val="評価比較件数"/>
      <sheetName val="工序表"/>
      <sheetName val="直接材料"/>
      <sheetName val="前保总成（基础配置）"/>
      <sheetName val="一覧表"/>
      <sheetName val="MOTO"/>
      <sheetName val="INFO"/>
      <sheetName val="Calculation"/>
      <sheetName val="BOM系"/>
      <sheetName val="132下実施期GAP"/>
      <sheetName val="square1"/>
      <sheetName val="sheet17"/>
      <sheetName val="A32"/>
      <sheetName val="1)Wood Shop"/>
      <sheetName val="2)mold shop"/>
      <sheetName val="Mach Costs"/>
      <sheetName val="Mldg Resin"/>
      <sheetName val="391.各"/>
      <sheetName val="PV6 3.5L LX5 GMX170"/>
      <sheetName val="WEIGHT"/>
      <sheetName val="(1- 7)新車基準時間リスト(全車種)"/>
      <sheetName val="Pivot Table"/>
      <sheetName val="Calculations"/>
      <sheetName val="Parts"/>
      <sheetName val="Summary"/>
      <sheetName val="Input Sheet"/>
      <sheetName val="Plants"/>
      <sheetName val="ﾌﾞﾗﾝｸﾀﾞｲ"/>
      <sheetName val="明細"/>
      <sheetName val="SCH"/>
      <sheetName val="Tables"/>
      <sheetName val="国产工装"/>
      <sheetName val="一级首页"/>
      <sheetName val="二级明细-非生产"/>
      <sheetName val="二级明细-生产"/>
      <sheetName val="开发费用"/>
      <sheetName val="工装夹检具"/>
      <sheetName val="B14(B13)"/>
      <sheetName val="ﾍﾞﾀﾘｽﾄ"/>
      <sheetName val="残った要件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一覧表"/>
      <sheetName val="2A"/>
      <sheetName val="実行計画時"/>
      <sheetName val="「1-7」新車基準時間リスト(全件）"/>
      <sheetName val="INFO"/>
      <sheetName val="Calculation"/>
      <sheetName val="Parts"/>
      <sheetName val="前保总成（基础配置）"/>
      <sheetName val="132下実施期GAP"/>
      <sheetName val="SX5F仪表台表皮搪塑模具计划"/>
      <sheetName val="Drop down lists"/>
      <sheetName val="Sheet1"/>
      <sheetName val="(2-2)他社車分解調査リストｻﾝﾌﾟﾙ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3FB5-45D8-4F3B-810A-E5DBA05BED17}">
  <sheetPr>
    <tabColor rgb="FFFFFF00"/>
  </sheetPr>
  <dimension ref="C2:Q13"/>
  <sheetViews>
    <sheetView zoomScale="85" zoomScaleNormal="85" workbookViewId="0">
      <selection activeCell="C3" sqref="C3:Q6"/>
    </sheetView>
  </sheetViews>
  <sheetFormatPr defaultRowHeight="15"/>
  <cols>
    <col min="2" max="2" width="8.42578125" customWidth="1"/>
    <col min="3" max="4" width="14.7109375" customWidth="1"/>
    <col min="5" max="5" width="16.7109375" customWidth="1"/>
    <col min="6" max="6" width="14.7109375" customWidth="1"/>
    <col min="7" max="14" width="21.7109375" customWidth="1"/>
    <col min="15" max="15" width="10.7109375" customWidth="1"/>
    <col min="16" max="17" width="11.7109375" customWidth="1"/>
  </cols>
  <sheetData>
    <row r="2" spans="3:17" ht="15.75" thickBot="1"/>
    <row r="3" spans="3:17" ht="24.95" customHeight="1">
      <c r="C3" s="1096" t="s">
        <v>6016</v>
      </c>
      <c r="D3" s="1097"/>
      <c r="E3" s="205" t="s">
        <v>6030</v>
      </c>
      <c r="F3" s="198" t="s">
        <v>6017</v>
      </c>
      <c r="G3" s="1098" t="s">
        <v>6018</v>
      </c>
      <c r="H3" s="1099"/>
      <c r="I3" s="1099"/>
      <c r="J3" s="1099"/>
      <c r="K3" s="1099"/>
      <c r="L3" s="1099"/>
      <c r="M3" s="1099"/>
      <c r="N3" s="1100"/>
      <c r="O3" s="1107"/>
      <c r="P3" s="1107"/>
      <c r="Q3" s="1108"/>
    </row>
    <row r="4" spans="3:17" ht="24.95" customHeight="1">
      <c r="C4" s="1111" t="s">
        <v>6019</v>
      </c>
      <c r="D4" s="1112"/>
      <c r="E4" s="206">
        <v>42151017</v>
      </c>
      <c r="F4" s="199" t="s">
        <v>6020</v>
      </c>
      <c r="G4" s="1101"/>
      <c r="H4" s="1102"/>
      <c r="I4" s="1102"/>
      <c r="J4" s="1102"/>
      <c r="K4" s="1102"/>
      <c r="L4" s="1102"/>
      <c r="M4" s="1102"/>
      <c r="N4" s="1103"/>
      <c r="O4" s="1109"/>
      <c r="P4" s="1109"/>
      <c r="Q4" s="1110"/>
    </row>
    <row r="5" spans="3:17" ht="24.95" customHeight="1">
      <c r="C5" s="208" t="s">
        <v>6029</v>
      </c>
      <c r="D5" s="200" t="s">
        <v>6021</v>
      </c>
      <c r="E5" s="207" t="s">
        <v>6059</v>
      </c>
      <c r="F5" s="201" t="s">
        <v>6022</v>
      </c>
      <c r="G5" s="1101"/>
      <c r="H5" s="1102"/>
      <c r="I5" s="1102"/>
      <c r="J5" s="1102"/>
      <c r="K5" s="1102"/>
      <c r="L5" s="1102"/>
      <c r="M5" s="1102"/>
      <c r="N5" s="1103"/>
      <c r="O5" s="1109"/>
      <c r="P5" s="1109"/>
      <c r="Q5" s="1110"/>
    </row>
    <row r="6" spans="3:17" ht="24.95" customHeight="1" thickBot="1">
      <c r="C6" s="209">
        <v>0</v>
      </c>
      <c r="D6" s="202" t="s">
        <v>6023</v>
      </c>
      <c r="E6" s="203" t="s">
        <v>6024</v>
      </c>
      <c r="F6" s="204" t="s">
        <v>6025</v>
      </c>
      <c r="G6" s="1104"/>
      <c r="H6" s="1105"/>
      <c r="I6" s="1105"/>
      <c r="J6" s="1105"/>
      <c r="K6" s="1105"/>
      <c r="L6" s="1105"/>
      <c r="M6" s="1105"/>
      <c r="N6" s="1106"/>
      <c r="O6" s="1113" t="s">
        <v>6026</v>
      </c>
      <c r="P6" s="1113"/>
      <c r="Q6" s="1114"/>
    </row>
    <row r="7" spans="3:17" ht="24.75" customHeight="1"/>
    <row r="9" spans="3:17" ht="15.75" thickBot="1"/>
    <row r="10" spans="3:17" ht="24.95" customHeight="1">
      <c r="C10" s="1096" t="s">
        <v>6027</v>
      </c>
      <c r="D10" s="1097"/>
      <c r="E10" s="205" t="s">
        <v>6030</v>
      </c>
      <c r="F10" s="198" t="s">
        <v>6017</v>
      </c>
      <c r="G10" s="1098" t="s">
        <v>6028</v>
      </c>
      <c r="H10" s="1099"/>
      <c r="I10" s="1099"/>
      <c r="J10" s="1099"/>
      <c r="K10" s="1099"/>
      <c r="L10" s="1099"/>
      <c r="M10" s="1099"/>
      <c r="N10" s="1100"/>
      <c r="O10" s="1107"/>
      <c r="P10" s="1107"/>
      <c r="Q10" s="1108"/>
    </row>
    <row r="11" spans="3:17" ht="24.95" customHeight="1">
      <c r="C11" s="1111" t="s">
        <v>6019</v>
      </c>
      <c r="D11" s="1112"/>
      <c r="E11" s="206">
        <v>42151017</v>
      </c>
      <c r="F11" s="199" t="s">
        <v>6020</v>
      </c>
      <c r="G11" s="1101"/>
      <c r="H11" s="1102"/>
      <c r="I11" s="1102"/>
      <c r="J11" s="1102"/>
      <c r="K11" s="1102"/>
      <c r="L11" s="1102"/>
      <c r="M11" s="1102"/>
      <c r="N11" s="1103"/>
      <c r="O11" s="1109"/>
      <c r="P11" s="1109"/>
      <c r="Q11" s="1110"/>
    </row>
    <row r="12" spans="3:17" ht="24.95" customHeight="1">
      <c r="C12" s="208" t="s">
        <v>6029</v>
      </c>
      <c r="D12" s="200" t="s">
        <v>6021</v>
      </c>
      <c r="E12" s="207" t="s">
        <v>6031</v>
      </c>
      <c r="F12" s="201" t="s">
        <v>6022</v>
      </c>
      <c r="G12" s="1101"/>
      <c r="H12" s="1102"/>
      <c r="I12" s="1102"/>
      <c r="J12" s="1102"/>
      <c r="K12" s="1102"/>
      <c r="L12" s="1102"/>
      <c r="M12" s="1102"/>
      <c r="N12" s="1103"/>
      <c r="O12" s="1109"/>
      <c r="P12" s="1109"/>
      <c r="Q12" s="1110"/>
    </row>
    <row r="13" spans="3:17" ht="24.95" customHeight="1" thickBot="1">
      <c r="C13" s="209">
        <v>0</v>
      </c>
      <c r="D13" s="202" t="s">
        <v>6023</v>
      </c>
      <c r="E13" s="203" t="s">
        <v>6024</v>
      </c>
      <c r="F13" s="204" t="s">
        <v>6025</v>
      </c>
      <c r="G13" s="1104"/>
      <c r="H13" s="1105"/>
      <c r="I13" s="1105"/>
      <c r="J13" s="1105"/>
      <c r="K13" s="1105"/>
      <c r="L13" s="1105"/>
      <c r="M13" s="1105"/>
      <c r="N13" s="1106"/>
      <c r="O13" s="1113" t="s">
        <v>6026</v>
      </c>
      <c r="P13" s="1113"/>
      <c r="Q13" s="1114"/>
    </row>
  </sheetData>
  <mergeCells count="10">
    <mergeCell ref="C10:D10"/>
    <mergeCell ref="G10:N13"/>
    <mergeCell ref="O10:Q12"/>
    <mergeCell ref="C11:D11"/>
    <mergeCell ref="O13:Q13"/>
    <mergeCell ref="C3:D3"/>
    <mergeCell ref="G3:N6"/>
    <mergeCell ref="O3:Q5"/>
    <mergeCell ref="C4:D4"/>
    <mergeCell ref="O6:Q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9DEB7-C506-4223-BBE3-FBF779E2B0C1}">
  <sheetPr>
    <pageSetUpPr fitToPage="1"/>
  </sheetPr>
  <dimension ref="A1:AH1322"/>
  <sheetViews>
    <sheetView tabSelected="1" zoomScale="55" zoomScaleNormal="55" zoomScaleSheetLayoutView="59" zoomScalePageLayoutView="85" workbookViewId="0">
      <pane ySplit="1" topLeftCell="A139" activePane="bottomLeft" state="frozen"/>
      <selection activeCell="P1" sqref="P1"/>
      <selection pane="bottomLeft" activeCell="D147" sqref="D147:D149"/>
    </sheetView>
  </sheetViews>
  <sheetFormatPr defaultColWidth="9.140625" defaultRowHeight="23.25" thickBottom="1"/>
  <cols>
    <col min="1" max="1" width="11.7109375" style="581" customWidth="1"/>
    <col min="2" max="2" width="9.7109375" style="266" customWidth="1"/>
    <col min="3" max="3" width="60.7109375" style="582" customWidth="1"/>
    <col min="4" max="4" width="23.140625" style="582" bestFit="1" customWidth="1"/>
    <col min="5" max="5" width="14.7109375" style="580" customWidth="1"/>
    <col min="6" max="6" width="12.7109375" style="300" customWidth="1"/>
    <col min="7" max="7" width="12.7109375" style="266" customWidth="1"/>
    <col min="8" max="8" width="33.5703125" style="266" customWidth="1"/>
    <col min="9" max="9" width="27.7109375" style="266" customWidth="1"/>
    <col min="10" max="10" width="42.7109375" style="583" customWidth="1"/>
    <col min="11" max="11" width="18.7109375" style="266" customWidth="1"/>
    <col min="12" max="12" width="16.7109375" style="266" customWidth="1"/>
    <col min="13" max="13" width="4.85546875" style="195" customWidth="1"/>
    <col min="14" max="14" width="11.7109375" style="194" customWidth="1"/>
    <col min="15" max="15" width="62.42578125" style="194" customWidth="1"/>
    <col min="16" max="16" width="25.85546875" style="194" customWidth="1"/>
    <col min="17" max="17" width="27.7109375" style="194" bestFit="1" customWidth="1"/>
    <col min="18" max="18" width="42.5703125" style="194" bestFit="1" customWidth="1"/>
    <col min="19" max="19" width="12" style="194" bestFit="1" customWidth="1"/>
    <col min="20" max="20" width="9" style="194" bestFit="1" customWidth="1"/>
    <col min="21" max="21" width="17.7109375" style="194" bestFit="1" customWidth="1"/>
    <col min="22" max="22" width="5.85546875" style="194" bestFit="1" customWidth="1"/>
    <col min="23" max="23" width="21.140625" style="194" customWidth="1"/>
    <col min="24" max="24" width="25.42578125" style="194" bestFit="1" customWidth="1"/>
    <col min="25" max="25" width="21.5703125" style="194" bestFit="1" customWidth="1"/>
    <col min="26" max="26" width="17.5703125" style="194" customWidth="1"/>
    <col min="27" max="27" width="23.28515625" style="194" customWidth="1"/>
    <col min="28" max="28" width="13.5703125" style="194" customWidth="1"/>
    <col min="29" max="16384" width="9.140625" style="194"/>
  </cols>
  <sheetData>
    <row r="1" spans="1:34" s="195" customFormat="1" ht="118.5" customHeight="1" thickBot="1">
      <c r="A1" s="1190"/>
      <c r="B1" s="1190"/>
      <c r="C1" s="1190"/>
      <c r="D1" s="1190"/>
      <c r="E1" s="1190"/>
      <c r="F1" s="1190"/>
      <c r="G1" s="1190"/>
      <c r="H1" s="1190"/>
      <c r="I1" s="1190"/>
      <c r="J1" s="1190"/>
      <c r="K1" s="1190"/>
      <c r="L1" s="1190"/>
      <c r="AB1" s="194"/>
      <c r="AC1" s="194"/>
      <c r="AD1" s="194"/>
      <c r="AE1" s="194"/>
      <c r="AF1" s="194"/>
      <c r="AG1" s="194"/>
      <c r="AH1" s="194"/>
    </row>
    <row r="2" spans="1:34" ht="36" customHeight="1" thickBot="1">
      <c r="A2" s="210" t="s">
        <v>2708</v>
      </c>
      <c r="B2" s="211" t="s">
        <v>2707</v>
      </c>
      <c r="C2" s="212" t="s">
        <v>2706</v>
      </c>
      <c r="D2" s="212" t="s">
        <v>2705</v>
      </c>
      <c r="E2" s="213" t="s">
        <v>4969</v>
      </c>
      <c r="F2" s="211" t="s">
        <v>4970</v>
      </c>
      <c r="G2" s="214" t="s">
        <v>4971</v>
      </c>
      <c r="H2" s="215" t="s">
        <v>2704</v>
      </c>
      <c r="I2" s="215" t="s">
        <v>2703</v>
      </c>
      <c r="J2" s="216" t="s">
        <v>2702</v>
      </c>
      <c r="K2" s="212" t="s">
        <v>2701</v>
      </c>
      <c r="L2" s="217" t="s">
        <v>4972</v>
      </c>
      <c r="M2" s="194"/>
      <c r="N2" s="210" t="s">
        <v>2708</v>
      </c>
      <c r="O2" s="737" t="str">
        <f>C2</f>
        <v>نام پروسه</v>
      </c>
      <c r="P2" s="737" t="s">
        <v>2705</v>
      </c>
      <c r="Q2" s="738" t="s">
        <v>2704</v>
      </c>
      <c r="R2" s="739" t="s">
        <v>2702</v>
      </c>
      <c r="S2" s="737" t="s">
        <v>2701</v>
      </c>
      <c r="T2" s="218" t="s">
        <v>5423</v>
      </c>
      <c r="U2" s="218" t="s">
        <v>5424</v>
      </c>
      <c r="V2" s="218" t="s">
        <v>5425</v>
      </c>
      <c r="W2" s="219" t="s">
        <v>5426</v>
      </c>
      <c r="X2" s="219" t="s">
        <v>5427</v>
      </c>
      <c r="Y2" s="219" t="s">
        <v>5428</v>
      </c>
      <c r="Z2" s="219" t="s">
        <v>5429</v>
      </c>
      <c r="AA2" s="602" t="s">
        <v>5430</v>
      </c>
    </row>
    <row r="3" spans="1:34" s="770" customFormat="1" ht="36" customHeight="1" thickBot="1">
      <c r="A3" s="759" t="s">
        <v>5278</v>
      </c>
      <c r="B3" s="760" t="s">
        <v>5279</v>
      </c>
      <c r="C3" s="761" t="s">
        <v>5280</v>
      </c>
      <c r="D3" s="762" t="s">
        <v>5281</v>
      </c>
      <c r="E3" s="763"/>
      <c r="F3" s="764"/>
      <c r="G3" s="765"/>
      <c r="H3" s="766" t="s">
        <v>5285</v>
      </c>
      <c r="I3" s="766" t="s">
        <v>5285</v>
      </c>
      <c r="J3" s="767" t="s">
        <v>5285</v>
      </c>
      <c r="K3" s="761" t="s">
        <v>5283</v>
      </c>
      <c r="L3" s="768" t="s">
        <v>5285</v>
      </c>
      <c r="M3" s="194"/>
      <c r="N3" s="210" t="s">
        <v>5278</v>
      </c>
      <c r="O3" s="737" t="s">
        <v>5280</v>
      </c>
      <c r="P3" s="769" t="str">
        <f>D3</f>
        <v>SX5-2803-8</v>
      </c>
      <c r="Q3" s="738"/>
      <c r="R3" s="739"/>
      <c r="S3" s="737"/>
      <c r="T3" s="218"/>
      <c r="U3" s="218"/>
      <c r="V3" s="218"/>
      <c r="W3" s="219"/>
      <c r="X3" s="219"/>
      <c r="Y3" s="219"/>
      <c r="Z3" s="219"/>
      <c r="AA3" s="602"/>
      <c r="AB3" s="194"/>
      <c r="AC3" s="194"/>
      <c r="AD3" s="194"/>
      <c r="AE3" s="194"/>
      <c r="AF3" s="194"/>
      <c r="AG3" s="194"/>
      <c r="AH3" s="194"/>
    </row>
    <row r="4" spans="1:34" ht="33" customHeight="1">
      <c r="A4" s="1175" t="s">
        <v>2700</v>
      </c>
      <c r="B4" s="1222" t="s">
        <v>1620</v>
      </c>
      <c r="C4" s="1169" t="s">
        <v>2699</v>
      </c>
      <c r="D4" s="1142" t="s">
        <v>242</v>
      </c>
      <c r="E4" s="1261" t="s">
        <v>4973</v>
      </c>
      <c r="F4" s="1255">
        <v>1.43</v>
      </c>
      <c r="G4" s="997" t="s">
        <v>0</v>
      </c>
      <c r="H4" s="220" t="s">
        <v>5412</v>
      </c>
      <c r="I4" s="771" t="s">
        <v>5315</v>
      </c>
      <c r="J4" s="221" t="s">
        <v>2698</v>
      </c>
      <c r="K4" s="997">
        <v>1</v>
      </c>
      <c r="L4" s="222" t="s">
        <v>5805</v>
      </c>
      <c r="M4" s="194"/>
      <c r="N4" s="1166" t="str">
        <f t="shared" ref="N4" si="0">A4</f>
        <v>P01</v>
      </c>
      <c r="O4" s="1169" t="str">
        <f>C4</f>
        <v>نصب ECU ایربگ</v>
      </c>
      <c r="P4" s="1142" t="str">
        <f>D4:D12</f>
        <v>SX5-5824-1</v>
      </c>
      <c r="Q4" s="223" t="str">
        <f>H4</f>
        <v>SX7H-5824020</v>
      </c>
      <c r="R4" s="224" t="str">
        <f t="shared" ref="R4:S71" si="1">J4</f>
        <v>واحد کنترل الکترونیکی ایربگ</v>
      </c>
      <c r="S4" s="225">
        <f t="shared" si="1"/>
        <v>1</v>
      </c>
      <c r="T4" s="226"/>
      <c r="U4" s="226"/>
      <c r="V4" s="226"/>
      <c r="W4" s="226"/>
      <c r="X4" s="227"/>
      <c r="Y4" s="227"/>
      <c r="Z4" s="226"/>
      <c r="AA4" s="228"/>
    </row>
    <row r="5" spans="1:34" ht="27" customHeight="1">
      <c r="A5" s="1176"/>
      <c r="B5" s="1151"/>
      <c r="C5" s="1154" t="s">
        <v>1248</v>
      </c>
      <c r="D5" s="1209"/>
      <c r="E5" s="1262"/>
      <c r="F5" s="1216"/>
      <c r="G5" s="952" t="s">
        <v>1</v>
      </c>
      <c r="H5" s="229" t="s">
        <v>26</v>
      </c>
      <c r="I5" s="229"/>
      <c r="J5" s="230" t="s">
        <v>1455</v>
      </c>
      <c r="K5" s="952">
        <v>3</v>
      </c>
      <c r="L5" s="231" t="s">
        <v>5806</v>
      </c>
      <c r="M5" s="194"/>
      <c r="N5" s="1167"/>
      <c r="O5" s="1116"/>
      <c r="P5" s="1117"/>
      <c r="Q5" s="584" t="str">
        <f>H5</f>
        <v>Q32006F36</v>
      </c>
      <c r="R5" s="585" t="str">
        <f t="shared" si="1"/>
        <v>مهره فلنجی</v>
      </c>
      <c r="S5" s="586">
        <f t="shared" si="1"/>
        <v>3</v>
      </c>
      <c r="T5" s="587">
        <v>7</v>
      </c>
      <c r="U5" s="587">
        <v>8</v>
      </c>
      <c r="V5" s="587">
        <v>9</v>
      </c>
      <c r="W5" s="588" t="s">
        <v>5431</v>
      </c>
      <c r="X5" s="587" t="s">
        <v>5432</v>
      </c>
      <c r="Y5" s="587" t="s">
        <v>5433</v>
      </c>
      <c r="Z5" s="587"/>
      <c r="AA5" s="725"/>
    </row>
    <row r="6" spans="1:34" ht="24" customHeight="1">
      <c r="A6" s="1176"/>
      <c r="B6" s="1151" t="s">
        <v>1620</v>
      </c>
      <c r="C6" s="1154" t="s">
        <v>2697</v>
      </c>
      <c r="D6" s="1209" t="s">
        <v>2435</v>
      </c>
      <c r="E6" s="1126" t="s">
        <v>4973</v>
      </c>
      <c r="F6" s="1246">
        <v>3.638935</v>
      </c>
      <c r="G6" s="952" t="s">
        <v>0</v>
      </c>
      <c r="H6" s="1037" t="s">
        <v>573</v>
      </c>
      <c r="I6" s="1037" t="s">
        <v>5185</v>
      </c>
      <c r="J6" s="230" t="s">
        <v>2696</v>
      </c>
      <c r="K6" s="952">
        <v>1</v>
      </c>
      <c r="L6" s="231" t="s">
        <v>5807</v>
      </c>
      <c r="M6" s="194"/>
      <c r="N6" s="1167"/>
      <c r="O6" s="1116" t="str">
        <f>C6</f>
        <v>مونتاژ جک های برقی درب صندوق</v>
      </c>
      <c r="P6" s="1117" t="str">
        <f>D6</f>
        <v>SX7-6309-5</v>
      </c>
      <c r="Q6" s="586" t="str">
        <f t="shared" ref="Q6:Q74" si="2">H6</f>
        <v>SX5-6309551</v>
      </c>
      <c r="R6" s="585" t="str">
        <f t="shared" si="1"/>
        <v>جک برقی درب صندوق عقب - چپ</v>
      </c>
      <c r="S6" s="586">
        <f t="shared" si="1"/>
        <v>1</v>
      </c>
      <c r="T6" s="589"/>
      <c r="U6" s="589"/>
      <c r="V6" s="589"/>
      <c r="W6" s="589"/>
      <c r="X6" s="590"/>
      <c r="Y6" s="590"/>
      <c r="Z6" s="589"/>
      <c r="AA6" s="724"/>
    </row>
    <row r="7" spans="1:34" ht="24.75" customHeight="1">
      <c r="A7" s="1176"/>
      <c r="B7" s="1151"/>
      <c r="C7" s="1154" t="s">
        <v>1248</v>
      </c>
      <c r="D7" s="1209"/>
      <c r="E7" s="1126"/>
      <c r="F7" s="1246"/>
      <c r="G7" s="952" t="s">
        <v>0</v>
      </c>
      <c r="H7" s="1037" t="s">
        <v>5126</v>
      </c>
      <c r="I7" s="1037" t="s">
        <v>5738</v>
      </c>
      <c r="J7" s="230" t="s">
        <v>2695</v>
      </c>
      <c r="K7" s="952">
        <v>1</v>
      </c>
      <c r="L7" s="231" t="s">
        <v>5807</v>
      </c>
      <c r="M7" s="194"/>
      <c r="N7" s="1167"/>
      <c r="O7" s="1116"/>
      <c r="P7" s="1117"/>
      <c r="Q7" s="586" t="str">
        <f>H7</f>
        <v>SX5-6309550</v>
      </c>
      <c r="R7" s="585" t="str">
        <f t="shared" si="1"/>
        <v>جک برقی درب صندوق عقب - راست</v>
      </c>
      <c r="S7" s="586">
        <f t="shared" si="1"/>
        <v>1</v>
      </c>
      <c r="T7" s="589"/>
      <c r="U7" s="589"/>
      <c r="V7" s="589"/>
      <c r="W7" s="589"/>
      <c r="X7" s="590"/>
      <c r="Y7" s="590"/>
      <c r="Z7" s="589"/>
      <c r="AA7" s="724"/>
    </row>
    <row r="8" spans="1:34" ht="24.75" customHeight="1">
      <c r="A8" s="1176"/>
      <c r="B8" s="1151"/>
      <c r="C8" s="1154" t="s">
        <v>1248</v>
      </c>
      <c r="D8" s="1209"/>
      <c r="E8" s="1126"/>
      <c r="F8" s="1246"/>
      <c r="G8" s="952" t="s">
        <v>1</v>
      </c>
      <c r="H8" s="1037" t="s">
        <v>5128</v>
      </c>
      <c r="I8" s="1037" t="s">
        <v>5739</v>
      </c>
      <c r="J8" s="230" t="s">
        <v>2694</v>
      </c>
      <c r="K8" s="952">
        <v>1</v>
      </c>
      <c r="L8" s="231" t="s">
        <v>5808</v>
      </c>
      <c r="M8" s="194"/>
      <c r="N8" s="1167"/>
      <c r="O8" s="1116"/>
      <c r="P8" s="1117"/>
      <c r="Q8" s="586" t="str">
        <f t="shared" si="2"/>
        <v>SX5-6309553</v>
      </c>
      <c r="R8" s="585" t="str">
        <f>J8</f>
        <v>براکت بالایی نصب میل جک - چپ</v>
      </c>
      <c r="S8" s="586">
        <f t="shared" si="1"/>
        <v>1</v>
      </c>
      <c r="T8" s="589"/>
      <c r="U8" s="589"/>
      <c r="V8" s="589"/>
      <c r="W8" s="589"/>
      <c r="X8" s="590"/>
      <c r="Y8" s="590"/>
      <c r="Z8" s="589"/>
      <c r="AA8" s="724"/>
    </row>
    <row r="9" spans="1:34" ht="27" customHeight="1">
      <c r="A9" s="1176"/>
      <c r="B9" s="1151"/>
      <c r="C9" s="1154" t="s">
        <v>1248</v>
      </c>
      <c r="D9" s="1209"/>
      <c r="E9" s="1126"/>
      <c r="F9" s="1246"/>
      <c r="G9" s="952" t="s">
        <v>1</v>
      </c>
      <c r="H9" s="1037" t="s">
        <v>5740</v>
      </c>
      <c r="I9" s="1037" t="s">
        <v>5740</v>
      </c>
      <c r="J9" s="230" t="s">
        <v>2693</v>
      </c>
      <c r="K9" s="952">
        <v>1</v>
      </c>
      <c r="L9" s="231" t="s">
        <v>5809</v>
      </c>
      <c r="M9" s="194"/>
      <c r="N9" s="1167"/>
      <c r="O9" s="1116"/>
      <c r="P9" s="1117"/>
      <c r="Q9" s="586" t="str">
        <f t="shared" si="2"/>
        <v>SX5-6309552S</v>
      </c>
      <c r="R9" s="585" t="str">
        <f t="shared" si="1"/>
        <v>براکت بالایی نصب میل جک - راست</v>
      </c>
      <c r="S9" s="586">
        <f t="shared" si="1"/>
        <v>1</v>
      </c>
      <c r="T9" s="589"/>
      <c r="U9" s="589"/>
      <c r="V9" s="589"/>
      <c r="W9" s="589"/>
      <c r="X9" s="590"/>
      <c r="Y9" s="590"/>
      <c r="Z9" s="589"/>
      <c r="AA9" s="724"/>
    </row>
    <row r="10" spans="1:34" ht="26.25" customHeight="1">
      <c r="A10" s="1176"/>
      <c r="B10" s="1151"/>
      <c r="C10" s="1154" t="s">
        <v>1248</v>
      </c>
      <c r="D10" s="1209"/>
      <c r="E10" s="1126"/>
      <c r="F10" s="1246"/>
      <c r="G10" s="952" t="s">
        <v>2</v>
      </c>
      <c r="H10" s="1037" t="s">
        <v>5127</v>
      </c>
      <c r="I10" s="1037" t="s">
        <v>5741</v>
      </c>
      <c r="J10" s="230" t="s">
        <v>2692</v>
      </c>
      <c r="K10" s="952">
        <v>1</v>
      </c>
      <c r="L10" s="231" t="s">
        <v>5808</v>
      </c>
      <c r="M10" s="194"/>
      <c r="N10" s="1167"/>
      <c r="O10" s="1116"/>
      <c r="P10" s="1117"/>
      <c r="Q10" s="586" t="str">
        <f t="shared" si="2"/>
        <v>SX5-6309555</v>
      </c>
      <c r="R10" s="585" t="str">
        <f t="shared" si="1"/>
        <v>براکت پایین نصب میل جک - چپ</v>
      </c>
      <c r="S10" s="586">
        <f t="shared" si="1"/>
        <v>1</v>
      </c>
      <c r="T10" s="589"/>
      <c r="U10" s="589"/>
      <c r="V10" s="589"/>
      <c r="W10" s="589"/>
      <c r="X10" s="590"/>
      <c r="Y10" s="590"/>
      <c r="Z10" s="589"/>
      <c r="AA10" s="724"/>
    </row>
    <row r="11" spans="1:34" ht="28.5" customHeight="1">
      <c r="A11" s="1176"/>
      <c r="B11" s="1151"/>
      <c r="C11" s="1154" t="s">
        <v>1248</v>
      </c>
      <c r="D11" s="1209"/>
      <c r="E11" s="1126"/>
      <c r="F11" s="1246"/>
      <c r="G11" s="952" t="s">
        <v>2</v>
      </c>
      <c r="H11" s="1037" t="s">
        <v>5125</v>
      </c>
      <c r="I11" s="1037" t="s">
        <v>5742</v>
      </c>
      <c r="J11" s="230" t="s">
        <v>2691</v>
      </c>
      <c r="K11" s="952">
        <v>1</v>
      </c>
      <c r="L11" s="231" t="s">
        <v>5809</v>
      </c>
      <c r="M11" s="194"/>
      <c r="N11" s="1167"/>
      <c r="O11" s="1116"/>
      <c r="P11" s="1117"/>
      <c r="Q11" s="586" t="str">
        <f t="shared" si="2"/>
        <v>SX5-6309554</v>
      </c>
      <c r="R11" s="585" t="str">
        <f t="shared" si="1"/>
        <v>براکت پایین نصب میل جک - راست</v>
      </c>
      <c r="S11" s="586">
        <f t="shared" si="1"/>
        <v>1</v>
      </c>
      <c r="T11" s="589"/>
      <c r="U11" s="589"/>
      <c r="V11" s="589"/>
      <c r="W11" s="589"/>
      <c r="X11" s="590"/>
      <c r="Y11" s="590"/>
      <c r="Z11" s="589"/>
      <c r="AA11" s="724"/>
    </row>
    <row r="12" spans="1:34" ht="30" customHeight="1">
      <c r="A12" s="1176"/>
      <c r="B12" s="1151"/>
      <c r="C12" s="1154" t="s">
        <v>1248</v>
      </c>
      <c r="D12" s="1209"/>
      <c r="E12" s="1126"/>
      <c r="F12" s="1246"/>
      <c r="G12" s="952" t="s">
        <v>7</v>
      </c>
      <c r="H12" s="952" t="s">
        <v>2690</v>
      </c>
      <c r="I12" s="952"/>
      <c r="J12" s="232" t="s">
        <v>1529</v>
      </c>
      <c r="K12" s="952">
        <v>8</v>
      </c>
      <c r="L12" s="231" t="s">
        <v>5810</v>
      </c>
      <c r="M12" s="194"/>
      <c r="N12" s="1167"/>
      <c r="O12" s="1116"/>
      <c r="P12" s="1117"/>
      <c r="Q12" s="586" t="str">
        <f t="shared" si="2"/>
        <v>Q2580820F38</v>
      </c>
      <c r="R12" s="591" t="str">
        <f t="shared" si="1"/>
        <v xml:space="preserve">پیچ سر سوکتی شش گوش </v>
      </c>
      <c r="S12" s="586">
        <f t="shared" si="1"/>
        <v>8</v>
      </c>
      <c r="T12" s="592">
        <v>21</v>
      </c>
      <c r="U12" s="592">
        <v>23</v>
      </c>
      <c r="V12" s="592">
        <v>25</v>
      </c>
      <c r="W12" s="588" t="s">
        <v>5434</v>
      </c>
      <c r="X12" s="587" t="s">
        <v>5435</v>
      </c>
      <c r="Y12" s="587" t="s">
        <v>5436</v>
      </c>
      <c r="Z12" s="587" t="s">
        <v>5437</v>
      </c>
      <c r="AA12" s="726">
        <v>4011</v>
      </c>
    </row>
    <row r="13" spans="1:34" ht="33" customHeight="1">
      <c r="A13" s="1176"/>
      <c r="B13" s="935" t="s">
        <v>1620</v>
      </c>
      <c r="C13" s="982" t="s">
        <v>2689</v>
      </c>
      <c r="D13" s="995"/>
      <c r="E13" s="939"/>
      <c r="F13" s="935"/>
      <c r="G13" s="233"/>
      <c r="H13" s="234" t="s">
        <v>1411</v>
      </c>
      <c r="I13" s="234" t="s">
        <v>1411</v>
      </c>
      <c r="J13" s="235" t="s">
        <v>1411</v>
      </c>
      <c r="K13" s="952"/>
      <c r="L13" s="236"/>
      <c r="M13" s="194"/>
      <c r="N13" s="1167"/>
      <c r="O13" s="964" t="str">
        <f>C13</f>
        <v>چسباندن کاور محافظ روی گلگیرها و دربهای سمت راست</v>
      </c>
      <c r="P13" s="965">
        <f>D13</f>
        <v>0</v>
      </c>
      <c r="Q13" s="593" t="str">
        <f t="shared" si="2"/>
        <v>-------</v>
      </c>
      <c r="R13" s="594" t="str">
        <f t="shared" si="1"/>
        <v>-------</v>
      </c>
      <c r="S13" s="586">
        <f t="shared" si="1"/>
        <v>0</v>
      </c>
      <c r="T13" s="589"/>
      <c r="U13" s="589"/>
      <c r="V13" s="589"/>
      <c r="W13" s="589"/>
      <c r="X13" s="590"/>
      <c r="Y13" s="590"/>
      <c r="Z13" s="589"/>
      <c r="AA13" s="724"/>
    </row>
    <row r="14" spans="1:34" ht="32.25" customHeight="1">
      <c r="A14" s="1176"/>
      <c r="B14" s="1151" t="s">
        <v>1620</v>
      </c>
      <c r="C14" s="1154" t="s">
        <v>2688</v>
      </c>
      <c r="D14" s="1209" t="s">
        <v>558</v>
      </c>
      <c r="E14" s="1126"/>
      <c r="F14" s="1246">
        <v>0.66766499999999995</v>
      </c>
      <c r="G14" s="952" t="s">
        <v>0</v>
      </c>
      <c r="H14" s="952" t="s">
        <v>2687</v>
      </c>
      <c r="I14" s="952"/>
      <c r="J14" s="230" t="s">
        <v>2686</v>
      </c>
      <c r="K14" s="952">
        <v>2</v>
      </c>
      <c r="L14" s="231" t="s">
        <v>5811</v>
      </c>
      <c r="M14" s="194"/>
      <c r="N14" s="1167"/>
      <c r="O14" s="1116" t="str">
        <f>C14</f>
        <v xml:space="preserve">نصب ضربه گیر روی درب صندوق </v>
      </c>
      <c r="P14" s="1117" t="str">
        <f>D14</f>
        <v>SX7-6305-4</v>
      </c>
      <c r="Q14" s="586" t="str">
        <f t="shared" si="2"/>
        <v>SX5-6305620</v>
      </c>
      <c r="R14" s="585" t="str">
        <f t="shared" si="1"/>
        <v>ضربه گیر درب صندوق</v>
      </c>
      <c r="S14" s="586">
        <f t="shared" si="1"/>
        <v>2</v>
      </c>
      <c r="T14" s="589"/>
      <c r="U14" s="589"/>
      <c r="V14" s="589"/>
      <c r="W14" s="589"/>
      <c r="X14" s="590"/>
      <c r="Y14" s="590"/>
      <c r="Z14" s="589"/>
      <c r="AA14" s="724"/>
    </row>
    <row r="15" spans="1:34" ht="27.75" customHeight="1">
      <c r="A15" s="1176"/>
      <c r="B15" s="1151"/>
      <c r="C15" s="1154" t="s">
        <v>1248</v>
      </c>
      <c r="D15" s="1209"/>
      <c r="E15" s="1126"/>
      <c r="F15" s="1246"/>
      <c r="G15" s="952" t="s">
        <v>1</v>
      </c>
      <c r="H15" s="237" t="s">
        <v>5270</v>
      </c>
      <c r="I15" s="237" t="s">
        <v>3</v>
      </c>
      <c r="J15" s="230" t="s">
        <v>1587</v>
      </c>
      <c r="K15" s="952">
        <v>2</v>
      </c>
      <c r="L15" s="231" t="s">
        <v>5810</v>
      </c>
      <c r="M15" s="194"/>
      <c r="N15" s="1167"/>
      <c r="O15" s="1116"/>
      <c r="P15" s="1117"/>
      <c r="Q15" s="595" t="str">
        <f>H15</f>
        <v>B-6106051A</v>
      </c>
      <c r="R15" s="585" t="str">
        <f t="shared" si="1"/>
        <v xml:space="preserve">پیچ فلنجی سر شش گوش </v>
      </c>
      <c r="S15" s="586">
        <f t="shared" si="1"/>
        <v>2</v>
      </c>
      <c r="T15" s="587">
        <v>6</v>
      </c>
      <c r="U15" s="587">
        <v>7</v>
      </c>
      <c r="V15" s="587">
        <v>8</v>
      </c>
      <c r="W15" s="588" t="s">
        <v>5431</v>
      </c>
      <c r="X15" s="587" t="s">
        <v>5432</v>
      </c>
      <c r="Y15" s="587" t="s">
        <v>5438</v>
      </c>
      <c r="Z15" s="587"/>
      <c r="AA15" s="727"/>
    </row>
    <row r="16" spans="1:34" ht="33" customHeight="1">
      <c r="A16" s="1176"/>
      <c r="B16" s="935" t="s">
        <v>1620</v>
      </c>
      <c r="C16" s="238" t="s">
        <v>2682</v>
      </c>
      <c r="D16" s="239" t="s">
        <v>647</v>
      </c>
      <c r="E16" s="939"/>
      <c r="F16" s="1021">
        <v>0.172235</v>
      </c>
      <c r="G16" s="240" t="s">
        <v>0</v>
      </c>
      <c r="H16" s="240" t="s">
        <v>646</v>
      </c>
      <c r="I16" s="1037"/>
      <c r="J16" s="230" t="s">
        <v>1640</v>
      </c>
      <c r="K16" s="952">
        <v>4</v>
      </c>
      <c r="L16" s="231" t="s">
        <v>5812</v>
      </c>
      <c r="M16" s="194"/>
      <c r="N16" s="1167"/>
      <c r="O16" s="596" t="str">
        <f>C16</f>
        <v xml:space="preserve">  نصب کورکن های درب صندوق</v>
      </c>
      <c r="P16" s="597" t="s">
        <v>647</v>
      </c>
      <c r="Q16" s="598" t="str">
        <f t="shared" si="2"/>
        <v>82MK-00032</v>
      </c>
      <c r="R16" s="585" t="str">
        <f t="shared" si="1"/>
        <v>کورکن</v>
      </c>
      <c r="S16" s="586">
        <f t="shared" si="1"/>
        <v>4</v>
      </c>
      <c r="T16" s="589"/>
      <c r="U16" s="589"/>
      <c r="V16" s="589"/>
      <c r="W16" s="589"/>
      <c r="X16" s="590"/>
      <c r="Y16" s="590"/>
      <c r="Z16" s="589"/>
      <c r="AA16" s="724"/>
    </row>
    <row r="17" spans="1:34" ht="36.75" customHeight="1">
      <c r="A17" s="1176"/>
      <c r="B17" s="1151" t="s">
        <v>1620</v>
      </c>
      <c r="C17" s="1154" t="s">
        <v>5132</v>
      </c>
      <c r="D17" s="1209" t="s">
        <v>5023</v>
      </c>
      <c r="E17" s="1126"/>
      <c r="F17" s="1250">
        <v>0.53427999999999998</v>
      </c>
      <c r="G17" s="952" t="s">
        <v>0</v>
      </c>
      <c r="H17" s="952" t="s">
        <v>5130</v>
      </c>
      <c r="I17" s="1037"/>
      <c r="J17" s="230" t="s">
        <v>2681</v>
      </c>
      <c r="K17" s="952">
        <v>1</v>
      </c>
      <c r="L17" s="231" t="s">
        <v>5813</v>
      </c>
      <c r="M17" s="194"/>
      <c r="N17" s="1167"/>
      <c r="O17" s="1116" t="str">
        <f>C17</f>
        <v xml:space="preserve">مونتاژ براکت نصب دسته چپ سیم روی دسته  موتور </v>
      </c>
      <c r="P17" s="1117" t="str">
        <f>D17</f>
        <v>SX7H-4106-1</v>
      </c>
      <c r="Q17" s="586" t="str">
        <f t="shared" si="2"/>
        <v>SX7H-4016109</v>
      </c>
      <c r="R17" s="585" t="str">
        <f t="shared" si="1"/>
        <v>براکت نصب دسته سیم</v>
      </c>
      <c r="S17" s="586">
        <f t="shared" si="1"/>
        <v>1</v>
      </c>
      <c r="T17" s="589"/>
      <c r="U17" s="589"/>
      <c r="V17" s="589"/>
      <c r="W17" s="589"/>
      <c r="X17" s="590"/>
      <c r="Y17" s="590"/>
      <c r="Z17" s="589"/>
      <c r="AA17" s="724"/>
    </row>
    <row r="18" spans="1:34" ht="31.5" customHeight="1">
      <c r="A18" s="1176"/>
      <c r="B18" s="1151"/>
      <c r="C18" s="1154" t="s">
        <v>1248</v>
      </c>
      <c r="D18" s="1209"/>
      <c r="E18" s="1126"/>
      <c r="F18" s="1250"/>
      <c r="G18" s="952" t="s">
        <v>1</v>
      </c>
      <c r="H18" s="952" t="s">
        <v>218</v>
      </c>
      <c r="I18" s="1037"/>
      <c r="J18" s="230" t="s">
        <v>2680</v>
      </c>
      <c r="K18" s="952">
        <v>1</v>
      </c>
      <c r="L18" s="231" t="s">
        <v>5814</v>
      </c>
      <c r="M18" s="194"/>
      <c r="N18" s="1167"/>
      <c r="O18" s="1116"/>
      <c r="P18" s="1117"/>
      <c r="Q18" s="586" t="str">
        <f t="shared" si="2"/>
        <v>Q1840816F38</v>
      </c>
      <c r="R18" s="585" t="str">
        <f t="shared" si="1"/>
        <v>مجموعه پیچ سر شش گوش با واشر</v>
      </c>
      <c r="S18" s="586">
        <f t="shared" si="1"/>
        <v>1</v>
      </c>
      <c r="T18" s="587">
        <v>6</v>
      </c>
      <c r="U18" s="587">
        <v>8</v>
      </c>
      <c r="V18" s="587">
        <v>10</v>
      </c>
      <c r="W18" s="588" t="s">
        <v>5431</v>
      </c>
      <c r="X18" s="587" t="s">
        <v>5432</v>
      </c>
      <c r="Y18" s="587" t="s">
        <v>5433</v>
      </c>
      <c r="Z18" s="587"/>
      <c r="AA18" s="727"/>
    </row>
    <row r="19" spans="1:34" ht="30.75" customHeight="1">
      <c r="A19" s="1176"/>
      <c r="B19" s="1160" t="s">
        <v>1620</v>
      </c>
      <c r="C19" s="1152" t="s">
        <v>5138</v>
      </c>
      <c r="D19" s="1120" t="s">
        <v>5022</v>
      </c>
      <c r="E19" s="1122"/>
      <c r="F19" s="1259"/>
      <c r="G19" s="975"/>
      <c r="H19" s="975" t="s">
        <v>4964</v>
      </c>
      <c r="I19" s="1037"/>
      <c r="J19" s="241" t="s">
        <v>5004</v>
      </c>
      <c r="K19" s="975">
        <v>1</v>
      </c>
      <c r="L19" s="231" t="s">
        <v>5813</v>
      </c>
      <c r="M19" s="194"/>
      <c r="N19" s="1167"/>
      <c r="O19" s="1116" t="s">
        <v>5138</v>
      </c>
      <c r="P19" s="1117" t="s">
        <v>5022</v>
      </c>
      <c r="Q19" s="586" t="s">
        <v>4964</v>
      </c>
      <c r="R19" s="585" t="s">
        <v>5004</v>
      </c>
      <c r="S19" s="586">
        <v>1</v>
      </c>
      <c r="T19" s="587">
        <v>6</v>
      </c>
      <c r="U19" s="587">
        <v>8</v>
      </c>
      <c r="V19" s="587">
        <v>10</v>
      </c>
      <c r="W19" s="588"/>
      <c r="X19" s="587" t="s">
        <v>5432</v>
      </c>
      <c r="Y19" s="587" t="s">
        <v>5433</v>
      </c>
      <c r="Z19" s="587"/>
      <c r="AA19" s="727"/>
    </row>
    <row r="20" spans="1:34" ht="28.5" customHeight="1">
      <c r="A20" s="1176"/>
      <c r="B20" s="1161"/>
      <c r="C20" s="1153"/>
      <c r="D20" s="1121"/>
      <c r="E20" s="1123"/>
      <c r="F20" s="1240"/>
      <c r="G20" s="975"/>
      <c r="H20" s="975" t="s">
        <v>218</v>
      </c>
      <c r="I20" s="1037"/>
      <c r="J20" s="241" t="s">
        <v>1587</v>
      </c>
      <c r="K20" s="975">
        <v>1</v>
      </c>
      <c r="L20" s="231" t="s">
        <v>5813</v>
      </c>
      <c r="M20" s="194"/>
      <c r="N20" s="1167"/>
      <c r="O20" s="1116"/>
      <c r="P20" s="1117"/>
      <c r="Q20" s="586" t="s">
        <v>4963</v>
      </c>
      <c r="R20" s="585" t="s">
        <v>1587</v>
      </c>
      <c r="S20" s="586">
        <v>1</v>
      </c>
      <c r="T20" s="587"/>
      <c r="U20" s="587"/>
      <c r="V20" s="587"/>
      <c r="W20" s="588"/>
      <c r="X20" s="587"/>
      <c r="Y20" s="587"/>
      <c r="Z20" s="587"/>
      <c r="AA20" s="727"/>
    </row>
    <row r="21" spans="1:34" ht="26.25" customHeight="1">
      <c r="A21" s="1176"/>
      <c r="B21" s="925" t="s">
        <v>1620</v>
      </c>
      <c r="C21" s="926" t="s">
        <v>2679</v>
      </c>
      <c r="D21" s="242" t="s">
        <v>1904</v>
      </c>
      <c r="E21" s="928"/>
      <c r="F21" s="1022">
        <v>0.45</v>
      </c>
      <c r="G21" s="975"/>
      <c r="H21" s="975" t="s">
        <v>5420</v>
      </c>
      <c r="I21" s="1037"/>
      <c r="J21" s="241"/>
      <c r="K21" s="975"/>
      <c r="L21" s="231"/>
      <c r="M21" s="194"/>
      <c r="N21" s="1167"/>
      <c r="O21" s="914" t="s">
        <v>2679</v>
      </c>
      <c r="P21" s="915"/>
      <c r="Q21" s="586"/>
      <c r="R21" s="585"/>
      <c r="S21" s="586"/>
      <c r="T21" s="587"/>
      <c r="U21" s="587"/>
      <c r="V21" s="587"/>
      <c r="W21" s="588"/>
      <c r="X21" s="587"/>
      <c r="Y21" s="587"/>
      <c r="Z21" s="587"/>
      <c r="AA21" s="727"/>
    </row>
    <row r="22" spans="1:34" s="245" customFormat="1" ht="33" customHeight="1">
      <c r="A22" s="1176"/>
      <c r="B22" s="1151" t="s">
        <v>1620</v>
      </c>
      <c r="C22" s="1154" t="s">
        <v>2685</v>
      </c>
      <c r="D22" s="1209" t="s">
        <v>566</v>
      </c>
      <c r="E22" s="1126" t="s">
        <v>37</v>
      </c>
      <c r="F22" s="1246">
        <v>1.55412666666667</v>
      </c>
      <c r="G22" s="952" t="s">
        <v>0</v>
      </c>
      <c r="H22" s="243" t="s">
        <v>2684</v>
      </c>
      <c r="I22" s="244"/>
      <c r="J22" s="230" t="s">
        <v>2683</v>
      </c>
      <c r="K22" s="952">
        <v>1</v>
      </c>
      <c r="L22" s="231" t="s">
        <v>5815</v>
      </c>
      <c r="M22" s="194"/>
      <c r="N22" s="1167"/>
      <c r="O22" s="1116" t="str">
        <f>C22</f>
        <v>مونتاژ دسته سیم درب صندوق</v>
      </c>
      <c r="P22" s="1117" t="str">
        <f>D22</f>
        <v>SX5F-4002-3</v>
      </c>
      <c r="Q22" s="599" t="str">
        <f t="shared" ref="Q22:Q23" si="3">H22</f>
        <v>SX5F-4002820A</v>
      </c>
      <c r="R22" s="585" t="str">
        <f t="shared" ref="R22:S23" si="4">J22</f>
        <v>مجموعه دسته سیم درب صندوق عقب</v>
      </c>
      <c r="S22" s="586">
        <f t="shared" si="4"/>
        <v>1</v>
      </c>
      <c r="T22" s="589"/>
      <c r="U22" s="589"/>
      <c r="V22" s="589"/>
      <c r="W22" s="589"/>
      <c r="X22" s="590"/>
      <c r="Y22" s="590"/>
      <c r="Z22" s="589"/>
      <c r="AA22" s="724"/>
      <c r="AB22" s="194"/>
      <c r="AC22" s="194"/>
      <c r="AD22" s="194"/>
      <c r="AE22" s="194"/>
      <c r="AF22" s="194"/>
      <c r="AG22" s="194"/>
      <c r="AH22" s="194"/>
    </row>
    <row r="23" spans="1:34" ht="33" customHeight="1">
      <c r="A23" s="1176"/>
      <c r="B23" s="1151"/>
      <c r="C23" s="1154" t="s">
        <v>1248</v>
      </c>
      <c r="D23" s="1209"/>
      <c r="E23" s="1126"/>
      <c r="F23" s="1246"/>
      <c r="G23" s="952" t="s">
        <v>1</v>
      </c>
      <c r="H23" s="952" t="s">
        <v>16</v>
      </c>
      <c r="I23" s="952"/>
      <c r="J23" s="230" t="s">
        <v>2312</v>
      </c>
      <c r="K23" s="952">
        <v>1</v>
      </c>
      <c r="L23" s="231" t="s">
        <v>5815</v>
      </c>
      <c r="M23" s="194"/>
      <c r="N23" s="1167"/>
      <c r="O23" s="1116"/>
      <c r="P23" s="1117"/>
      <c r="Q23" s="586" t="str">
        <f t="shared" si="3"/>
        <v>A13-4016201</v>
      </c>
      <c r="R23" s="585" t="str">
        <f t="shared" si="4"/>
        <v>پیچ  سر شش گوش واشردار</v>
      </c>
      <c r="S23" s="586">
        <f t="shared" si="4"/>
        <v>1</v>
      </c>
      <c r="T23" s="587">
        <v>5</v>
      </c>
      <c r="U23" s="587">
        <v>6</v>
      </c>
      <c r="V23" s="587">
        <v>7</v>
      </c>
      <c r="W23" s="588" t="s">
        <v>5431</v>
      </c>
      <c r="X23" s="587" t="s">
        <v>5432</v>
      </c>
      <c r="Y23" s="587" t="s">
        <v>5438</v>
      </c>
      <c r="Z23" s="587"/>
      <c r="AA23" s="727"/>
    </row>
    <row r="24" spans="1:34" ht="33" customHeight="1">
      <c r="A24" s="1176"/>
      <c r="B24" s="1160" t="s">
        <v>1620</v>
      </c>
      <c r="C24" s="1152" t="s">
        <v>5317</v>
      </c>
      <c r="D24" s="1120" t="s">
        <v>5318</v>
      </c>
      <c r="E24" s="1122"/>
      <c r="F24" s="1160"/>
      <c r="G24" s="977" t="s">
        <v>0</v>
      </c>
      <c r="H24" s="935" t="s">
        <v>6197</v>
      </c>
      <c r="I24" s="977"/>
      <c r="J24" s="246" t="s">
        <v>5319</v>
      </c>
      <c r="K24" s="977">
        <v>1</v>
      </c>
      <c r="L24" s="231" t="s">
        <v>5814</v>
      </c>
      <c r="M24" s="194"/>
      <c r="N24" s="1167"/>
      <c r="O24" s="1116" t="s">
        <v>5317</v>
      </c>
      <c r="P24" s="1117" t="str">
        <f>D24</f>
        <v>SX7H-4016-1</v>
      </c>
      <c r="Q24" s="629" t="s">
        <v>981</v>
      </c>
      <c r="R24" s="600" t="s">
        <v>5319</v>
      </c>
      <c r="S24" s="586">
        <v>1</v>
      </c>
      <c r="T24" s="587"/>
      <c r="U24" s="587"/>
      <c r="V24" s="587"/>
      <c r="W24" s="588"/>
      <c r="X24" s="587"/>
      <c r="Y24" s="587"/>
      <c r="Z24" s="587"/>
      <c r="AA24" s="727"/>
    </row>
    <row r="25" spans="1:34" ht="33" customHeight="1" thickBot="1">
      <c r="A25" s="1236"/>
      <c r="B25" s="1242"/>
      <c r="C25" s="1243"/>
      <c r="D25" s="1244"/>
      <c r="E25" s="1245"/>
      <c r="F25" s="1242"/>
      <c r="G25" s="1008" t="s">
        <v>1</v>
      </c>
      <c r="H25" s="248" t="s">
        <v>218</v>
      </c>
      <c r="I25" s="1008"/>
      <c r="J25" s="249" t="s">
        <v>5021</v>
      </c>
      <c r="K25" s="1008">
        <v>1</v>
      </c>
      <c r="L25" s="250" t="s">
        <v>5813</v>
      </c>
      <c r="M25" s="194"/>
      <c r="N25" s="1168"/>
      <c r="O25" s="1186"/>
      <c r="P25" s="1159"/>
      <c r="Q25" s="601" t="s">
        <v>982</v>
      </c>
      <c r="R25" s="338" t="s">
        <v>5021</v>
      </c>
      <c r="S25" s="251">
        <v>1</v>
      </c>
      <c r="T25" s="252">
        <v>6</v>
      </c>
      <c r="U25" s="252">
        <v>8</v>
      </c>
      <c r="V25" s="252">
        <v>10</v>
      </c>
      <c r="W25" s="253"/>
      <c r="X25" s="252" t="s">
        <v>5432</v>
      </c>
      <c r="Y25" s="252" t="s">
        <v>5433</v>
      </c>
      <c r="Z25" s="252"/>
      <c r="AA25" s="275"/>
    </row>
    <row r="26" spans="1:34" ht="46.5" customHeight="1">
      <c r="A26" s="1175" t="s">
        <v>2678</v>
      </c>
      <c r="B26" s="946" t="s">
        <v>2643</v>
      </c>
      <c r="C26" s="966" t="s">
        <v>2677</v>
      </c>
      <c r="D26" s="967" t="s">
        <v>2676</v>
      </c>
      <c r="E26" s="945"/>
      <c r="F26" s="254">
        <v>0.83786499999999997</v>
      </c>
      <c r="G26" s="255" t="s">
        <v>1371</v>
      </c>
      <c r="H26" s="255" t="s">
        <v>1412</v>
      </c>
      <c r="I26" s="255"/>
      <c r="J26" s="256" t="s">
        <v>2675</v>
      </c>
      <c r="K26" s="255" t="s">
        <v>1371</v>
      </c>
      <c r="L26" s="257"/>
      <c r="M26" s="194"/>
      <c r="N26" s="1166" t="s">
        <v>2678</v>
      </c>
      <c r="O26" s="966" t="str">
        <f>C26</f>
        <v>دمونتاژ تیرک بالای رادياتور</v>
      </c>
      <c r="P26" s="967" t="str">
        <f>D26</f>
        <v>SX5-1300-5</v>
      </c>
      <c r="Q26" s="346" t="str">
        <f t="shared" si="2"/>
        <v>------</v>
      </c>
      <c r="R26" s="345" t="str">
        <f t="shared" si="1"/>
        <v>تیرک بالای رادياتور</v>
      </c>
      <c r="S26" s="346" t="str">
        <f t="shared" si="1"/>
        <v>---</v>
      </c>
      <c r="T26" s="328">
        <v>10</v>
      </c>
      <c r="U26" s="328">
        <v>11</v>
      </c>
      <c r="V26" s="328">
        <v>12</v>
      </c>
      <c r="W26" s="329" t="s">
        <v>5431</v>
      </c>
      <c r="X26" s="328" t="s">
        <v>5432</v>
      </c>
      <c r="Y26" s="328" t="s">
        <v>5439</v>
      </c>
      <c r="Z26" s="328"/>
      <c r="AA26" s="483"/>
    </row>
    <row r="27" spans="1:34" ht="46.5" customHeight="1">
      <c r="A27" s="1176"/>
      <c r="B27" s="918" t="s">
        <v>2643</v>
      </c>
      <c r="C27" s="961" t="s">
        <v>5354</v>
      </c>
      <c r="D27" s="959" t="s">
        <v>5355</v>
      </c>
      <c r="E27" s="924"/>
      <c r="F27" s="918"/>
      <c r="G27" s="258" t="s">
        <v>0</v>
      </c>
      <c r="H27" s="258" t="s">
        <v>5356</v>
      </c>
      <c r="I27" s="258"/>
      <c r="J27" s="259" t="s">
        <v>5357</v>
      </c>
      <c r="K27" s="258">
        <v>1</v>
      </c>
      <c r="L27" s="231" t="s">
        <v>5814</v>
      </c>
      <c r="M27" s="194"/>
      <c r="N27" s="1167"/>
      <c r="O27" s="964" t="s">
        <v>5354</v>
      </c>
      <c r="P27" s="965" t="s">
        <v>5355</v>
      </c>
      <c r="Q27" s="611" t="s">
        <v>5356</v>
      </c>
      <c r="R27" s="610" t="s">
        <v>5357</v>
      </c>
      <c r="S27" s="611">
        <v>1</v>
      </c>
      <c r="T27" s="587"/>
      <c r="U27" s="587"/>
      <c r="V27" s="587"/>
      <c r="W27" s="588"/>
      <c r="X27" s="587"/>
      <c r="Y27" s="587"/>
      <c r="Z27" s="587"/>
      <c r="AA27" s="727"/>
    </row>
    <row r="28" spans="1:34" ht="46.5" customHeight="1">
      <c r="A28" s="1176"/>
      <c r="B28" s="1151" t="s">
        <v>2643</v>
      </c>
      <c r="C28" s="1154" t="s">
        <v>2674</v>
      </c>
      <c r="D28" s="1209" t="s">
        <v>131</v>
      </c>
      <c r="E28" s="1126" t="s">
        <v>4973</v>
      </c>
      <c r="F28" s="1246">
        <v>1.59063</v>
      </c>
      <c r="G28" s="952" t="s">
        <v>697</v>
      </c>
      <c r="H28" s="977" t="s">
        <v>5743</v>
      </c>
      <c r="I28" s="952" t="s">
        <v>2673</v>
      </c>
      <c r="J28" s="230" t="s">
        <v>2672</v>
      </c>
      <c r="K28" s="952">
        <v>1</v>
      </c>
      <c r="L28" s="231" t="s">
        <v>5807</v>
      </c>
      <c r="M28" s="194"/>
      <c r="N28" s="1167"/>
      <c r="O28" s="1116" t="str">
        <f>C28</f>
        <v>نصب جک های گازی درب موتور</v>
      </c>
      <c r="P28" s="1117" t="str">
        <f>D28</f>
        <v>SX7-8402-2</v>
      </c>
      <c r="Q28" s="586" t="str">
        <f t="shared" si="2"/>
        <v>SX7-8402711</v>
      </c>
      <c r="R28" s="585" t="str">
        <f t="shared" si="1"/>
        <v xml:space="preserve">جک گازی درب موتور - چپ </v>
      </c>
      <c r="S28" s="586">
        <f t="shared" si="1"/>
        <v>1</v>
      </c>
      <c r="T28" s="589"/>
      <c r="U28" s="589"/>
      <c r="V28" s="589"/>
      <c r="W28" s="589"/>
      <c r="X28" s="590"/>
      <c r="Y28" s="590"/>
      <c r="Z28" s="589"/>
      <c r="AA28" s="724"/>
    </row>
    <row r="29" spans="1:34" ht="46.5" customHeight="1">
      <c r="A29" s="1176"/>
      <c r="B29" s="1151"/>
      <c r="C29" s="1154" t="s">
        <v>1248</v>
      </c>
      <c r="D29" s="1209"/>
      <c r="E29" s="1126"/>
      <c r="F29" s="1246"/>
      <c r="G29" s="952" t="s">
        <v>697</v>
      </c>
      <c r="H29" s="952" t="s">
        <v>5744</v>
      </c>
      <c r="I29" s="952" t="s">
        <v>2671</v>
      </c>
      <c r="J29" s="230" t="s">
        <v>2670</v>
      </c>
      <c r="K29" s="952">
        <v>1</v>
      </c>
      <c r="L29" s="231" t="s">
        <v>5807</v>
      </c>
      <c r="M29" s="194"/>
      <c r="N29" s="1167"/>
      <c r="O29" s="1116"/>
      <c r="P29" s="1117"/>
      <c r="Q29" s="586" t="str">
        <f t="shared" si="2"/>
        <v>SX7-8402710</v>
      </c>
      <c r="R29" s="585" t="str">
        <f t="shared" si="1"/>
        <v xml:space="preserve">جک گازی درب موتور - راست </v>
      </c>
      <c r="S29" s="586">
        <f t="shared" si="1"/>
        <v>1</v>
      </c>
      <c r="T29" s="589"/>
      <c r="U29" s="589"/>
      <c r="V29" s="589"/>
      <c r="W29" s="589"/>
      <c r="X29" s="590"/>
      <c r="Y29" s="590"/>
      <c r="Z29" s="589"/>
      <c r="AA29" s="724"/>
    </row>
    <row r="30" spans="1:34" ht="46.5" customHeight="1">
      <c r="A30" s="1176"/>
      <c r="B30" s="1151"/>
      <c r="C30" s="1154" t="s">
        <v>1248</v>
      </c>
      <c r="D30" s="1209"/>
      <c r="E30" s="1126"/>
      <c r="F30" s="1246"/>
      <c r="G30" s="952" t="s">
        <v>717</v>
      </c>
      <c r="H30" s="952" t="s">
        <v>132</v>
      </c>
      <c r="I30" s="952"/>
      <c r="J30" s="230" t="s">
        <v>2438</v>
      </c>
      <c r="K30" s="952">
        <v>4</v>
      </c>
      <c r="L30" s="231" t="s">
        <v>5812</v>
      </c>
      <c r="M30" s="194"/>
      <c r="N30" s="1167"/>
      <c r="O30" s="1116"/>
      <c r="P30" s="1117"/>
      <c r="Q30" s="586" t="str">
        <f t="shared" si="2"/>
        <v>A-6309012A</v>
      </c>
      <c r="R30" s="585" t="str">
        <f t="shared" si="1"/>
        <v>پیچ سر کروی</v>
      </c>
      <c r="S30" s="586">
        <f t="shared" si="1"/>
        <v>4</v>
      </c>
      <c r="T30" s="587">
        <v>13</v>
      </c>
      <c r="U30" s="587">
        <v>15</v>
      </c>
      <c r="V30" s="587">
        <v>17</v>
      </c>
      <c r="W30" s="588" t="s">
        <v>5440</v>
      </c>
      <c r="X30" s="587" t="s">
        <v>5435</v>
      </c>
      <c r="Y30" s="603" t="s">
        <v>5441</v>
      </c>
      <c r="Z30" s="603" t="s">
        <v>5442</v>
      </c>
      <c r="AA30" s="727" t="s">
        <v>5443</v>
      </c>
    </row>
    <row r="31" spans="1:34" ht="46.5" customHeight="1">
      <c r="A31" s="1176"/>
      <c r="B31" s="1151" t="s">
        <v>2643</v>
      </c>
      <c r="C31" s="1154" t="s">
        <v>2669</v>
      </c>
      <c r="D31" s="1209" t="s">
        <v>6131</v>
      </c>
      <c r="E31" s="1126" t="s">
        <v>4973</v>
      </c>
      <c r="F31" s="1250">
        <v>1.654085</v>
      </c>
      <c r="G31" s="952" t="s">
        <v>0</v>
      </c>
      <c r="H31" s="952" t="s">
        <v>5409</v>
      </c>
      <c r="I31" s="952" t="s">
        <v>5408</v>
      </c>
      <c r="J31" s="230" t="s">
        <v>2668</v>
      </c>
      <c r="K31" s="952">
        <v>1</v>
      </c>
      <c r="L31" s="231" t="s">
        <v>5807</v>
      </c>
      <c r="M31" s="194"/>
      <c r="N31" s="1167"/>
      <c r="O31" s="1116" t="str">
        <f>C31</f>
        <v xml:space="preserve">نصب دسته موتور راست با چسب لاکتایت  </v>
      </c>
      <c r="P31" s="1117" t="str">
        <f>D31</f>
        <v>SX3DCN-1001-6</v>
      </c>
      <c r="Q31" s="586" t="str">
        <f t="shared" si="2"/>
        <v>SX7H-1001020</v>
      </c>
      <c r="R31" s="585" t="str">
        <f t="shared" si="1"/>
        <v>دسته موتور - راست</v>
      </c>
      <c r="S31" s="586">
        <f t="shared" si="1"/>
        <v>1</v>
      </c>
      <c r="T31" s="589"/>
      <c r="U31" s="589"/>
      <c r="V31" s="589"/>
      <c r="W31" s="589"/>
      <c r="X31" s="590"/>
      <c r="Y31" s="590"/>
      <c r="Z31" s="589"/>
      <c r="AA31" s="724"/>
    </row>
    <row r="32" spans="1:34" ht="46.5" customHeight="1">
      <c r="A32" s="1176"/>
      <c r="B32" s="1151"/>
      <c r="C32" s="1154" t="s">
        <v>1248</v>
      </c>
      <c r="D32" s="1209"/>
      <c r="E32" s="1126"/>
      <c r="F32" s="1250"/>
      <c r="G32" s="952" t="s">
        <v>1</v>
      </c>
      <c r="H32" s="952" t="s">
        <v>567</v>
      </c>
      <c r="I32" s="952"/>
      <c r="J32" s="230" t="s">
        <v>1587</v>
      </c>
      <c r="K32" s="952">
        <v>3</v>
      </c>
      <c r="L32" s="231" t="s">
        <v>5812</v>
      </c>
      <c r="M32" s="194"/>
      <c r="N32" s="1167"/>
      <c r="O32" s="1116"/>
      <c r="P32" s="1117"/>
      <c r="Q32" s="586" t="str">
        <f t="shared" si="2"/>
        <v>Q1841050TF38</v>
      </c>
      <c r="R32" s="585" t="str">
        <f t="shared" si="1"/>
        <v xml:space="preserve">پیچ فلنجی سر شش گوش </v>
      </c>
      <c r="S32" s="586">
        <f t="shared" si="1"/>
        <v>3</v>
      </c>
      <c r="T32" s="604">
        <v>50</v>
      </c>
      <c r="U32" s="604" t="s">
        <v>5444</v>
      </c>
      <c r="V32" s="604">
        <v>60</v>
      </c>
      <c r="W32" s="588" t="s">
        <v>5445</v>
      </c>
      <c r="X32" s="587" t="s">
        <v>5446</v>
      </c>
      <c r="Y32" s="587" t="s">
        <v>5447</v>
      </c>
      <c r="Z32" s="587" t="s">
        <v>5448</v>
      </c>
      <c r="AA32" s="725" t="s">
        <v>6050</v>
      </c>
    </row>
    <row r="33" spans="1:34" ht="46.5" customHeight="1">
      <c r="A33" s="1176"/>
      <c r="B33" s="1151"/>
      <c r="C33" s="1154" t="s">
        <v>1248</v>
      </c>
      <c r="D33" s="1209"/>
      <c r="E33" s="1126"/>
      <c r="F33" s="1250"/>
      <c r="G33" s="233" t="s">
        <v>2</v>
      </c>
      <c r="H33" s="234" t="s">
        <v>5156</v>
      </c>
      <c r="I33" s="234"/>
      <c r="J33" s="260" t="s">
        <v>2665</v>
      </c>
      <c r="K33" s="952" t="s">
        <v>5157</v>
      </c>
      <c r="L33" s="231" t="s">
        <v>5812</v>
      </c>
      <c r="M33" s="194"/>
      <c r="N33" s="1167"/>
      <c r="O33" s="1116"/>
      <c r="P33" s="1117"/>
      <c r="Q33" s="593" t="str">
        <f t="shared" si="2"/>
        <v>LOCTITE-243</v>
      </c>
      <c r="R33" s="605" t="str">
        <f t="shared" si="1"/>
        <v xml:space="preserve">چسب لاکتایت </v>
      </c>
      <c r="S33" s="586" t="str">
        <f t="shared" si="1"/>
        <v xml:space="preserve">1.5 میلی لیتر </v>
      </c>
      <c r="T33" s="589"/>
      <c r="U33" s="589"/>
      <c r="V33" s="589"/>
      <c r="W33" s="589"/>
      <c r="X33" s="590"/>
      <c r="Y33" s="590"/>
      <c r="Z33" s="589"/>
      <c r="AA33" s="724"/>
    </row>
    <row r="34" spans="1:34" ht="46.5" customHeight="1">
      <c r="A34" s="1176"/>
      <c r="B34" s="1151" t="s">
        <v>2643</v>
      </c>
      <c r="C34" s="1154" t="s">
        <v>2667</v>
      </c>
      <c r="D34" s="1209" t="s">
        <v>2432</v>
      </c>
      <c r="E34" s="1126" t="s">
        <v>4973</v>
      </c>
      <c r="F34" s="1250">
        <v>2.0827300000000002</v>
      </c>
      <c r="G34" s="952" t="s">
        <v>0</v>
      </c>
      <c r="H34" s="952" t="s">
        <v>5348</v>
      </c>
      <c r="I34" s="952" t="s">
        <v>5066</v>
      </c>
      <c r="J34" s="230" t="s">
        <v>2666</v>
      </c>
      <c r="K34" s="952">
        <v>1</v>
      </c>
      <c r="L34" s="231" t="s">
        <v>5807</v>
      </c>
      <c r="M34" s="194"/>
      <c r="N34" s="1167"/>
      <c r="O34" s="1116" t="str">
        <f>C34</f>
        <v>نصب دسته موتور چپ با چسب لاکتایت</v>
      </c>
      <c r="P34" s="1117" t="str">
        <f>D34</f>
        <v>SX5-1001-3</v>
      </c>
      <c r="Q34" s="586" t="str">
        <f>H34</f>
        <v>SX7H-1001040</v>
      </c>
      <c r="R34" s="585" t="str">
        <f t="shared" si="1"/>
        <v>دسته موتور - چپ</v>
      </c>
      <c r="S34" s="586">
        <f t="shared" si="1"/>
        <v>1</v>
      </c>
      <c r="T34" s="589"/>
      <c r="U34" s="589"/>
      <c r="V34" s="589"/>
      <c r="W34" s="589"/>
      <c r="X34" s="590"/>
      <c r="Y34" s="590"/>
      <c r="Z34" s="589"/>
      <c r="AA34" s="724"/>
    </row>
    <row r="35" spans="1:34" ht="46.5" customHeight="1">
      <c r="A35" s="1176"/>
      <c r="B35" s="1151"/>
      <c r="C35" s="1154" t="s">
        <v>1248</v>
      </c>
      <c r="D35" s="1209"/>
      <c r="E35" s="1126"/>
      <c r="F35" s="1250"/>
      <c r="G35" s="952" t="s">
        <v>1</v>
      </c>
      <c r="H35" s="952" t="s">
        <v>569</v>
      </c>
      <c r="I35" s="952"/>
      <c r="J35" s="230" t="s">
        <v>1503</v>
      </c>
      <c r="K35" s="952">
        <v>4</v>
      </c>
      <c r="L35" s="231" t="s">
        <v>5812</v>
      </c>
      <c r="M35" s="194"/>
      <c r="N35" s="1167"/>
      <c r="O35" s="1116"/>
      <c r="P35" s="1117"/>
      <c r="Q35" s="586" t="str">
        <f t="shared" si="2"/>
        <v>Q1861035TF38</v>
      </c>
      <c r="R35" s="585" t="str">
        <f t="shared" si="1"/>
        <v xml:space="preserve">پیچ فلنجی شش گوش </v>
      </c>
      <c r="S35" s="586">
        <f t="shared" si="1"/>
        <v>4</v>
      </c>
      <c r="T35" s="604">
        <v>50</v>
      </c>
      <c r="U35" s="604" t="s">
        <v>5444</v>
      </c>
      <c r="V35" s="604">
        <v>60</v>
      </c>
      <c r="W35" s="588" t="s">
        <v>5445</v>
      </c>
      <c r="X35" s="587" t="s">
        <v>5446</v>
      </c>
      <c r="Y35" s="587" t="s">
        <v>5447</v>
      </c>
      <c r="Z35" s="587" t="s">
        <v>5448</v>
      </c>
      <c r="AA35" s="725" t="s">
        <v>6050</v>
      </c>
    </row>
    <row r="36" spans="1:34" ht="46.5" customHeight="1">
      <c r="A36" s="1176"/>
      <c r="B36" s="1151"/>
      <c r="C36" s="1154" t="s">
        <v>1248</v>
      </c>
      <c r="D36" s="1209"/>
      <c r="E36" s="1126"/>
      <c r="F36" s="1250"/>
      <c r="G36" s="233" t="s">
        <v>2</v>
      </c>
      <c r="H36" s="234" t="s">
        <v>5156</v>
      </c>
      <c r="I36" s="234"/>
      <c r="J36" s="260" t="s">
        <v>2665</v>
      </c>
      <c r="K36" s="952" t="s">
        <v>5157</v>
      </c>
      <c r="L36" s="231" t="s">
        <v>5812</v>
      </c>
      <c r="M36" s="194"/>
      <c r="N36" s="1167"/>
      <c r="O36" s="1116"/>
      <c r="P36" s="1117"/>
      <c r="Q36" s="593" t="str">
        <f t="shared" si="2"/>
        <v>LOCTITE-243</v>
      </c>
      <c r="R36" s="605" t="str">
        <f t="shared" si="1"/>
        <v xml:space="preserve">چسب لاکتایت </v>
      </c>
      <c r="S36" s="586" t="str">
        <f t="shared" si="1"/>
        <v xml:space="preserve">1.5 میلی لیتر </v>
      </c>
      <c r="T36" s="589"/>
      <c r="U36" s="589"/>
      <c r="V36" s="589"/>
      <c r="W36" s="589"/>
      <c r="X36" s="590"/>
      <c r="Y36" s="590"/>
      <c r="Z36" s="589"/>
      <c r="AA36" s="724"/>
    </row>
    <row r="37" spans="1:34" ht="46.5" customHeight="1">
      <c r="A37" s="1176"/>
      <c r="B37" s="935" t="s">
        <v>2643</v>
      </c>
      <c r="C37" s="982" t="s">
        <v>2664</v>
      </c>
      <c r="D37" s="995"/>
      <c r="E37" s="939"/>
      <c r="F37" s="1021">
        <v>0.85470000000000002</v>
      </c>
      <c r="G37" s="233"/>
      <c r="H37" s="234" t="s">
        <v>1411</v>
      </c>
      <c r="I37" s="234" t="s">
        <v>1411</v>
      </c>
      <c r="J37" s="235" t="s">
        <v>1411</v>
      </c>
      <c r="K37" s="952"/>
      <c r="L37" s="236"/>
      <c r="M37" s="194"/>
      <c r="N37" s="1167"/>
      <c r="O37" s="964" t="str">
        <f t="shared" ref="O37:P47" si="5">C37</f>
        <v>چسباندن کاور محافظ روی گلگیرها و دربهای سمت چپ</v>
      </c>
      <c r="P37" s="965" t="s">
        <v>1393</v>
      </c>
      <c r="Q37" s="593" t="str">
        <f t="shared" si="2"/>
        <v>-------</v>
      </c>
      <c r="R37" s="594" t="str">
        <f t="shared" si="1"/>
        <v>-------</v>
      </c>
      <c r="S37" s="586">
        <f t="shared" si="1"/>
        <v>0</v>
      </c>
      <c r="T37" s="589"/>
      <c r="U37" s="589"/>
      <c r="V37" s="589"/>
      <c r="W37" s="589"/>
      <c r="X37" s="590"/>
      <c r="Y37" s="590"/>
      <c r="Z37" s="589"/>
      <c r="AA37" s="724"/>
    </row>
    <row r="38" spans="1:34" ht="46.5" customHeight="1">
      <c r="A38" s="1176"/>
      <c r="B38" s="1160" t="s">
        <v>2663</v>
      </c>
      <c r="C38" s="1152" t="s">
        <v>2662</v>
      </c>
      <c r="D38" s="1120" t="s">
        <v>2661</v>
      </c>
      <c r="E38" s="1122"/>
      <c r="F38" s="1124">
        <v>0.63115116279069805</v>
      </c>
      <c r="G38" s="952" t="s">
        <v>0</v>
      </c>
      <c r="H38" s="952" t="s">
        <v>511</v>
      </c>
      <c r="I38" s="952"/>
      <c r="J38" s="230" t="s">
        <v>2658</v>
      </c>
      <c r="K38" s="952">
        <v>4</v>
      </c>
      <c r="L38" s="231" t="s">
        <v>5813</v>
      </c>
      <c r="M38" s="194"/>
      <c r="N38" s="1167"/>
      <c r="O38" s="1116" t="str">
        <f t="shared" si="5"/>
        <v>نصب ضربه گیر درب عقب چپ و راست</v>
      </c>
      <c r="P38" s="1117" t="str">
        <f t="shared" si="5"/>
        <v>SX5-6200-1</v>
      </c>
      <c r="Q38" s="586" t="str">
        <f t="shared" si="2"/>
        <v>61MA-08029B</v>
      </c>
      <c r="R38" s="585" t="str">
        <f t="shared" si="1"/>
        <v xml:space="preserve">ضربه گیر لاستیکی درب </v>
      </c>
      <c r="S38" s="586">
        <f t="shared" si="1"/>
        <v>4</v>
      </c>
      <c r="T38" s="589"/>
      <c r="U38" s="589"/>
      <c r="V38" s="589"/>
      <c r="W38" s="589"/>
      <c r="X38" s="590"/>
      <c r="Y38" s="590"/>
      <c r="Z38" s="589"/>
      <c r="AA38" s="724"/>
    </row>
    <row r="39" spans="1:34" ht="46.5" customHeight="1">
      <c r="A39" s="1176"/>
      <c r="B39" s="1161"/>
      <c r="C39" s="1153"/>
      <c r="D39" s="1121"/>
      <c r="E39" s="1123"/>
      <c r="F39" s="1260"/>
      <c r="G39" s="975" t="s">
        <v>1</v>
      </c>
      <c r="H39" s="975"/>
      <c r="I39" s="975"/>
      <c r="J39" s="241" t="s">
        <v>5778</v>
      </c>
      <c r="K39" s="975"/>
      <c r="L39" s="261"/>
      <c r="M39" s="194"/>
      <c r="N39" s="1167"/>
      <c r="O39" s="1116"/>
      <c r="P39" s="1117"/>
      <c r="Q39" s="586"/>
      <c r="R39" s="585" t="str">
        <f t="shared" si="1"/>
        <v>روان کننده</v>
      </c>
      <c r="S39" s="586"/>
      <c r="T39" s="589"/>
      <c r="U39" s="589"/>
      <c r="V39" s="589"/>
      <c r="W39" s="589"/>
      <c r="X39" s="590"/>
      <c r="Y39" s="590"/>
      <c r="Z39" s="589"/>
      <c r="AA39" s="724"/>
    </row>
    <row r="40" spans="1:34" ht="46.5" customHeight="1">
      <c r="A40" s="1176"/>
      <c r="B40" s="1160" t="s">
        <v>2643</v>
      </c>
      <c r="C40" s="1152" t="s">
        <v>2660</v>
      </c>
      <c r="D40" s="1120" t="s">
        <v>510</v>
      </c>
      <c r="E40" s="1122"/>
      <c r="F40" s="1160">
        <v>0.96311000000000002</v>
      </c>
      <c r="G40" s="975" t="s">
        <v>0</v>
      </c>
      <c r="H40" s="952" t="s">
        <v>2659</v>
      </c>
      <c r="I40" s="952"/>
      <c r="J40" s="230" t="s">
        <v>2658</v>
      </c>
      <c r="K40" s="952">
        <v>4</v>
      </c>
      <c r="L40" s="231" t="s">
        <v>5813</v>
      </c>
      <c r="M40" s="194"/>
      <c r="N40" s="1167"/>
      <c r="O40" s="1116" t="str">
        <f>C40</f>
        <v>نصب ضربه گیر درب های جلو</v>
      </c>
      <c r="P40" s="1117" t="str">
        <f>D40</f>
        <v>SX5-6100-1</v>
      </c>
      <c r="Q40" s="586" t="s">
        <v>2659</v>
      </c>
      <c r="R40" s="585" t="s">
        <v>2658</v>
      </c>
      <c r="S40" s="586">
        <v>4</v>
      </c>
      <c r="T40" s="589"/>
      <c r="U40" s="589"/>
      <c r="V40" s="589"/>
      <c r="W40" s="589"/>
      <c r="X40" s="590"/>
      <c r="Y40" s="590"/>
      <c r="Z40" s="589"/>
      <c r="AA40" s="724"/>
    </row>
    <row r="41" spans="1:34" ht="46.5" customHeight="1" thickBot="1">
      <c r="A41" s="1236"/>
      <c r="B41" s="1242"/>
      <c r="C41" s="1243"/>
      <c r="D41" s="1244"/>
      <c r="E41" s="1245"/>
      <c r="F41" s="1242"/>
      <c r="G41" s="953" t="s">
        <v>0</v>
      </c>
      <c r="H41" s="1008"/>
      <c r="I41" s="1008"/>
      <c r="J41" s="262" t="s">
        <v>5778</v>
      </c>
      <c r="K41" s="1008"/>
      <c r="L41" s="263"/>
      <c r="M41" s="194"/>
      <c r="N41" s="1168"/>
      <c r="O41" s="1186"/>
      <c r="P41" s="1159"/>
      <c r="Q41" s="251"/>
      <c r="R41" s="274" t="s">
        <v>5778</v>
      </c>
      <c r="S41" s="251"/>
      <c r="T41" s="283"/>
      <c r="U41" s="283"/>
      <c r="V41" s="283"/>
      <c r="W41" s="283"/>
      <c r="X41" s="284"/>
      <c r="Y41" s="284"/>
      <c r="Z41" s="283"/>
      <c r="AA41" s="285"/>
    </row>
    <row r="42" spans="1:34" ht="34.5" customHeight="1">
      <c r="A42" s="1175" t="s">
        <v>2657</v>
      </c>
      <c r="B42" s="1222" t="s">
        <v>2648</v>
      </c>
      <c r="C42" s="1169" t="s">
        <v>2652</v>
      </c>
      <c r="D42" s="1142" t="s">
        <v>137</v>
      </c>
      <c r="E42" s="1221"/>
      <c r="F42" s="1222">
        <v>2.85</v>
      </c>
      <c r="G42" s="997" t="s">
        <v>0</v>
      </c>
      <c r="H42" s="997" t="s">
        <v>138</v>
      </c>
      <c r="I42" s="997" t="s">
        <v>5745</v>
      </c>
      <c r="J42" s="264" t="s">
        <v>2651</v>
      </c>
      <c r="K42" s="997">
        <v>1</v>
      </c>
      <c r="L42" s="222" t="s">
        <v>5816</v>
      </c>
      <c r="M42" s="194"/>
      <c r="N42" s="1166" t="str">
        <f>A42</f>
        <v>P03</v>
      </c>
      <c r="O42" s="1169" t="str">
        <f>C42</f>
        <v>مونتاژ چراغ وسط درب صندوق</v>
      </c>
      <c r="P42" s="1142" t="str">
        <f>D42</f>
        <v>SX5F-4133-1</v>
      </c>
      <c r="Q42" s="225" t="str">
        <f t="shared" si="2"/>
        <v>SX3A-4133150A1</v>
      </c>
      <c r="R42" s="265" t="str">
        <f t="shared" si="1"/>
        <v>چراغ وسط درب صندوق</v>
      </c>
      <c r="S42" s="225">
        <f t="shared" si="1"/>
        <v>1</v>
      </c>
      <c r="T42" s="226"/>
      <c r="U42" s="226"/>
      <c r="V42" s="226"/>
      <c r="W42" s="226"/>
      <c r="X42" s="227"/>
      <c r="Y42" s="227"/>
      <c r="Z42" s="226"/>
      <c r="AA42" s="228"/>
    </row>
    <row r="43" spans="1:34" ht="34.5" customHeight="1">
      <c r="A43" s="1176"/>
      <c r="B43" s="1151"/>
      <c r="C43" s="1154" t="s">
        <v>1248</v>
      </c>
      <c r="D43" s="1209"/>
      <c r="E43" s="1126"/>
      <c r="F43" s="1151"/>
      <c r="G43" s="952" t="s">
        <v>1</v>
      </c>
      <c r="H43" s="952" t="s">
        <v>5</v>
      </c>
      <c r="I43" s="952"/>
      <c r="J43" s="230" t="s">
        <v>1498</v>
      </c>
      <c r="K43" s="952">
        <v>6</v>
      </c>
      <c r="L43" s="231" t="s">
        <v>5817</v>
      </c>
      <c r="M43" s="194"/>
      <c r="N43" s="1167"/>
      <c r="O43" s="1116"/>
      <c r="P43" s="1117"/>
      <c r="Q43" s="586" t="str">
        <f t="shared" si="2"/>
        <v>Q32006F38</v>
      </c>
      <c r="R43" s="585" t="str">
        <f t="shared" si="1"/>
        <v xml:space="preserve">مهره فلنجی سر شش گوش </v>
      </c>
      <c r="S43" s="586">
        <f t="shared" si="1"/>
        <v>6</v>
      </c>
      <c r="T43" s="606">
        <v>3</v>
      </c>
      <c r="U43" s="606">
        <v>5</v>
      </c>
      <c r="V43" s="606">
        <v>7</v>
      </c>
      <c r="W43" s="588" t="s">
        <v>5431</v>
      </c>
      <c r="X43" s="587" t="s">
        <v>5432</v>
      </c>
      <c r="Y43" s="603" t="s">
        <v>5449</v>
      </c>
      <c r="Z43" s="603"/>
      <c r="AA43" s="727"/>
    </row>
    <row r="44" spans="1:34" ht="34.5" customHeight="1">
      <c r="A44" s="1176"/>
      <c r="B44" s="1151"/>
      <c r="C44" s="1154" t="s">
        <v>1248</v>
      </c>
      <c r="D44" s="1209"/>
      <c r="E44" s="1126"/>
      <c r="F44" s="1151"/>
      <c r="G44" s="952" t="s">
        <v>2</v>
      </c>
      <c r="H44" s="952" t="s">
        <v>139</v>
      </c>
      <c r="I44" s="952"/>
      <c r="J44" s="230" t="s">
        <v>2044</v>
      </c>
      <c r="K44" s="952">
        <v>1</v>
      </c>
      <c r="L44" s="231" t="s">
        <v>5812</v>
      </c>
      <c r="M44" s="194"/>
      <c r="N44" s="1167"/>
      <c r="O44" s="1116"/>
      <c r="P44" s="1117"/>
      <c r="Q44" s="586" t="str">
        <f t="shared" si="2"/>
        <v>BM3-4133012</v>
      </c>
      <c r="R44" s="585" t="str">
        <f t="shared" si="1"/>
        <v>پین تثبیت کننده کوتاه</v>
      </c>
      <c r="S44" s="586">
        <f t="shared" si="1"/>
        <v>1</v>
      </c>
      <c r="T44" s="589"/>
      <c r="U44" s="589"/>
      <c r="V44" s="589"/>
      <c r="W44" s="589"/>
      <c r="X44" s="590"/>
      <c r="Y44" s="590"/>
      <c r="Z44" s="589"/>
      <c r="AA44" s="724"/>
    </row>
    <row r="45" spans="1:34" ht="33" customHeight="1">
      <c r="A45" s="1176"/>
      <c r="B45" s="1227" t="s">
        <v>2648</v>
      </c>
      <c r="C45" s="1201" t="s">
        <v>5162</v>
      </c>
      <c r="D45" s="1257" t="s">
        <v>5161</v>
      </c>
      <c r="E45" s="1122"/>
      <c r="F45" s="1259"/>
      <c r="G45" s="975" t="s">
        <v>0</v>
      </c>
      <c r="H45" s="952" t="s">
        <v>5058</v>
      </c>
      <c r="J45" s="230" t="s">
        <v>5015</v>
      </c>
      <c r="K45" s="975">
        <v>1</v>
      </c>
      <c r="L45" s="231" t="s">
        <v>5818</v>
      </c>
      <c r="M45" s="194"/>
      <c r="N45" s="1167"/>
      <c r="O45" s="1116" t="s">
        <v>5162</v>
      </c>
      <c r="P45" s="1233" t="s">
        <v>5161</v>
      </c>
      <c r="Q45" s="586" t="s">
        <v>5058</v>
      </c>
      <c r="R45" s="585" t="s">
        <v>5015</v>
      </c>
      <c r="S45" s="586">
        <v>1</v>
      </c>
      <c r="T45" s="587"/>
      <c r="U45" s="587"/>
      <c r="V45" s="587"/>
      <c r="W45" s="588"/>
      <c r="X45" s="587"/>
      <c r="Y45" s="587"/>
      <c r="Z45" s="587"/>
      <c r="AA45" s="727"/>
    </row>
    <row r="46" spans="1:34" s="267" customFormat="1" ht="33" customHeight="1">
      <c r="A46" s="1176"/>
      <c r="B46" s="1161"/>
      <c r="C46" s="1153"/>
      <c r="D46" s="1258"/>
      <c r="E46" s="1123"/>
      <c r="F46" s="1240"/>
      <c r="G46" s="952" t="s">
        <v>1</v>
      </c>
      <c r="H46" s="952" t="s">
        <v>3</v>
      </c>
      <c r="I46" s="952" t="s">
        <v>5779</v>
      </c>
      <c r="J46" s="230" t="s">
        <v>1819</v>
      </c>
      <c r="K46" s="952">
        <v>2</v>
      </c>
      <c r="L46" s="231" t="s">
        <v>5810</v>
      </c>
      <c r="M46" s="194"/>
      <c r="N46" s="1167"/>
      <c r="O46" s="1116"/>
      <c r="P46" s="1233"/>
      <c r="Q46" s="586" t="s">
        <v>5270</v>
      </c>
      <c r="R46" s="585" t="s">
        <v>1819</v>
      </c>
      <c r="S46" s="586">
        <v>2</v>
      </c>
      <c r="T46" s="587">
        <v>6</v>
      </c>
      <c r="U46" s="587">
        <v>8</v>
      </c>
      <c r="V46" s="587">
        <v>10</v>
      </c>
      <c r="W46" s="588" t="s">
        <v>5431</v>
      </c>
      <c r="X46" s="587" t="s">
        <v>5432</v>
      </c>
      <c r="Y46" s="587" t="s">
        <v>5450</v>
      </c>
      <c r="Z46" s="587"/>
      <c r="AA46" s="727"/>
      <c r="AB46" s="194"/>
      <c r="AC46" s="194"/>
      <c r="AD46" s="194"/>
      <c r="AE46" s="194"/>
      <c r="AF46" s="194"/>
      <c r="AG46" s="194"/>
      <c r="AH46" s="194"/>
    </row>
    <row r="47" spans="1:34" ht="34.5" customHeight="1">
      <c r="A47" s="1176"/>
      <c r="B47" s="1161" t="s">
        <v>2648</v>
      </c>
      <c r="C47" s="1153" t="s">
        <v>2656</v>
      </c>
      <c r="D47" s="1121" t="s">
        <v>133</v>
      </c>
      <c r="E47" s="1123" t="s">
        <v>4973</v>
      </c>
      <c r="F47" s="1240">
        <v>2.2296200000000002</v>
      </c>
      <c r="G47" s="977" t="s">
        <v>0</v>
      </c>
      <c r="H47" s="977" t="s">
        <v>134</v>
      </c>
      <c r="I47" s="957" t="s">
        <v>5746</v>
      </c>
      <c r="J47" s="268" t="s">
        <v>2655</v>
      </c>
      <c r="K47" s="977">
        <v>1</v>
      </c>
      <c r="L47" s="231" t="s">
        <v>5807</v>
      </c>
      <c r="M47" s="194"/>
      <c r="N47" s="1167"/>
      <c r="O47" s="1116" t="str">
        <f t="shared" si="5"/>
        <v>مونتاژ چراغ عقب روی درب صندوق</v>
      </c>
      <c r="P47" s="1117" t="str">
        <f t="shared" si="5"/>
        <v>SX5F-4133-2</v>
      </c>
      <c r="Q47" s="586" t="str">
        <f t="shared" si="2"/>
        <v>SX3A-4133030A2</v>
      </c>
      <c r="R47" s="607" t="str">
        <f t="shared" si="1"/>
        <v>چراغ عقب B - چپ</v>
      </c>
      <c r="S47" s="586">
        <f t="shared" si="1"/>
        <v>1</v>
      </c>
      <c r="T47" s="589"/>
      <c r="U47" s="589"/>
      <c r="V47" s="589"/>
      <c r="W47" s="589"/>
      <c r="X47" s="590"/>
      <c r="Y47" s="590"/>
      <c r="Z47" s="589"/>
      <c r="AA47" s="724"/>
    </row>
    <row r="48" spans="1:34" ht="34.5" customHeight="1">
      <c r="A48" s="1176"/>
      <c r="B48" s="1151"/>
      <c r="C48" s="1154" t="s">
        <v>1248</v>
      </c>
      <c r="D48" s="1209"/>
      <c r="E48" s="1126"/>
      <c r="F48" s="1216"/>
      <c r="G48" s="952" t="s">
        <v>0</v>
      </c>
      <c r="H48" s="952" t="s">
        <v>135</v>
      </c>
      <c r="I48" s="949" t="s">
        <v>5747</v>
      </c>
      <c r="J48" s="246" t="s">
        <v>2654</v>
      </c>
      <c r="K48" s="952">
        <v>1</v>
      </c>
      <c r="L48" s="231" t="s">
        <v>5807</v>
      </c>
      <c r="M48" s="194"/>
      <c r="N48" s="1167"/>
      <c r="O48" s="1116"/>
      <c r="P48" s="1117"/>
      <c r="Q48" s="586" t="str">
        <f t="shared" si="2"/>
        <v>SX3A-4133040A2</v>
      </c>
      <c r="R48" s="607" t="str">
        <f t="shared" si="1"/>
        <v>چراغ عقب B - راست</v>
      </c>
      <c r="S48" s="586">
        <f t="shared" si="1"/>
        <v>1</v>
      </c>
      <c r="T48" s="589"/>
      <c r="U48" s="589"/>
      <c r="V48" s="589"/>
      <c r="W48" s="589"/>
      <c r="X48" s="590"/>
      <c r="Y48" s="590"/>
      <c r="Z48" s="589"/>
      <c r="AA48" s="724"/>
    </row>
    <row r="49" spans="1:27" ht="34.5" customHeight="1">
      <c r="A49" s="1176"/>
      <c r="B49" s="1151"/>
      <c r="C49" s="1154" t="s">
        <v>1248</v>
      </c>
      <c r="D49" s="1209"/>
      <c r="E49" s="1126"/>
      <c r="F49" s="1216"/>
      <c r="G49" s="952" t="s">
        <v>1</v>
      </c>
      <c r="H49" s="952" t="s">
        <v>5</v>
      </c>
      <c r="I49" s="933"/>
      <c r="J49" s="230" t="s">
        <v>1498</v>
      </c>
      <c r="K49" s="952">
        <v>4</v>
      </c>
      <c r="L49" s="231" t="s">
        <v>5817</v>
      </c>
      <c r="M49" s="194"/>
      <c r="N49" s="1167"/>
      <c r="O49" s="1116"/>
      <c r="P49" s="1117"/>
      <c r="Q49" s="586" t="str">
        <f t="shared" si="2"/>
        <v>Q32006F38</v>
      </c>
      <c r="R49" s="585" t="str">
        <f t="shared" si="1"/>
        <v xml:space="preserve">مهره فلنجی سر شش گوش </v>
      </c>
      <c r="S49" s="586">
        <f t="shared" si="1"/>
        <v>4</v>
      </c>
      <c r="T49" s="606">
        <v>5</v>
      </c>
      <c r="U49" s="606">
        <v>6</v>
      </c>
      <c r="V49" s="606">
        <v>7</v>
      </c>
      <c r="W49" s="588" t="s">
        <v>5431</v>
      </c>
      <c r="X49" s="587" t="s">
        <v>5451</v>
      </c>
      <c r="Y49" s="603" t="s">
        <v>5449</v>
      </c>
      <c r="Z49" s="603"/>
      <c r="AA49" s="727"/>
    </row>
    <row r="50" spans="1:27" ht="34.5" customHeight="1">
      <c r="A50" s="1176"/>
      <c r="B50" s="1151"/>
      <c r="C50" s="1154" t="s">
        <v>1248</v>
      </c>
      <c r="D50" s="1209"/>
      <c r="E50" s="1126"/>
      <c r="F50" s="1216"/>
      <c r="G50" s="952" t="s">
        <v>863</v>
      </c>
      <c r="H50" s="952" t="s">
        <v>2653</v>
      </c>
      <c r="J50" s="230" t="s">
        <v>2016</v>
      </c>
      <c r="K50" s="952">
        <v>2</v>
      </c>
      <c r="L50" s="231" t="s">
        <v>5819</v>
      </c>
      <c r="M50" s="194"/>
      <c r="N50" s="1167"/>
      <c r="O50" s="1116"/>
      <c r="P50" s="1117"/>
      <c r="Q50" s="586" t="str">
        <f t="shared" si="2"/>
        <v>LQ321M608</v>
      </c>
      <c r="R50" s="585" t="str">
        <f t="shared" si="1"/>
        <v>پیچ شش گوش</v>
      </c>
      <c r="S50" s="586">
        <f t="shared" si="1"/>
        <v>2</v>
      </c>
      <c r="T50" s="606">
        <v>5</v>
      </c>
      <c r="U50" s="606">
        <v>6</v>
      </c>
      <c r="V50" s="606">
        <v>7</v>
      </c>
      <c r="W50" s="588" t="s">
        <v>5431</v>
      </c>
      <c r="X50" s="587" t="s">
        <v>5451</v>
      </c>
      <c r="Y50" s="603" t="s">
        <v>5449</v>
      </c>
      <c r="Z50" s="603"/>
      <c r="AA50" s="727"/>
    </row>
    <row r="51" spans="1:27" ht="34.5" customHeight="1">
      <c r="A51" s="1176"/>
      <c r="B51" s="1228" t="s">
        <v>2648</v>
      </c>
      <c r="C51" s="1154" t="s">
        <v>2650</v>
      </c>
      <c r="D51" s="1209" t="s">
        <v>200</v>
      </c>
      <c r="E51" s="1126"/>
      <c r="F51" s="1151">
        <v>1.2500450000000001</v>
      </c>
      <c r="G51" s="952" t="s">
        <v>0</v>
      </c>
      <c r="H51" s="952" t="s">
        <v>199</v>
      </c>
      <c r="I51" s="952"/>
      <c r="J51" s="230" t="s">
        <v>2649</v>
      </c>
      <c r="K51" s="952">
        <v>1</v>
      </c>
      <c r="L51" s="231" t="s">
        <v>5807</v>
      </c>
      <c r="M51" s="194"/>
      <c r="N51" s="1167"/>
      <c r="O51" s="1116" t="str">
        <f>C51</f>
        <v>مونتاژ پمپ و مخزن شیشه شوی</v>
      </c>
      <c r="P51" s="1117" t="str">
        <f>D51</f>
        <v>SX5B-5207-1</v>
      </c>
      <c r="Q51" s="586" t="str">
        <f>H51</f>
        <v>SX5B-5207010</v>
      </c>
      <c r="R51" s="585" t="str">
        <f>J51</f>
        <v>پمپ و مخزن شیشه شوی</v>
      </c>
      <c r="S51" s="586">
        <f>K51</f>
        <v>1</v>
      </c>
      <c r="T51" s="589"/>
      <c r="U51" s="589"/>
      <c r="V51" s="589"/>
      <c r="W51" s="589"/>
      <c r="X51" s="590"/>
      <c r="Y51" s="590"/>
      <c r="Z51" s="589"/>
      <c r="AA51" s="724"/>
    </row>
    <row r="52" spans="1:27" ht="34.5" customHeight="1">
      <c r="A52" s="1176"/>
      <c r="B52" s="1228"/>
      <c r="C52" s="1154"/>
      <c r="D52" s="1209"/>
      <c r="E52" s="1126"/>
      <c r="F52" s="1151"/>
      <c r="G52" s="952" t="s">
        <v>1</v>
      </c>
      <c r="H52" s="952" t="s">
        <v>2626</v>
      </c>
      <c r="I52" s="952"/>
      <c r="J52" s="230" t="s">
        <v>2016</v>
      </c>
      <c r="K52" s="952">
        <v>4</v>
      </c>
      <c r="L52" s="231" t="s">
        <v>5820</v>
      </c>
      <c r="M52" s="194"/>
      <c r="N52" s="1167"/>
      <c r="O52" s="1116"/>
      <c r="P52" s="1117"/>
      <c r="Q52" s="586" t="str">
        <f>H52</f>
        <v>LQ140B0616F38A1</v>
      </c>
      <c r="R52" s="585" t="str">
        <f>J52</f>
        <v>پیچ شش گوش</v>
      </c>
      <c r="S52" s="586">
        <f>K52</f>
        <v>4</v>
      </c>
      <c r="T52" s="587">
        <v>6</v>
      </c>
      <c r="U52" s="587">
        <v>8</v>
      </c>
      <c r="V52" s="587">
        <v>10</v>
      </c>
      <c r="W52" s="588" t="s">
        <v>5431</v>
      </c>
      <c r="X52" s="587" t="s">
        <v>5432</v>
      </c>
      <c r="Y52" s="587" t="s">
        <v>5450</v>
      </c>
      <c r="Z52" s="587"/>
      <c r="AA52" s="727"/>
    </row>
    <row r="53" spans="1:27" ht="34.5" customHeight="1">
      <c r="A53" s="1176"/>
      <c r="B53" s="1151" t="s">
        <v>2648</v>
      </c>
      <c r="C53" s="1247" t="s">
        <v>2647</v>
      </c>
      <c r="D53" s="1248" t="s">
        <v>124</v>
      </c>
      <c r="E53" s="1212" t="s">
        <v>4973</v>
      </c>
      <c r="F53" s="1151">
        <v>2.1965050000000002</v>
      </c>
      <c r="G53" s="269" t="s">
        <v>721</v>
      </c>
      <c r="H53" s="952" t="s">
        <v>2646</v>
      </c>
      <c r="I53" s="952"/>
      <c r="J53" s="230" t="s">
        <v>2645</v>
      </c>
      <c r="K53" s="952">
        <v>1</v>
      </c>
      <c r="L53" s="231" t="s">
        <v>5807</v>
      </c>
      <c r="M53" s="194"/>
      <c r="N53" s="1167"/>
      <c r="O53" s="1143" t="str">
        <f>C53</f>
        <v>نصب مجموعه قفل برقی درب صندوق</v>
      </c>
      <c r="P53" s="1144" t="str">
        <f>D53</f>
        <v>SX7-6305-2</v>
      </c>
      <c r="Q53" s="586" t="str">
        <f t="shared" si="2"/>
        <v>SX7-6305020</v>
      </c>
      <c r="R53" s="585" t="str">
        <f t="shared" si="1"/>
        <v>مجموعه قفل برقی درب صندوق عقب</v>
      </c>
      <c r="S53" s="586">
        <f t="shared" si="1"/>
        <v>1</v>
      </c>
      <c r="T53" s="589"/>
      <c r="U53" s="589"/>
      <c r="V53" s="589"/>
      <c r="W53" s="589"/>
      <c r="X53" s="590"/>
      <c r="Y53" s="590"/>
      <c r="Z53" s="589"/>
      <c r="AA53" s="724"/>
    </row>
    <row r="54" spans="1:27" ht="34.5" customHeight="1">
      <c r="A54" s="1176"/>
      <c r="B54" s="1151"/>
      <c r="C54" s="1247" t="s">
        <v>1248</v>
      </c>
      <c r="D54" s="1248"/>
      <c r="E54" s="1212"/>
      <c r="F54" s="1151"/>
      <c r="G54" s="269" t="s">
        <v>701</v>
      </c>
      <c r="H54" s="952" t="s">
        <v>126</v>
      </c>
      <c r="I54" s="952" t="s">
        <v>27</v>
      </c>
      <c r="J54" s="230" t="s">
        <v>1499</v>
      </c>
      <c r="K54" s="952">
        <v>3</v>
      </c>
      <c r="L54" s="231" t="s">
        <v>5821</v>
      </c>
      <c r="M54" s="194"/>
      <c r="N54" s="1167"/>
      <c r="O54" s="1143"/>
      <c r="P54" s="1144"/>
      <c r="Q54" s="586" t="str">
        <f t="shared" si="2"/>
        <v>Q1460616F38</v>
      </c>
      <c r="R54" s="585" t="str">
        <f t="shared" si="1"/>
        <v>پیچ سر شش گوش واشردار</v>
      </c>
      <c r="S54" s="586">
        <f t="shared" si="1"/>
        <v>3</v>
      </c>
      <c r="T54" s="587">
        <v>7</v>
      </c>
      <c r="U54" s="587">
        <v>8</v>
      </c>
      <c r="V54" s="587">
        <v>9</v>
      </c>
      <c r="W54" s="588" t="s">
        <v>5431</v>
      </c>
      <c r="X54" s="587" t="s">
        <v>5432</v>
      </c>
      <c r="Y54" s="587" t="s">
        <v>5450</v>
      </c>
      <c r="Z54" s="587" t="s">
        <v>5442</v>
      </c>
      <c r="AA54" s="727" t="s">
        <v>5452</v>
      </c>
    </row>
    <row r="55" spans="1:27" ht="34.5" customHeight="1" thickBot="1">
      <c r="A55" s="1236"/>
      <c r="B55" s="1232"/>
      <c r="C55" s="1234" t="s">
        <v>1248</v>
      </c>
      <c r="D55" s="1235"/>
      <c r="E55" s="1249"/>
      <c r="F55" s="1232"/>
      <c r="G55" s="270" t="s">
        <v>824</v>
      </c>
      <c r="H55" s="271" t="s">
        <v>4</v>
      </c>
      <c r="I55" s="271" t="s">
        <v>5396</v>
      </c>
      <c r="J55" s="272" t="s">
        <v>1587</v>
      </c>
      <c r="K55" s="953">
        <v>3</v>
      </c>
      <c r="L55" s="250" t="s">
        <v>5822</v>
      </c>
      <c r="M55" s="194"/>
      <c r="N55" s="1168"/>
      <c r="O55" s="1234"/>
      <c r="P55" s="1235"/>
      <c r="Q55" s="273" t="str">
        <f t="shared" si="2"/>
        <v>Q1460625F38</v>
      </c>
      <c r="R55" s="274" t="str">
        <f t="shared" si="1"/>
        <v xml:space="preserve">پیچ فلنجی سر شش گوش </v>
      </c>
      <c r="S55" s="251">
        <f t="shared" si="1"/>
        <v>3</v>
      </c>
      <c r="T55" s="252">
        <v>7</v>
      </c>
      <c r="U55" s="252">
        <v>8</v>
      </c>
      <c r="V55" s="252">
        <v>9</v>
      </c>
      <c r="W55" s="253" t="s">
        <v>5431</v>
      </c>
      <c r="X55" s="252" t="s">
        <v>5432</v>
      </c>
      <c r="Y55" s="252" t="s">
        <v>5450</v>
      </c>
      <c r="Z55" s="252" t="s">
        <v>5442</v>
      </c>
      <c r="AA55" s="275" t="s">
        <v>5452</v>
      </c>
    </row>
    <row r="56" spans="1:27" ht="37.5" customHeight="1">
      <c r="A56" s="1166" t="s">
        <v>2644</v>
      </c>
      <c r="B56" s="1222" t="s">
        <v>2648</v>
      </c>
      <c r="C56" s="1169" t="s">
        <v>2642</v>
      </c>
      <c r="D56" s="1142" t="s">
        <v>141</v>
      </c>
      <c r="E56" s="1221"/>
      <c r="F56" s="1255">
        <v>1.3103549999999999</v>
      </c>
      <c r="G56" s="997" t="s">
        <v>0</v>
      </c>
      <c r="H56" s="276" t="s">
        <v>2641</v>
      </c>
      <c r="I56" s="276"/>
      <c r="J56" s="221" t="s">
        <v>2640</v>
      </c>
      <c r="K56" s="997">
        <v>1</v>
      </c>
      <c r="L56" s="222" t="s">
        <v>5807</v>
      </c>
      <c r="M56" s="194"/>
      <c r="N56" s="1166" t="str">
        <f>A56</f>
        <v>P04</v>
      </c>
      <c r="O56" s="1169" t="str">
        <f>C56</f>
        <v>نصب عایق حرارتی زیر کاپوت</v>
      </c>
      <c r="P56" s="1142" t="str">
        <f>D56</f>
        <v>SX5-8402-1</v>
      </c>
      <c r="Q56" s="740" t="str">
        <f t="shared" si="2"/>
        <v>SX3-8402611</v>
      </c>
      <c r="R56" s="224" t="str">
        <f t="shared" si="1"/>
        <v>عایق حرارتی درب محفظه موتور</v>
      </c>
      <c r="S56" s="225">
        <f t="shared" si="1"/>
        <v>1</v>
      </c>
      <c r="T56" s="226"/>
      <c r="U56" s="226"/>
      <c r="V56" s="226"/>
      <c r="W56" s="226"/>
      <c r="X56" s="227"/>
      <c r="Y56" s="227"/>
      <c r="Z56" s="226"/>
      <c r="AA56" s="228"/>
    </row>
    <row r="57" spans="1:27" ht="37.5" customHeight="1">
      <c r="A57" s="1167"/>
      <c r="B57" s="1151"/>
      <c r="C57" s="1154" t="s">
        <v>1248</v>
      </c>
      <c r="D57" s="1209"/>
      <c r="E57" s="1126"/>
      <c r="F57" s="1216"/>
      <c r="G57" s="952" t="s">
        <v>1</v>
      </c>
      <c r="H57" s="952" t="s">
        <v>143</v>
      </c>
      <c r="I57" s="952"/>
      <c r="J57" s="230" t="s">
        <v>2639</v>
      </c>
      <c r="K57" s="952">
        <v>13</v>
      </c>
      <c r="L57" s="231" t="s">
        <v>5812</v>
      </c>
      <c r="M57" s="194"/>
      <c r="N57" s="1167"/>
      <c r="O57" s="1116"/>
      <c r="P57" s="1117"/>
      <c r="Q57" s="586" t="str">
        <f t="shared" si="2"/>
        <v>BL318</v>
      </c>
      <c r="R57" s="585" t="str">
        <f t="shared" si="1"/>
        <v>پین فشاری</v>
      </c>
      <c r="S57" s="586">
        <f t="shared" si="1"/>
        <v>13</v>
      </c>
      <c r="T57" s="589"/>
      <c r="U57" s="589"/>
      <c r="V57" s="589"/>
      <c r="W57" s="589"/>
      <c r="X57" s="590"/>
      <c r="Y57" s="590"/>
      <c r="Z57" s="589"/>
      <c r="AA57" s="724"/>
    </row>
    <row r="58" spans="1:27" ht="37.5" customHeight="1">
      <c r="A58" s="1167"/>
      <c r="B58" s="1228" t="s">
        <v>2648</v>
      </c>
      <c r="C58" s="1154" t="s">
        <v>2638</v>
      </c>
      <c r="D58" s="1209" t="s">
        <v>145</v>
      </c>
      <c r="E58" s="1126"/>
      <c r="F58" s="1151">
        <v>1.42</v>
      </c>
      <c r="G58" s="952" t="s">
        <v>0</v>
      </c>
      <c r="H58" s="277" t="s">
        <v>146</v>
      </c>
      <c r="I58" s="277" t="s">
        <v>5748</v>
      </c>
      <c r="J58" s="232" t="s">
        <v>2637</v>
      </c>
      <c r="K58" s="952">
        <v>1</v>
      </c>
      <c r="L58" s="231" t="s">
        <v>5807</v>
      </c>
      <c r="M58" s="194"/>
      <c r="N58" s="1167"/>
      <c r="O58" s="1116" t="str">
        <f>C58</f>
        <v xml:space="preserve"> نصب عایق حرارتی بیرونی سینه داشبورد</v>
      </c>
      <c r="P58" s="1117" t="str">
        <f>D58</f>
        <v>SX5-5310-2</v>
      </c>
      <c r="Q58" s="608" t="str">
        <f t="shared" si="2"/>
        <v>SX5B-5310611B</v>
      </c>
      <c r="R58" s="591" t="str">
        <f t="shared" si="1"/>
        <v xml:space="preserve"> عایق حرارتی خارجی داشبورد</v>
      </c>
      <c r="S58" s="586">
        <f t="shared" si="1"/>
        <v>1</v>
      </c>
      <c r="T58" s="589"/>
      <c r="U58" s="589"/>
      <c r="V58" s="589"/>
      <c r="W58" s="589"/>
      <c r="X58" s="590"/>
      <c r="Y58" s="590"/>
      <c r="Z58" s="589"/>
      <c r="AA58" s="724"/>
    </row>
    <row r="59" spans="1:27" ht="37.5" customHeight="1">
      <c r="A59" s="1167"/>
      <c r="B59" s="1228"/>
      <c r="C59" s="1154" t="s">
        <v>1248</v>
      </c>
      <c r="D59" s="1209"/>
      <c r="E59" s="1126"/>
      <c r="F59" s="1151"/>
      <c r="G59" s="952" t="s">
        <v>1</v>
      </c>
      <c r="H59" s="952" t="s">
        <v>56</v>
      </c>
      <c r="I59" s="952"/>
      <c r="J59" s="230" t="s">
        <v>1250</v>
      </c>
      <c r="K59" s="952">
        <v>8</v>
      </c>
      <c r="L59" s="231" t="s">
        <v>5823</v>
      </c>
      <c r="M59" s="194"/>
      <c r="N59" s="1167"/>
      <c r="O59" s="1116"/>
      <c r="P59" s="1117"/>
      <c r="Q59" s="586" t="str">
        <f t="shared" si="2"/>
        <v>BL929A1</v>
      </c>
      <c r="R59" s="585" t="str">
        <f t="shared" si="1"/>
        <v>مهره پلاستیکی</v>
      </c>
      <c r="S59" s="586">
        <f t="shared" si="1"/>
        <v>8</v>
      </c>
      <c r="T59" s="589"/>
      <c r="U59" s="589"/>
      <c r="V59" s="589"/>
      <c r="W59" s="589"/>
      <c r="X59" s="590"/>
      <c r="Y59" s="590"/>
      <c r="Z59" s="589"/>
      <c r="AA59" s="724"/>
    </row>
    <row r="60" spans="1:27" ht="37.5" customHeight="1">
      <c r="A60" s="1167"/>
      <c r="B60" s="1151" t="s">
        <v>2648</v>
      </c>
      <c r="C60" s="1154" t="s">
        <v>2636</v>
      </c>
      <c r="D60" s="1209" t="s">
        <v>251</v>
      </c>
      <c r="E60" s="1126" t="s">
        <v>4973</v>
      </c>
      <c r="F60" s="1216">
        <v>1.2215549999999999</v>
      </c>
      <c r="G60" s="952" t="s">
        <v>0</v>
      </c>
      <c r="H60" s="952" t="s">
        <v>2635</v>
      </c>
      <c r="I60" s="952"/>
      <c r="J60" s="230" t="s">
        <v>2426</v>
      </c>
      <c r="K60" s="952">
        <v>1</v>
      </c>
      <c r="L60" s="231" t="s">
        <v>5805</v>
      </c>
      <c r="M60" s="194"/>
      <c r="N60" s="1167"/>
      <c r="O60" s="1116" t="str">
        <f>C60</f>
        <v>مونتاژ زبانه قفل درب صندوق</v>
      </c>
      <c r="P60" s="1117" t="str">
        <f>D60</f>
        <v>SX7-6305-1</v>
      </c>
      <c r="Q60" s="586" t="str">
        <f t="shared" si="2"/>
        <v>SX7-6305310</v>
      </c>
      <c r="R60" s="585" t="str">
        <f t="shared" si="1"/>
        <v>مجموعه زبانه درب صندوق عقب</v>
      </c>
      <c r="S60" s="586">
        <f t="shared" si="1"/>
        <v>1</v>
      </c>
      <c r="T60" s="589"/>
      <c r="U60" s="589"/>
      <c r="V60" s="589"/>
      <c r="W60" s="589"/>
      <c r="X60" s="590"/>
      <c r="Y60" s="590"/>
      <c r="Z60" s="589"/>
      <c r="AA60" s="724"/>
    </row>
    <row r="61" spans="1:27" ht="37.5" customHeight="1">
      <c r="A61" s="1167"/>
      <c r="B61" s="1151"/>
      <c r="C61" s="1154" t="s">
        <v>1248</v>
      </c>
      <c r="D61" s="1209"/>
      <c r="E61" s="1126"/>
      <c r="F61" s="1216"/>
      <c r="G61" s="952" t="s">
        <v>1</v>
      </c>
      <c r="H61" s="952" t="s">
        <v>253</v>
      </c>
      <c r="I61" s="952" t="s">
        <v>5394</v>
      </c>
      <c r="J61" s="230" t="s">
        <v>1503</v>
      </c>
      <c r="K61" s="952">
        <v>2</v>
      </c>
      <c r="L61" s="231" t="s">
        <v>5805</v>
      </c>
      <c r="M61" s="194"/>
      <c r="N61" s="1167"/>
      <c r="O61" s="1116"/>
      <c r="P61" s="1117"/>
      <c r="Q61" s="586" t="str">
        <f t="shared" si="2"/>
        <v>Q1840820F38</v>
      </c>
      <c r="R61" s="585" t="str">
        <f t="shared" si="1"/>
        <v xml:space="preserve">پیچ فلنجی شش گوش </v>
      </c>
      <c r="S61" s="586">
        <f t="shared" si="1"/>
        <v>2</v>
      </c>
      <c r="T61" s="592">
        <v>18</v>
      </c>
      <c r="U61" s="592">
        <v>20</v>
      </c>
      <c r="V61" s="592">
        <v>22</v>
      </c>
      <c r="W61" s="588" t="s">
        <v>5445</v>
      </c>
      <c r="X61" s="587" t="s">
        <v>5435</v>
      </c>
      <c r="Y61" s="587" t="s">
        <v>5453</v>
      </c>
      <c r="Z61" s="587"/>
      <c r="AA61" s="725"/>
    </row>
    <row r="62" spans="1:27" ht="26.1" customHeight="1">
      <c r="A62" s="1167"/>
      <c r="B62" s="1160" t="s">
        <v>2548</v>
      </c>
      <c r="C62" s="1152" t="s">
        <v>5139</v>
      </c>
      <c r="D62" s="1120" t="s">
        <v>4976</v>
      </c>
      <c r="E62" s="1122"/>
      <c r="F62" s="1160">
        <v>0.53427999999999998</v>
      </c>
      <c r="G62" s="1095" t="s">
        <v>0</v>
      </c>
      <c r="H62" s="1095" t="s">
        <v>4955</v>
      </c>
      <c r="I62" s="1095"/>
      <c r="J62" s="230" t="s">
        <v>5004</v>
      </c>
      <c r="K62" s="1095">
        <v>1</v>
      </c>
      <c r="L62" s="1059" t="s">
        <v>5827</v>
      </c>
      <c r="M62" s="194"/>
      <c r="N62" s="1167"/>
      <c r="O62" s="1116" t="s">
        <v>5139</v>
      </c>
      <c r="P62" s="1117" t="s">
        <v>4976</v>
      </c>
      <c r="Q62" s="688" t="str">
        <f t="shared" si="2"/>
        <v>SX7-4016102</v>
      </c>
      <c r="R62" s="610" t="str">
        <f t="shared" si="1"/>
        <v xml:space="preserve">براکت نگهدارنده </v>
      </c>
      <c r="S62" s="586"/>
      <c r="T62" s="639"/>
      <c r="U62" s="639"/>
      <c r="V62" s="639"/>
      <c r="W62" s="591"/>
      <c r="X62" s="590"/>
      <c r="Y62" s="590"/>
      <c r="Z62" s="707"/>
      <c r="AA62" s="731"/>
    </row>
    <row r="63" spans="1:27" ht="26.1" customHeight="1">
      <c r="A63" s="1167"/>
      <c r="B63" s="1161"/>
      <c r="C63" s="1153"/>
      <c r="D63" s="1121"/>
      <c r="E63" s="1123"/>
      <c r="F63" s="1161"/>
      <c r="G63" s="1095" t="s">
        <v>1</v>
      </c>
      <c r="H63" s="1095" t="s">
        <v>4956</v>
      </c>
      <c r="I63" s="1095"/>
      <c r="J63" s="230" t="s">
        <v>5033</v>
      </c>
      <c r="K63" s="1095">
        <v>1</v>
      </c>
      <c r="L63" s="1059" t="s">
        <v>5837</v>
      </c>
      <c r="M63" s="194"/>
      <c r="N63" s="1167"/>
      <c r="O63" s="1116"/>
      <c r="P63" s="1117"/>
      <c r="Q63" s="688" t="str">
        <f t="shared" si="2"/>
        <v>Q1840616F36</v>
      </c>
      <c r="R63" s="610" t="str">
        <f t="shared" si="1"/>
        <v xml:space="preserve">پیچ </v>
      </c>
      <c r="S63" s="586"/>
      <c r="T63" s="587">
        <v>2</v>
      </c>
      <c r="U63" s="587">
        <v>3</v>
      </c>
      <c r="V63" s="587">
        <v>4</v>
      </c>
      <c r="W63" s="615" t="s">
        <v>5586</v>
      </c>
      <c r="X63" s="614" t="s">
        <v>5451</v>
      </c>
      <c r="Y63" s="587" t="s">
        <v>5454</v>
      </c>
      <c r="Z63" s="707"/>
      <c r="AA63" s="731"/>
    </row>
    <row r="64" spans="1:27" ht="37.5" customHeight="1">
      <c r="A64" s="1167"/>
      <c r="B64" s="1151" t="s">
        <v>2648</v>
      </c>
      <c r="C64" s="1154" t="s">
        <v>2634</v>
      </c>
      <c r="D64" s="1209" t="s">
        <v>175</v>
      </c>
      <c r="E64" s="1126"/>
      <c r="F64" s="1151">
        <v>1.54</v>
      </c>
      <c r="G64" s="952" t="s">
        <v>0</v>
      </c>
      <c r="H64" s="278" t="s">
        <v>176</v>
      </c>
      <c r="I64" s="278"/>
      <c r="J64" s="230" t="s">
        <v>2633</v>
      </c>
      <c r="K64" s="952">
        <v>1</v>
      </c>
      <c r="L64" s="231" t="s">
        <v>5824</v>
      </c>
      <c r="M64" s="194"/>
      <c r="N64" s="1167"/>
      <c r="O64" s="1116" t="str">
        <f>C64</f>
        <v>نصب باربندهای تزئینی سقف</v>
      </c>
      <c r="P64" s="1117" t="str">
        <f>D64</f>
        <v>SX5-5524-1</v>
      </c>
      <c r="Q64" s="609" t="str">
        <f t="shared" si="2"/>
        <v>SX3-5524030</v>
      </c>
      <c r="R64" s="585" t="str">
        <f t="shared" si="1"/>
        <v>باربند سمت چپ</v>
      </c>
      <c r="S64" s="586">
        <f t="shared" si="1"/>
        <v>1</v>
      </c>
      <c r="T64" s="589"/>
      <c r="U64" s="589"/>
      <c r="V64" s="589"/>
      <c r="W64" s="589"/>
      <c r="X64" s="590"/>
      <c r="Y64" s="590"/>
      <c r="Z64" s="589"/>
      <c r="AA64" s="724"/>
    </row>
    <row r="65" spans="1:34" ht="37.5" customHeight="1">
      <c r="A65" s="1167"/>
      <c r="B65" s="1151"/>
      <c r="C65" s="1154" t="s">
        <v>1248</v>
      </c>
      <c r="D65" s="1209"/>
      <c r="E65" s="1126"/>
      <c r="F65" s="1151"/>
      <c r="G65" s="952" t="s">
        <v>0</v>
      </c>
      <c r="H65" s="278" t="s">
        <v>177</v>
      </c>
      <c r="I65" s="278"/>
      <c r="J65" s="230" t="s">
        <v>2632</v>
      </c>
      <c r="K65" s="952">
        <v>1</v>
      </c>
      <c r="L65" s="231" t="s">
        <v>5824</v>
      </c>
      <c r="M65" s="194"/>
      <c r="N65" s="1167"/>
      <c r="O65" s="1116"/>
      <c r="P65" s="1117"/>
      <c r="Q65" s="609" t="str">
        <f t="shared" si="2"/>
        <v>SX3-5524040</v>
      </c>
      <c r="R65" s="585" t="str">
        <f t="shared" si="1"/>
        <v>باربند سمت راست</v>
      </c>
      <c r="S65" s="586">
        <f t="shared" si="1"/>
        <v>1</v>
      </c>
      <c r="T65" s="589"/>
      <c r="U65" s="589"/>
      <c r="V65" s="589"/>
      <c r="W65" s="589"/>
      <c r="X65" s="590"/>
      <c r="Y65" s="590"/>
      <c r="Z65" s="589"/>
      <c r="AA65" s="724"/>
    </row>
    <row r="66" spans="1:34" ht="37.5" customHeight="1">
      <c r="A66" s="1167"/>
      <c r="B66" s="1151"/>
      <c r="C66" s="1154" t="s">
        <v>1248</v>
      </c>
      <c r="D66" s="1209"/>
      <c r="E66" s="1126"/>
      <c r="F66" s="1151"/>
      <c r="G66" s="952" t="s">
        <v>1</v>
      </c>
      <c r="H66" s="952" t="s">
        <v>178</v>
      </c>
      <c r="I66" s="952"/>
      <c r="J66" s="230" t="s">
        <v>1498</v>
      </c>
      <c r="K66" s="952">
        <v>8</v>
      </c>
      <c r="L66" s="231" t="s">
        <v>5823</v>
      </c>
      <c r="M66" s="194"/>
      <c r="N66" s="1167"/>
      <c r="O66" s="1116"/>
      <c r="P66" s="1117"/>
      <c r="Q66" s="586" t="str">
        <f t="shared" si="2"/>
        <v>Q32206F38L</v>
      </c>
      <c r="R66" s="585" t="str">
        <f t="shared" si="1"/>
        <v xml:space="preserve">مهره فلنجی سر شش گوش </v>
      </c>
      <c r="S66" s="586">
        <f t="shared" si="1"/>
        <v>8</v>
      </c>
      <c r="T66" s="587">
        <v>2</v>
      </c>
      <c r="U66" s="587">
        <v>3</v>
      </c>
      <c r="V66" s="587">
        <v>4</v>
      </c>
      <c r="W66" s="588" t="s">
        <v>5431</v>
      </c>
      <c r="X66" s="587" t="s">
        <v>5451</v>
      </c>
      <c r="Y66" s="587" t="s">
        <v>5454</v>
      </c>
      <c r="Z66" s="587"/>
      <c r="AA66" s="724"/>
    </row>
    <row r="67" spans="1:34" ht="37.5" customHeight="1" thickBot="1">
      <c r="A67" s="1167"/>
      <c r="B67" s="925" t="s">
        <v>2648</v>
      </c>
      <c r="C67" s="926" t="s">
        <v>2631</v>
      </c>
      <c r="D67" s="927" t="s">
        <v>576</v>
      </c>
      <c r="E67" s="928"/>
      <c r="F67" s="862">
        <v>0.69430500000000017</v>
      </c>
      <c r="G67" s="975" t="s">
        <v>0</v>
      </c>
      <c r="H67" s="975" t="s">
        <v>1086</v>
      </c>
      <c r="I67" s="975"/>
      <c r="J67" s="241" t="s">
        <v>2630</v>
      </c>
      <c r="K67" s="975">
        <v>1</v>
      </c>
      <c r="L67" s="231" t="s">
        <v>5807</v>
      </c>
      <c r="M67" s="194"/>
      <c r="N67" s="1167"/>
      <c r="O67" s="914" t="str">
        <f t="shared" ref="O67:P70" si="6">C67</f>
        <v xml:space="preserve">مونتاژ نوار آب بندی جلوی درب موتور   </v>
      </c>
      <c r="P67" s="915" t="str">
        <f t="shared" si="6"/>
        <v>SX5-8402-3</v>
      </c>
      <c r="Q67" s="586" t="str">
        <f t="shared" si="2"/>
        <v>SX5-8402042</v>
      </c>
      <c r="R67" s="585" t="str">
        <f t="shared" si="1"/>
        <v>نوار اب بند جلوی درب محفظه موتور</v>
      </c>
      <c r="S67" s="586">
        <f t="shared" si="1"/>
        <v>1</v>
      </c>
      <c r="T67" s="589"/>
      <c r="U67" s="589"/>
      <c r="V67" s="589"/>
      <c r="W67" s="589"/>
      <c r="X67" s="590"/>
      <c r="Y67" s="590"/>
      <c r="Z67" s="589"/>
      <c r="AA67" s="724"/>
    </row>
    <row r="68" spans="1:34" ht="42.75" customHeight="1">
      <c r="A68" s="1175" t="s">
        <v>2628</v>
      </c>
      <c r="B68" s="946" t="s">
        <v>2621</v>
      </c>
      <c r="C68" s="943" t="s">
        <v>2625</v>
      </c>
      <c r="D68" s="944" t="s">
        <v>5796</v>
      </c>
      <c r="E68" s="945"/>
      <c r="F68" s="946">
        <v>0.65</v>
      </c>
      <c r="G68" s="997" t="s">
        <v>0</v>
      </c>
      <c r="H68" s="997" t="s">
        <v>5249</v>
      </c>
      <c r="I68" s="997"/>
      <c r="J68" s="221" t="s">
        <v>2624</v>
      </c>
      <c r="K68" s="997">
        <v>1</v>
      </c>
      <c r="L68" s="222" t="s">
        <v>5825</v>
      </c>
      <c r="M68" s="194"/>
      <c r="N68" s="1166" t="s">
        <v>2628</v>
      </c>
      <c r="O68" s="943" t="str">
        <f>C68</f>
        <v>مونتاژ نوار آب بند لاستیکی پانوراما (سانروف)</v>
      </c>
      <c r="P68" s="944" t="str">
        <f>D68</f>
        <v>SX6A-5703-3</v>
      </c>
      <c r="Q68" s="225" t="str">
        <f t="shared" ref="Q68:Q70" si="7">H68</f>
        <v>SX6D-5703210</v>
      </c>
      <c r="R68" s="224" t="str">
        <f t="shared" ref="R68:S70" si="8">J68</f>
        <v>نوار آب بند سقف</v>
      </c>
      <c r="S68" s="225">
        <f t="shared" si="8"/>
        <v>1</v>
      </c>
      <c r="T68" s="226"/>
      <c r="U68" s="226"/>
      <c r="V68" s="226"/>
      <c r="W68" s="226"/>
      <c r="X68" s="227"/>
      <c r="Y68" s="227"/>
      <c r="Z68" s="226"/>
      <c r="AA68" s="228"/>
    </row>
    <row r="69" spans="1:34" ht="42.75" customHeight="1">
      <c r="A69" s="1176"/>
      <c r="B69" s="935" t="s">
        <v>2621</v>
      </c>
      <c r="C69" s="929" t="s">
        <v>2620</v>
      </c>
      <c r="D69" s="931" t="s">
        <v>77</v>
      </c>
      <c r="E69" s="939"/>
      <c r="F69" s="935">
        <v>0.77367333333333299</v>
      </c>
      <c r="G69" s="952" t="s">
        <v>0</v>
      </c>
      <c r="H69" s="952" t="s">
        <v>153</v>
      </c>
      <c r="I69" s="952"/>
      <c r="J69" s="230" t="s">
        <v>2619</v>
      </c>
      <c r="K69" s="952">
        <v>2</v>
      </c>
      <c r="L69" s="231" t="s">
        <v>5820</v>
      </c>
      <c r="M69" s="194"/>
      <c r="N69" s="1167"/>
      <c r="O69" s="914" t="str">
        <f>C69</f>
        <v xml:space="preserve">نصب زانویی پایین شیلنگ تخلیه سانروف  </v>
      </c>
      <c r="P69" s="915" t="str">
        <f>D69</f>
        <v>SX5-5703-6</v>
      </c>
      <c r="Q69" s="586" t="str">
        <f t="shared" si="7"/>
        <v>SX5-5703613</v>
      </c>
      <c r="R69" s="585" t="str">
        <f t="shared" si="8"/>
        <v>زانویی پایین شیلنگ تخلیه سانروف</v>
      </c>
      <c r="S69" s="586">
        <f t="shared" si="8"/>
        <v>2</v>
      </c>
      <c r="T69" s="589"/>
      <c r="U69" s="589"/>
      <c r="V69" s="589"/>
      <c r="W69" s="589"/>
      <c r="X69" s="590"/>
      <c r="Y69" s="590"/>
      <c r="Z69" s="589"/>
      <c r="AA69" s="724"/>
    </row>
    <row r="70" spans="1:34" ht="42.75" customHeight="1">
      <c r="A70" s="1176"/>
      <c r="B70" s="1161" t="s">
        <v>2621</v>
      </c>
      <c r="C70" s="1153" t="s">
        <v>2627</v>
      </c>
      <c r="D70" s="1121" t="s">
        <v>5869</v>
      </c>
      <c r="E70" s="1123" t="s">
        <v>4973</v>
      </c>
      <c r="F70" s="1161">
        <v>4.95</v>
      </c>
      <c r="G70" s="952" t="s">
        <v>0</v>
      </c>
      <c r="H70" s="952" t="s">
        <v>5240</v>
      </c>
      <c r="I70" s="952" t="s">
        <v>148</v>
      </c>
      <c r="J70" s="230" t="s">
        <v>5239</v>
      </c>
      <c r="K70" s="952">
        <v>1</v>
      </c>
      <c r="L70" s="231" t="s">
        <v>5825</v>
      </c>
      <c r="M70" s="194"/>
      <c r="N70" s="1167"/>
      <c r="O70" s="1116" t="str">
        <f t="shared" si="6"/>
        <v>مونتاژ سقف پانوراما</v>
      </c>
      <c r="P70" s="1117" t="str">
        <f t="shared" si="6"/>
        <v>SX5A-5703-2
SX5-5703-5</v>
      </c>
      <c r="Q70" s="586" t="str">
        <f t="shared" si="7"/>
        <v>SX6D-5703010C-Y1</v>
      </c>
      <c r="R70" s="585" t="str">
        <f t="shared" si="8"/>
        <v>سقف پانوراما</v>
      </c>
      <c r="S70" s="586">
        <f t="shared" si="8"/>
        <v>1</v>
      </c>
      <c r="T70" s="589"/>
      <c r="U70" s="589"/>
      <c r="V70" s="589"/>
      <c r="W70" s="589"/>
      <c r="X70" s="590"/>
      <c r="Y70" s="590"/>
      <c r="Z70" s="589"/>
      <c r="AA70" s="724"/>
    </row>
    <row r="71" spans="1:34" ht="42.75" customHeight="1">
      <c r="A71" s="1176"/>
      <c r="B71" s="1151"/>
      <c r="C71" s="1154" t="s">
        <v>1248</v>
      </c>
      <c r="D71" s="1209"/>
      <c r="E71" s="1126"/>
      <c r="F71" s="1151"/>
      <c r="G71" s="952" t="s">
        <v>1</v>
      </c>
      <c r="H71" s="952" t="s">
        <v>2626</v>
      </c>
      <c r="I71" s="952" t="s">
        <v>5395</v>
      </c>
      <c r="J71" s="230" t="s">
        <v>2016</v>
      </c>
      <c r="K71" s="952">
        <v>18</v>
      </c>
      <c r="L71" s="231" t="s">
        <v>5820</v>
      </c>
      <c r="M71" s="194"/>
      <c r="N71" s="1167"/>
      <c r="O71" s="1116"/>
      <c r="P71" s="1117"/>
      <c r="Q71" s="586" t="str">
        <f t="shared" si="2"/>
        <v>LQ140B0616F38A1</v>
      </c>
      <c r="R71" s="585" t="str">
        <f t="shared" si="1"/>
        <v>پیچ شش گوش</v>
      </c>
      <c r="S71" s="586">
        <f t="shared" si="1"/>
        <v>18</v>
      </c>
      <c r="T71" s="606">
        <v>6</v>
      </c>
      <c r="U71" s="606">
        <v>8</v>
      </c>
      <c r="V71" s="606">
        <v>10</v>
      </c>
      <c r="W71" s="588" t="s">
        <v>5431</v>
      </c>
      <c r="X71" s="587" t="s">
        <v>5432</v>
      </c>
      <c r="Y71" s="587" t="s">
        <v>5455</v>
      </c>
      <c r="Z71" s="587"/>
      <c r="AA71" s="727"/>
    </row>
    <row r="72" spans="1:34" ht="42.75" customHeight="1">
      <c r="A72" s="1176"/>
      <c r="B72" s="1151" t="s">
        <v>2621</v>
      </c>
      <c r="C72" s="1154" t="s">
        <v>2623</v>
      </c>
      <c r="D72" s="1209" t="s">
        <v>150</v>
      </c>
      <c r="E72" s="1126" t="s">
        <v>37</v>
      </c>
      <c r="F72" s="1151">
        <v>1.5522433333333301</v>
      </c>
      <c r="G72" s="952" t="s">
        <v>0</v>
      </c>
      <c r="H72" s="952" t="s">
        <v>2608</v>
      </c>
      <c r="I72" s="952"/>
      <c r="J72" s="230" t="s">
        <v>2607</v>
      </c>
      <c r="K72" s="952">
        <v>10</v>
      </c>
      <c r="L72" s="231" t="s">
        <v>5820</v>
      </c>
      <c r="M72" s="194"/>
      <c r="N72" s="1167"/>
      <c r="O72" s="1116" t="str">
        <f>C72</f>
        <v>نصب شیلنگ تخلیه جلو سانروف</v>
      </c>
      <c r="P72" s="1117" t="str">
        <f>D72</f>
        <v>SX5-5703-1</v>
      </c>
      <c r="Q72" s="586" t="str">
        <f t="shared" si="2"/>
        <v>SX5-5703412</v>
      </c>
      <c r="R72" s="585" t="str">
        <f t="shared" ref="R72:S136" si="9">J72</f>
        <v>بست شیلنگ تخلیه سانروف</v>
      </c>
      <c r="S72" s="586">
        <f t="shared" si="9"/>
        <v>10</v>
      </c>
      <c r="T72" s="589"/>
      <c r="U72" s="589"/>
      <c r="V72" s="589"/>
      <c r="W72" s="589"/>
      <c r="X72" s="590"/>
      <c r="Y72" s="590"/>
      <c r="Z72" s="589"/>
      <c r="AA72" s="724"/>
    </row>
    <row r="73" spans="1:34" ht="42.75" customHeight="1">
      <c r="A73" s="1176"/>
      <c r="B73" s="1151"/>
      <c r="C73" s="1154" t="s">
        <v>1248</v>
      </c>
      <c r="D73" s="1209"/>
      <c r="E73" s="1126"/>
      <c r="F73" s="1151"/>
      <c r="G73" s="952" t="s">
        <v>2</v>
      </c>
      <c r="H73" s="952" t="s">
        <v>151</v>
      </c>
      <c r="I73" s="952"/>
      <c r="J73" s="230" t="s">
        <v>2622</v>
      </c>
      <c r="K73" s="952">
        <v>2</v>
      </c>
      <c r="L73" s="231" t="s">
        <v>5817</v>
      </c>
      <c r="M73" s="194"/>
      <c r="N73" s="1167"/>
      <c r="O73" s="1116"/>
      <c r="P73" s="1117"/>
      <c r="Q73" s="586" t="str">
        <f t="shared" si="2"/>
        <v>SX5A-5703311B</v>
      </c>
      <c r="R73" s="585" t="str">
        <f t="shared" si="9"/>
        <v>شیلنگ تخلیه جلو سانروف</v>
      </c>
      <c r="S73" s="586">
        <f t="shared" si="9"/>
        <v>2</v>
      </c>
      <c r="T73" s="589"/>
      <c r="U73" s="589"/>
      <c r="V73" s="589"/>
      <c r="W73" s="589"/>
      <c r="X73" s="590"/>
      <c r="Y73" s="590"/>
      <c r="Z73" s="589"/>
      <c r="AA73" s="724"/>
    </row>
    <row r="74" spans="1:34" ht="42.75" customHeight="1" thickBot="1">
      <c r="A74" s="1236"/>
      <c r="B74" s="936" t="s">
        <v>2621</v>
      </c>
      <c r="C74" s="930" t="s">
        <v>2618</v>
      </c>
      <c r="D74" s="932" t="s">
        <v>168</v>
      </c>
      <c r="E74" s="942"/>
      <c r="F74" s="936">
        <v>0.53095000000000003</v>
      </c>
      <c r="G74" s="953" t="s">
        <v>0</v>
      </c>
      <c r="H74" s="953" t="s">
        <v>169</v>
      </c>
      <c r="I74" s="953"/>
      <c r="J74" s="272" t="s">
        <v>2617</v>
      </c>
      <c r="K74" s="953">
        <v>2</v>
      </c>
      <c r="L74" s="250" t="s">
        <v>5812</v>
      </c>
      <c r="M74" s="194"/>
      <c r="N74" s="1168"/>
      <c r="O74" s="930" t="str">
        <f>C74</f>
        <v>نصب ضربه گیر کوچک کاپوت</v>
      </c>
      <c r="P74" s="932" t="str">
        <f>D74</f>
        <v>SX5-8402-15</v>
      </c>
      <c r="Q74" s="251" t="str">
        <f t="shared" si="2"/>
        <v>BS3-8402410</v>
      </c>
      <c r="R74" s="274" t="str">
        <f t="shared" si="9"/>
        <v>ضربه گبر کوچک درب محفظه موتور</v>
      </c>
      <c r="S74" s="251">
        <f t="shared" si="9"/>
        <v>2</v>
      </c>
      <c r="T74" s="283"/>
      <c r="U74" s="283"/>
      <c r="V74" s="283"/>
      <c r="W74" s="283"/>
      <c r="X74" s="284"/>
      <c r="Y74" s="284"/>
      <c r="Z74" s="283"/>
      <c r="AA74" s="285"/>
    </row>
    <row r="75" spans="1:34" ht="42.75" customHeight="1">
      <c r="A75" s="1175" t="s">
        <v>2616</v>
      </c>
      <c r="B75" s="1218" t="s">
        <v>2621</v>
      </c>
      <c r="C75" s="1129" t="s">
        <v>5014</v>
      </c>
      <c r="D75" s="1132" t="s">
        <v>5013</v>
      </c>
      <c r="E75" s="1263"/>
      <c r="F75" s="1218"/>
      <c r="G75" s="287" t="s">
        <v>0</v>
      </c>
      <c r="H75" s="1015" t="s">
        <v>4962</v>
      </c>
      <c r="I75" s="287"/>
      <c r="J75" s="288" t="s">
        <v>5015</v>
      </c>
      <c r="K75" s="289">
        <v>1</v>
      </c>
      <c r="L75" s="222" t="s">
        <v>5805</v>
      </c>
      <c r="M75" s="194"/>
      <c r="N75" s="1166" t="str">
        <f>A75</f>
        <v>P06</v>
      </c>
      <c r="O75" s="1191" t="s">
        <v>5014</v>
      </c>
      <c r="P75" s="1193" t="s">
        <v>5013</v>
      </c>
      <c r="Q75" s="225" t="s">
        <v>4962</v>
      </c>
      <c r="R75" s="345" t="str">
        <f t="shared" si="9"/>
        <v xml:space="preserve">براکت </v>
      </c>
      <c r="S75" s="346">
        <v>1</v>
      </c>
      <c r="T75" s="226"/>
      <c r="U75" s="226"/>
      <c r="V75" s="226"/>
      <c r="W75" s="226"/>
      <c r="X75" s="227"/>
      <c r="Y75" s="227"/>
      <c r="Z75" s="226"/>
      <c r="AA75" s="228"/>
    </row>
    <row r="76" spans="1:34" s="293" customFormat="1" ht="36.75" customHeight="1">
      <c r="A76" s="1176"/>
      <c r="B76" s="1151"/>
      <c r="C76" s="1256"/>
      <c r="D76" s="1158"/>
      <c r="E76" s="1164"/>
      <c r="F76" s="1161"/>
      <c r="G76" s="290" t="s">
        <v>1</v>
      </c>
      <c r="H76" s="952" t="s">
        <v>253</v>
      </c>
      <c r="I76" s="952" t="s">
        <v>5394</v>
      </c>
      <c r="J76" s="291" t="s">
        <v>5010</v>
      </c>
      <c r="K76" s="292">
        <v>1</v>
      </c>
      <c r="L76" s="231" t="s">
        <v>5805</v>
      </c>
      <c r="M76" s="194"/>
      <c r="N76" s="1167"/>
      <c r="O76" s="1192"/>
      <c r="P76" s="1194"/>
      <c r="Q76" s="1030" t="s">
        <v>253</v>
      </c>
      <c r="R76" s="610" t="str">
        <f t="shared" si="9"/>
        <v xml:space="preserve">پیچ سر شش گوش فلنجی </v>
      </c>
      <c r="S76" s="611">
        <v>1</v>
      </c>
      <c r="T76" s="587">
        <v>8</v>
      </c>
      <c r="U76" s="587">
        <v>9</v>
      </c>
      <c r="V76" s="587">
        <v>10</v>
      </c>
      <c r="W76" s="588" t="s">
        <v>5431</v>
      </c>
      <c r="X76" s="587" t="s">
        <v>5432</v>
      </c>
      <c r="Y76" s="587" t="s">
        <v>5456</v>
      </c>
      <c r="Z76" s="589"/>
      <c r="AA76" s="724"/>
      <c r="AB76" s="194"/>
      <c r="AC76" s="194"/>
      <c r="AD76" s="194"/>
      <c r="AE76" s="194"/>
      <c r="AF76" s="194"/>
      <c r="AG76" s="194"/>
      <c r="AH76" s="194"/>
    </row>
    <row r="77" spans="1:34" ht="36.75" customHeight="1">
      <c r="A77" s="1176"/>
      <c r="B77" s="1160" t="s">
        <v>2621</v>
      </c>
      <c r="C77" s="1256" t="s">
        <v>5043</v>
      </c>
      <c r="D77" s="1158" t="s">
        <v>5042</v>
      </c>
      <c r="E77" s="1163"/>
      <c r="F77" s="1160"/>
      <c r="G77" s="294" t="s">
        <v>0</v>
      </c>
      <c r="H77" s="976" t="s">
        <v>4966</v>
      </c>
      <c r="I77" s="294"/>
      <c r="J77" s="830" t="s">
        <v>6127</v>
      </c>
      <c r="K77" s="296">
        <v>1</v>
      </c>
      <c r="L77" s="231" t="s">
        <v>5805</v>
      </c>
      <c r="M77" s="194"/>
      <c r="N77" s="1167"/>
      <c r="O77" s="1192" t="s">
        <v>5457</v>
      </c>
      <c r="P77" s="1194" t="s">
        <v>5042</v>
      </c>
      <c r="Q77" s="586" t="s">
        <v>4966</v>
      </c>
      <c r="R77" s="610" t="s">
        <v>5015</v>
      </c>
      <c r="S77" s="611"/>
      <c r="T77" s="589"/>
      <c r="U77" s="589"/>
      <c r="V77" s="589"/>
      <c r="W77" s="589"/>
      <c r="X77" s="590"/>
      <c r="Y77" s="590"/>
      <c r="Z77" s="589"/>
      <c r="AA77" s="724"/>
    </row>
    <row r="78" spans="1:34" s="293" customFormat="1" ht="36.75" customHeight="1">
      <c r="A78" s="1176"/>
      <c r="B78" s="1227"/>
      <c r="C78" s="1256"/>
      <c r="D78" s="1158"/>
      <c r="E78" s="1251"/>
      <c r="F78" s="1227"/>
      <c r="G78" s="290" t="s">
        <v>1</v>
      </c>
      <c r="H78" s="952" t="s">
        <v>4967</v>
      </c>
      <c r="I78" s="290"/>
      <c r="J78" s="295" t="s">
        <v>6127</v>
      </c>
      <c r="K78" s="292">
        <v>1</v>
      </c>
      <c r="L78" s="231" t="s">
        <v>5805</v>
      </c>
      <c r="M78" s="194"/>
      <c r="N78" s="1167"/>
      <c r="O78" s="1192"/>
      <c r="P78" s="1194"/>
      <c r="Q78" s="586" t="s">
        <v>4967</v>
      </c>
      <c r="R78" s="610" t="s">
        <v>5015</v>
      </c>
      <c r="S78" s="611"/>
      <c r="T78" s="589"/>
      <c r="U78" s="589"/>
      <c r="V78" s="589"/>
      <c r="W78" s="589"/>
      <c r="X78" s="590"/>
      <c r="Y78" s="590"/>
      <c r="Z78" s="589"/>
      <c r="AA78" s="724"/>
      <c r="AB78" s="194"/>
      <c r="AC78" s="194"/>
      <c r="AD78" s="194"/>
      <c r="AE78" s="194"/>
      <c r="AF78" s="194"/>
      <c r="AG78" s="194"/>
      <c r="AH78" s="194"/>
    </row>
    <row r="79" spans="1:34" s="293" customFormat="1" ht="36.75" customHeight="1">
      <c r="A79" s="1176"/>
      <c r="B79" s="1161"/>
      <c r="C79" s="1256"/>
      <c r="D79" s="1158"/>
      <c r="E79" s="1164"/>
      <c r="F79" s="1161"/>
      <c r="G79" s="290" t="s">
        <v>2</v>
      </c>
      <c r="H79" s="952" t="s">
        <v>4968</v>
      </c>
      <c r="I79" s="290"/>
      <c r="J79" s="291" t="s">
        <v>5038</v>
      </c>
      <c r="K79" s="292">
        <v>1</v>
      </c>
      <c r="L79" s="231" t="s">
        <v>5819</v>
      </c>
      <c r="M79" s="194"/>
      <c r="N79" s="1167"/>
      <c r="O79" s="1192"/>
      <c r="P79" s="1194"/>
      <c r="Q79" s="586" t="s">
        <v>4968</v>
      </c>
      <c r="R79" s="610" t="s">
        <v>5038</v>
      </c>
      <c r="S79" s="611"/>
      <c r="T79" s="589"/>
      <c r="U79" s="589"/>
      <c r="V79" s="589"/>
      <c r="W79" s="589"/>
      <c r="X79" s="590"/>
      <c r="Y79" s="590"/>
      <c r="Z79" s="589"/>
      <c r="AA79" s="724"/>
      <c r="AB79" s="194"/>
      <c r="AC79" s="194"/>
      <c r="AD79" s="194"/>
      <c r="AE79" s="194"/>
      <c r="AF79" s="194"/>
      <c r="AG79" s="194"/>
      <c r="AH79" s="194"/>
    </row>
    <row r="80" spans="1:34" ht="36.75" customHeight="1">
      <c r="A80" s="1176"/>
      <c r="B80" s="1160" t="s">
        <v>2621</v>
      </c>
      <c r="C80" s="1140" t="s">
        <v>2615</v>
      </c>
      <c r="D80" s="1141" t="s">
        <v>661</v>
      </c>
      <c r="E80" s="1163" t="s">
        <v>4973</v>
      </c>
      <c r="F80" s="1160">
        <v>5.4</v>
      </c>
      <c r="G80" s="290" t="s">
        <v>0</v>
      </c>
      <c r="H80" s="952" t="s">
        <v>5236</v>
      </c>
      <c r="I80" s="290" t="s">
        <v>5237</v>
      </c>
      <c r="J80" s="291" t="s">
        <v>5238</v>
      </c>
      <c r="K80" s="292">
        <v>1</v>
      </c>
      <c r="L80" s="231" t="s">
        <v>5826</v>
      </c>
      <c r="M80" s="194"/>
      <c r="N80" s="1167"/>
      <c r="O80" s="1192" t="s">
        <v>2615</v>
      </c>
      <c r="P80" s="1194" t="s">
        <v>661</v>
      </c>
      <c r="Q80" s="586" t="s">
        <v>5236</v>
      </c>
      <c r="R80" s="610" t="s">
        <v>5238</v>
      </c>
      <c r="S80" s="611"/>
      <c r="T80" s="589"/>
      <c r="U80" s="589"/>
      <c r="V80" s="589"/>
      <c r="W80" s="589"/>
      <c r="X80" s="590"/>
      <c r="Y80" s="590"/>
      <c r="Z80" s="589"/>
      <c r="AA80" s="724"/>
    </row>
    <row r="81" spans="1:27" ht="36.75" customHeight="1">
      <c r="A81" s="1176"/>
      <c r="B81" s="1227"/>
      <c r="C81" s="1130"/>
      <c r="D81" s="1133"/>
      <c r="E81" s="1251"/>
      <c r="F81" s="1227"/>
      <c r="G81" s="952" t="s">
        <v>717</v>
      </c>
      <c r="H81" s="952" t="s">
        <v>16</v>
      </c>
      <c r="I81" s="952"/>
      <c r="J81" s="230" t="s">
        <v>2429</v>
      </c>
      <c r="K81" s="952">
        <v>3</v>
      </c>
      <c r="L81" s="231" t="s">
        <v>5815</v>
      </c>
      <c r="M81" s="194"/>
      <c r="N81" s="1167"/>
      <c r="O81" s="1192"/>
      <c r="P81" s="1194"/>
      <c r="Q81" s="586" t="str">
        <f t="shared" ref="Q81:Q85" si="10">H81</f>
        <v>A13-4016201</v>
      </c>
      <c r="R81" s="585" t="str">
        <f t="shared" ref="R81:S85" si="11">J81</f>
        <v>پیچ اتصال بدنه</v>
      </c>
      <c r="S81" s="586">
        <f t="shared" si="11"/>
        <v>3</v>
      </c>
      <c r="T81" s="587">
        <v>6</v>
      </c>
      <c r="U81" s="587">
        <v>7</v>
      </c>
      <c r="V81" s="587">
        <v>8</v>
      </c>
      <c r="W81" s="588" t="s">
        <v>5431</v>
      </c>
      <c r="X81" s="587" t="s">
        <v>5432</v>
      </c>
      <c r="Y81" s="587" t="s">
        <v>5456</v>
      </c>
      <c r="Z81" s="587" t="s">
        <v>5442</v>
      </c>
      <c r="AA81" s="728" t="s">
        <v>5458</v>
      </c>
    </row>
    <row r="82" spans="1:27" ht="36.75" customHeight="1">
      <c r="A82" s="1176"/>
      <c r="B82" s="1227"/>
      <c r="C82" s="1130"/>
      <c r="D82" s="1133"/>
      <c r="E82" s="1251"/>
      <c r="F82" s="1227"/>
      <c r="G82" s="952" t="s">
        <v>2</v>
      </c>
      <c r="H82" s="935" t="s">
        <v>5793</v>
      </c>
      <c r="I82" s="952" t="s">
        <v>5792</v>
      </c>
      <c r="J82" s="230" t="s">
        <v>1247</v>
      </c>
      <c r="K82" s="952">
        <v>2</v>
      </c>
      <c r="L82" s="231" t="s">
        <v>5815</v>
      </c>
      <c r="M82" s="194"/>
      <c r="N82" s="1167"/>
      <c r="O82" s="1192"/>
      <c r="P82" s="1194"/>
      <c r="Q82" s="586" t="str">
        <f t="shared" si="10"/>
        <v>Q1860616F36</v>
      </c>
      <c r="R82" s="585" t="str">
        <f t="shared" si="11"/>
        <v>پیچ فلنجی سر شش گوش</v>
      </c>
      <c r="S82" s="586">
        <f t="shared" si="11"/>
        <v>2</v>
      </c>
      <c r="T82" s="587">
        <v>6</v>
      </c>
      <c r="U82" s="587">
        <v>7</v>
      </c>
      <c r="V82" s="587">
        <v>8</v>
      </c>
      <c r="W82" s="588" t="s">
        <v>5431</v>
      </c>
      <c r="X82" s="587" t="s">
        <v>5432</v>
      </c>
      <c r="Y82" s="612" t="s">
        <v>5456</v>
      </c>
      <c r="Z82" s="612" t="s">
        <v>5442</v>
      </c>
      <c r="AA82" s="729" t="s">
        <v>5458</v>
      </c>
    </row>
    <row r="83" spans="1:27" ht="36.75" customHeight="1">
      <c r="A83" s="1176"/>
      <c r="B83" s="1227"/>
      <c r="C83" s="1130"/>
      <c r="D83" s="1133"/>
      <c r="E83" s="1251"/>
      <c r="F83" s="1227"/>
      <c r="G83" s="952" t="s">
        <v>7</v>
      </c>
      <c r="H83" s="935" t="s">
        <v>5794</v>
      </c>
      <c r="I83" s="952" t="s">
        <v>5792</v>
      </c>
      <c r="J83" s="230" t="s">
        <v>1247</v>
      </c>
      <c r="K83" s="952">
        <v>2</v>
      </c>
      <c r="L83" s="231" t="s">
        <v>5815</v>
      </c>
      <c r="M83" s="194"/>
      <c r="N83" s="1167"/>
      <c r="O83" s="1192"/>
      <c r="P83" s="1194"/>
      <c r="Q83" s="586" t="str">
        <f t="shared" si="10"/>
        <v>Q1840616F36</v>
      </c>
      <c r="R83" s="585" t="str">
        <f t="shared" si="11"/>
        <v>پیچ فلنجی سر شش گوش</v>
      </c>
      <c r="S83" s="586">
        <f t="shared" si="11"/>
        <v>2</v>
      </c>
      <c r="T83" s="587">
        <v>6</v>
      </c>
      <c r="U83" s="587">
        <v>7</v>
      </c>
      <c r="V83" s="587">
        <v>8</v>
      </c>
      <c r="W83" s="588" t="s">
        <v>5459</v>
      </c>
      <c r="X83" s="587" t="s">
        <v>5432</v>
      </c>
      <c r="Y83" s="587" t="s">
        <v>5456</v>
      </c>
      <c r="Z83" s="587" t="s">
        <v>5442</v>
      </c>
      <c r="AA83" s="728" t="s">
        <v>5458</v>
      </c>
    </row>
    <row r="84" spans="1:27" ht="36.75" customHeight="1">
      <c r="A84" s="1176"/>
      <c r="B84" s="1227"/>
      <c r="C84" s="1130"/>
      <c r="D84" s="1133"/>
      <c r="E84" s="1251"/>
      <c r="F84" s="1227"/>
      <c r="G84" s="952" t="s">
        <v>9</v>
      </c>
      <c r="H84" s="935" t="s">
        <v>662</v>
      </c>
      <c r="I84" s="952" t="s">
        <v>5792</v>
      </c>
      <c r="J84" s="230" t="s">
        <v>1247</v>
      </c>
      <c r="K84" s="952">
        <v>1</v>
      </c>
      <c r="L84" s="231" t="s">
        <v>5815</v>
      </c>
      <c r="M84" s="194"/>
      <c r="N84" s="1167"/>
      <c r="O84" s="1192"/>
      <c r="P84" s="1194"/>
      <c r="Q84" s="586" t="str">
        <f t="shared" si="10"/>
        <v>Q1840612F36</v>
      </c>
      <c r="R84" s="585" t="str">
        <f t="shared" si="11"/>
        <v>پیچ فلنجی سر شش گوش</v>
      </c>
      <c r="S84" s="586">
        <f t="shared" si="11"/>
        <v>1</v>
      </c>
      <c r="T84" s="587">
        <v>6</v>
      </c>
      <c r="U84" s="587">
        <v>7</v>
      </c>
      <c r="V84" s="587">
        <v>8</v>
      </c>
      <c r="W84" s="588" t="s">
        <v>5459</v>
      </c>
      <c r="X84" s="587" t="s">
        <v>5432</v>
      </c>
      <c r="Y84" s="587" t="s">
        <v>5456</v>
      </c>
      <c r="Z84" s="587" t="s">
        <v>5442</v>
      </c>
      <c r="AA84" s="728" t="s">
        <v>5458</v>
      </c>
    </row>
    <row r="85" spans="1:27" ht="36.75" customHeight="1">
      <c r="A85" s="1176"/>
      <c r="B85" s="1161"/>
      <c r="C85" s="1131"/>
      <c r="D85" s="1134"/>
      <c r="E85" s="1164"/>
      <c r="F85" s="1161"/>
      <c r="G85" s="952" t="s">
        <v>10</v>
      </c>
      <c r="H85" s="297" t="s">
        <v>26</v>
      </c>
      <c r="I85" s="297"/>
      <c r="J85" s="230" t="s">
        <v>1455</v>
      </c>
      <c r="K85" s="952">
        <v>1</v>
      </c>
      <c r="L85" s="231" t="s">
        <v>5806</v>
      </c>
      <c r="M85" s="194"/>
      <c r="N85" s="1167"/>
      <c r="O85" s="1192"/>
      <c r="P85" s="1194"/>
      <c r="Q85" s="613" t="str">
        <f t="shared" si="10"/>
        <v>Q32006F36</v>
      </c>
      <c r="R85" s="585" t="str">
        <f t="shared" si="11"/>
        <v>مهره فلنجی</v>
      </c>
      <c r="S85" s="586">
        <f t="shared" si="11"/>
        <v>1</v>
      </c>
      <c r="T85" s="587">
        <v>6</v>
      </c>
      <c r="U85" s="587">
        <v>7</v>
      </c>
      <c r="V85" s="587">
        <v>8</v>
      </c>
      <c r="W85" s="588" t="s">
        <v>5459</v>
      </c>
      <c r="X85" s="587" t="s">
        <v>5432</v>
      </c>
      <c r="Y85" s="587" t="s">
        <v>5456</v>
      </c>
      <c r="Z85" s="587" t="s">
        <v>5442</v>
      </c>
      <c r="AA85" s="728" t="s">
        <v>5458</v>
      </c>
    </row>
    <row r="86" spans="1:27" ht="42.75" customHeight="1">
      <c r="A86" s="1176"/>
      <c r="B86" s="918" t="s">
        <v>2621</v>
      </c>
      <c r="C86" s="961" t="s">
        <v>2594</v>
      </c>
      <c r="D86" s="959"/>
      <c r="E86" s="979"/>
      <c r="F86" s="918">
        <v>1.132755</v>
      </c>
      <c r="G86" s="290" t="s">
        <v>1371</v>
      </c>
      <c r="H86" s="290" t="s">
        <v>1372</v>
      </c>
      <c r="I86" s="290"/>
      <c r="J86" s="291" t="s">
        <v>1464</v>
      </c>
      <c r="K86" s="292" t="s">
        <v>1371</v>
      </c>
      <c r="L86" s="299"/>
      <c r="M86" s="194"/>
      <c r="N86" s="1167"/>
      <c r="O86" s="964" t="str">
        <f>C86</f>
        <v>کمک به حمل و نصب سقف پانوراما</v>
      </c>
      <c r="P86" s="965">
        <f>D86</f>
        <v>0</v>
      </c>
      <c r="Q86" s="701" t="str">
        <f t="shared" ref="Q86:Q147" si="12">H86</f>
        <v>--------</v>
      </c>
      <c r="R86" s="610" t="str">
        <f t="shared" si="9"/>
        <v>---------</v>
      </c>
      <c r="S86" s="611" t="str">
        <f t="shared" si="9"/>
        <v>---</v>
      </c>
      <c r="T86" s="589"/>
      <c r="U86" s="589"/>
      <c r="V86" s="589"/>
      <c r="W86" s="589"/>
      <c r="X86" s="590"/>
      <c r="Y86" s="590"/>
      <c r="Z86" s="589"/>
      <c r="AA86" s="724"/>
    </row>
    <row r="87" spans="1:27" ht="36.75" customHeight="1">
      <c r="A87" s="1176"/>
      <c r="B87" s="1151" t="s">
        <v>2621</v>
      </c>
      <c r="C87" s="1154" t="s">
        <v>2613</v>
      </c>
      <c r="D87" s="1209" t="s">
        <v>182</v>
      </c>
      <c r="E87" s="1126"/>
      <c r="F87" s="1151">
        <v>0.92185499999999998</v>
      </c>
      <c r="G87" s="952" t="s">
        <v>0</v>
      </c>
      <c r="H87" s="952" t="s">
        <v>183</v>
      </c>
      <c r="I87" s="952"/>
      <c r="J87" s="230" t="s">
        <v>2612</v>
      </c>
      <c r="K87" s="952">
        <v>1</v>
      </c>
      <c r="L87" s="231" t="s">
        <v>5807</v>
      </c>
      <c r="M87" s="194"/>
      <c r="N87" s="1167"/>
      <c r="O87" s="1116" t="str">
        <f>C87</f>
        <v>مونتاژ بادگیرهای پشت گلگیر جلو</v>
      </c>
      <c r="P87" s="1117" t="str">
        <f>D87</f>
        <v>SX5-8403-1</v>
      </c>
      <c r="Q87" s="586" t="str">
        <f t="shared" si="12"/>
        <v>SX5-8403510B</v>
      </c>
      <c r="R87" s="585" t="str">
        <f>J87</f>
        <v>بادگیر پشت گلگیر جلو - چپ</v>
      </c>
      <c r="S87" s="586">
        <f t="shared" si="9"/>
        <v>1</v>
      </c>
      <c r="T87" s="589"/>
      <c r="U87" s="589"/>
      <c r="V87" s="589"/>
      <c r="W87" s="589"/>
      <c r="X87" s="590"/>
      <c r="Y87" s="590"/>
      <c r="Z87" s="589"/>
      <c r="AA87" s="724"/>
    </row>
    <row r="88" spans="1:27" ht="36.75" customHeight="1" thickBot="1">
      <c r="A88" s="1236"/>
      <c r="B88" s="1232"/>
      <c r="C88" s="1186" t="s">
        <v>1248</v>
      </c>
      <c r="D88" s="1159"/>
      <c r="E88" s="1214"/>
      <c r="F88" s="1232"/>
      <c r="G88" s="953" t="s">
        <v>0</v>
      </c>
      <c r="H88" s="953" t="s">
        <v>184</v>
      </c>
      <c r="I88" s="953"/>
      <c r="J88" s="272" t="s">
        <v>2611</v>
      </c>
      <c r="K88" s="953">
        <v>1</v>
      </c>
      <c r="L88" s="250" t="s">
        <v>5807</v>
      </c>
      <c r="M88" s="194"/>
      <c r="N88" s="1168"/>
      <c r="O88" s="1186"/>
      <c r="P88" s="1159"/>
      <c r="Q88" s="251" t="str">
        <f t="shared" si="12"/>
        <v>SX5-8403520B</v>
      </c>
      <c r="R88" s="274" t="str">
        <f t="shared" si="9"/>
        <v>بادگیر پشت گلگیر جلو - راست</v>
      </c>
      <c r="S88" s="251">
        <f t="shared" si="9"/>
        <v>1</v>
      </c>
      <c r="T88" s="283"/>
      <c r="U88" s="283"/>
      <c r="V88" s="283"/>
      <c r="W88" s="283"/>
      <c r="X88" s="284"/>
      <c r="Y88" s="284"/>
      <c r="Z88" s="283"/>
      <c r="AA88" s="285"/>
    </row>
    <row r="89" spans="1:27" ht="38.25" customHeight="1">
      <c r="A89" s="1166" t="s">
        <v>2610</v>
      </c>
      <c r="B89" s="1222" t="s">
        <v>2605</v>
      </c>
      <c r="C89" s="1169" t="s">
        <v>2609</v>
      </c>
      <c r="D89" s="1142" t="s">
        <v>164</v>
      </c>
      <c r="E89" s="1221" t="s">
        <v>37</v>
      </c>
      <c r="F89" s="1222">
        <v>1.94</v>
      </c>
      <c r="G89" s="997" t="s">
        <v>0</v>
      </c>
      <c r="H89" s="997" t="s">
        <v>165</v>
      </c>
      <c r="I89" s="997"/>
      <c r="J89" s="221" t="s">
        <v>2607</v>
      </c>
      <c r="K89" s="997">
        <v>11</v>
      </c>
      <c r="L89" s="222" t="s">
        <v>5820</v>
      </c>
      <c r="M89" s="194"/>
      <c r="N89" s="1166" t="str">
        <f t="shared" ref="N89:N142" si="13">A89</f>
        <v>P07</v>
      </c>
      <c r="O89" s="1169" t="str">
        <f>C89</f>
        <v>نصب شیلنگ تخلیه عقب سانروف</v>
      </c>
      <c r="P89" s="1142" t="str">
        <f>D89</f>
        <v>SX5A-5703-4</v>
      </c>
      <c r="Q89" s="225" t="str">
        <f t="shared" si="12"/>
        <v>SX5-5703412</v>
      </c>
      <c r="R89" s="224" t="str">
        <f t="shared" si="9"/>
        <v>بست شیلنگ تخلیه سانروف</v>
      </c>
      <c r="S89" s="225">
        <f t="shared" si="9"/>
        <v>11</v>
      </c>
      <c r="T89" s="226"/>
      <c r="U89" s="226"/>
      <c r="V89" s="226"/>
      <c r="W89" s="226"/>
      <c r="X89" s="227"/>
      <c r="Y89" s="227"/>
      <c r="Z89" s="226"/>
      <c r="AA89" s="228"/>
    </row>
    <row r="90" spans="1:27" ht="38.25" customHeight="1">
      <c r="A90" s="1167"/>
      <c r="B90" s="1151"/>
      <c r="C90" s="1154" t="s">
        <v>1248</v>
      </c>
      <c r="D90" s="1209"/>
      <c r="E90" s="1126"/>
      <c r="F90" s="1151"/>
      <c r="G90" s="952" t="s">
        <v>1</v>
      </c>
      <c r="H90" s="952" t="s">
        <v>78</v>
      </c>
      <c r="I90" s="952"/>
      <c r="J90" s="230" t="s">
        <v>2606</v>
      </c>
      <c r="K90" s="952">
        <v>2</v>
      </c>
      <c r="L90" s="231" t="s">
        <v>5817</v>
      </c>
      <c r="M90" s="194"/>
      <c r="N90" s="1167">
        <f t="shared" si="13"/>
        <v>0</v>
      </c>
      <c r="O90" s="1116"/>
      <c r="P90" s="1117"/>
      <c r="Q90" s="586" t="str">
        <f t="shared" si="12"/>
        <v>SX5A-5703-0004C</v>
      </c>
      <c r="R90" s="585" t="str">
        <f t="shared" si="9"/>
        <v>مجموعه لوله و زانویی شیلنگ تخلیه عقب</v>
      </c>
      <c r="S90" s="586">
        <f t="shared" si="9"/>
        <v>2</v>
      </c>
      <c r="T90" s="589"/>
      <c r="U90" s="589"/>
      <c r="V90" s="589"/>
      <c r="W90" s="589"/>
      <c r="X90" s="590"/>
      <c r="Y90" s="590"/>
      <c r="Z90" s="589"/>
      <c r="AA90" s="724"/>
    </row>
    <row r="91" spans="1:27" ht="38.25" customHeight="1">
      <c r="A91" s="1167"/>
      <c r="B91" s="1151" t="s">
        <v>2605</v>
      </c>
      <c r="C91" s="1154" t="s">
        <v>2604</v>
      </c>
      <c r="D91" s="1209" t="s">
        <v>162</v>
      </c>
      <c r="E91" s="1126"/>
      <c r="F91" s="1216">
        <v>2.8845200000000002</v>
      </c>
      <c r="G91" s="952" t="s">
        <v>0</v>
      </c>
      <c r="H91" s="952" t="s">
        <v>5129</v>
      </c>
      <c r="I91" s="952" t="s">
        <v>5386</v>
      </c>
      <c r="J91" s="230" t="s">
        <v>2603</v>
      </c>
      <c r="K91" s="952">
        <v>1</v>
      </c>
      <c r="L91" s="231" t="s">
        <v>5828</v>
      </c>
      <c r="M91" s="194"/>
      <c r="N91" s="1167">
        <f t="shared" si="13"/>
        <v>0</v>
      </c>
      <c r="O91" s="1116" t="str">
        <f>C91</f>
        <v>مونتاژ قاب نمره درب صندوق</v>
      </c>
      <c r="P91" s="1117" t="str">
        <f>D91</f>
        <v>SX5F-5506-1</v>
      </c>
      <c r="Q91" s="586" t="str">
        <f t="shared" si="12"/>
        <v>SX5KCT-5506-0002A</v>
      </c>
      <c r="R91" s="585" t="str">
        <f t="shared" si="9"/>
        <v>قاب تزئینی بیرونی پایین درب صندوق</v>
      </c>
      <c r="S91" s="586">
        <f t="shared" si="9"/>
        <v>1</v>
      </c>
      <c r="T91" s="589"/>
      <c r="U91" s="589"/>
      <c r="V91" s="589"/>
      <c r="W91" s="589"/>
      <c r="X91" s="590"/>
      <c r="Y91" s="590"/>
      <c r="Z91" s="589"/>
      <c r="AA91" s="724"/>
    </row>
    <row r="92" spans="1:27" ht="38.25" customHeight="1">
      <c r="A92" s="1167"/>
      <c r="B92" s="1151"/>
      <c r="C92" s="1154" t="s">
        <v>1248</v>
      </c>
      <c r="D92" s="1209"/>
      <c r="E92" s="1126"/>
      <c r="F92" s="1216"/>
      <c r="G92" s="952" t="s">
        <v>1</v>
      </c>
      <c r="H92" s="952" t="s">
        <v>11</v>
      </c>
      <c r="I92" s="952"/>
      <c r="J92" s="230" t="s">
        <v>1498</v>
      </c>
      <c r="K92" s="952">
        <v>5</v>
      </c>
      <c r="L92" s="231" t="s">
        <v>5809</v>
      </c>
      <c r="M92" s="194"/>
      <c r="N92" s="1167">
        <f t="shared" si="13"/>
        <v>0</v>
      </c>
      <c r="O92" s="1116"/>
      <c r="P92" s="1117"/>
      <c r="Q92" s="586" t="str">
        <f t="shared" si="12"/>
        <v>Q33006F38</v>
      </c>
      <c r="R92" s="585" t="str">
        <f t="shared" si="9"/>
        <v xml:space="preserve">مهره فلنجی سر شش گوش </v>
      </c>
      <c r="S92" s="586">
        <f t="shared" si="9"/>
        <v>5</v>
      </c>
      <c r="T92" s="587">
        <v>3</v>
      </c>
      <c r="U92" s="587">
        <v>5</v>
      </c>
      <c r="V92" s="587">
        <v>7</v>
      </c>
      <c r="W92" s="588" t="s">
        <v>5431</v>
      </c>
      <c r="X92" s="587" t="s">
        <v>5451</v>
      </c>
      <c r="Y92" s="587" t="s">
        <v>5460</v>
      </c>
      <c r="Z92" s="587"/>
      <c r="AA92" s="727"/>
    </row>
    <row r="93" spans="1:27" ht="38.25" customHeight="1">
      <c r="A93" s="1167"/>
      <c r="B93" s="1151"/>
      <c r="C93" s="1154" t="s">
        <v>1248</v>
      </c>
      <c r="D93" s="1209"/>
      <c r="E93" s="1126"/>
      <c r="F93" s="1216"/>
      <c r="G93" s="952" t="s">
        <v>2</v>
      </c>
      <c r="H93" s="952" t="s">
        <v>829</v>
      </c>
      <c r="I93" s="952"/>
      <c r="J93" s="230" t="s">
        <v>1253</v>
      </c>
      <c r="K93" s="952">
        <v>4</v>
      </c>
      <c r="L93" s="231" t="s">
        <v>5809</v>
      </c>
      <c r="M93" s="194"/>
      <c r="N93" s="1167">
        <f t="shared" si="13"/>
        <v>0</v>
      </c>
      <c r="O93" s="1116"/>
      <c r="P93" s="1117"/>
      <c r="Q93" s="586" t="str">
        <f t="shared" si="12"/>
        <v>Q2214819F38</v>
      </c>
      <c r="R93" s="585" t="str">
        <f t="shared" si="9"/>
        <v>پیچ چهار سو</v>
      </c>
      <c r="S93" s="586">
        <f t="shared" si="9"/>
        <v>4</v>
      </c>
      <c r="T93" s="614">
        <v>2.5</v>
      </c>
      <c r="U93" s="614">
        <v>3</v>
      </c>
      <c r="V93" s="614">
        <v>3.5</v>
      </c>
      <c r="W93" s="615" t="s">
        <v>5461</v>
      </c>
      <c r="X93" s="614" t="s">
        <v>5451</v>
      </c>
      <c r="Y93" s="603" t="s">
        <v>5462</v>
      </c>
      <c r="Z93" s="603"/>
      <c r="AA93" s="727"/>
    </row>
    <row r="94" spans="1:27" ht="38.25" customHeight="1">
      <c r="A94" s="1167"/>
      <c r="B94" s="1151" t="s">
        <v>2605</v>
      </c>
      <c r="C94" s="1154" t="s">
        <v>2602</v>
      </c>
      <c r="D94" s="1209" t="s">
        <v>246</v>
      </c>
      <c r="E94" s="1126" t="s">
        <v>4973</v>
      </c>
      <c r="F94" s="1151">
        <v>2.31</v>
      </c>
      <c r="G94" s="952" t="s">
        <v>0</v>
      </c>
      <c r="H94" s="933" t="s">
        <v>247</v>
      </c>
      <c r="I94" s="300" t="s">
        <v>5345</v>
      </c>
      <c r="J94" s="230" t="s">
        <v>2601</v>
      </c>
      <c r="K94" s="952">
        <v>4</v>
      </c>
      <c r="L94" s="231" t="s">
        <v>5809</v>
      </c>
      <c r="M94" s="194"/>
      <c r="N94" s="1167">
        <f t="shared" si="13"/>
        <v>0</v>
      </c>
      <c r="O94" s="1116" t="str">
        <f>C94</f>
        <v>نصب زبانه قفل درب های جانبی</v>
      </c>
      <c r="P94" s="1117" t="str">
        <f>D94</f>
        <v>SX5-6105-1</v>
      </c>
      <c r="Q94" s="586" t="str">
        <f>I94</f>
        <v>BM3-6105310A1</v>
      </c>
      <c r="R94" s="585" t="str">
        <f t="shared" si="9"/>
        <v xml:space="preserve">زبانه قفل درب های جانبی </v>
      </c>
      <c r="S94" s="586">
        <f t="shared" si="9"/>
        <v>4</v>
      </c>
      <c r="T94" s="589"/>
      <c r="U94" s="589"/>
      <c r="V94" s="589"/>
      <c r="W94" s="589"/>
      <c r="X94" s="590"/>
      <c r="Y94" s="590"/>
      <c r="Z94" s="589"/>
      <c r="AA94" s="724"/>
    </row>
    <row r="95" spans="1:27" ht="62.25" customHeight="1">
      <c r="A95" s="1167"/>
      <c r="B95" s="1151"/>
      <c r="C95" s="1154" t="s">
        <v>1248</v>
      </c>
      <c r="D95" s="1209"/>
      <c r="E95" s="1126"/>
      <c r="F95" s="1151"/>
      <c r="G95" s="952" t="s">
        <v>1</v>
      </c>
      <c r="H95" s="952" t="s">
        <v>248</v>
      </c>
      <c r="I95" s="952"/>
      <c r="J95" s="230" t="s">
        <v>1529</v>
      </c>
      <c r="K95" s="952">
        <v>8</v>
      </c>
      <c r="L95" s="231" t="s">
        <v>5809</v>
      </c>
      <c r="M95" s="194"/>
      <c r="N95" s="1167">
        <f t="shared" si="13"/>
        <v>0</v>
      </c>
      <c r="O95" s="1116"/>
      <c r="P95" s="1117"/>
      <c r="Q95" s="586" t="str">
        <f t="shared" si="12"/>
        <v>Q2580820F36</v>
      </c>
      <c r="R95" s="585" t="str">
        <f t="shared" si="9"/>
        <v xml:space="preserve">پیچ سر سوکتی شش گوش </v>
      </c>
      <c r="S95" s="586">
        <f t="shared" si="9"/>
        <v>8</v>
      </c>
      <c r="T95" s="592">
        <v>18</v>
      </c>
      <c r="U95" s="616" t="s">
        <v>5463</v>
      </c>
      <c r="V95" s="592">
        <v>22</v>
      </c>
      <c r="W95" s="588" t="s">
        <v>5445</v>
      </c>
      <c r="X95" s="587" t="s">
        <v>5432</v>
      </c>
      <c r="Y95" s="587" t="s">
        <v>5460</v>
      </c>
      <c r="Z95" s="587" t="s">
        <v>5464</v>
      </c>
      <c r="AA95" s="727" t="s">
        <v>5465</v>
      </c>
    </row>
    <row r="96" spans="1:27" ht="38.25" customHeight="1" thickBot="1">
      <c r="A96" s="1168"/>
      <c r="B96" s="936" t="s">
        <v>2605</v>
      </c>
      <c r="C96" s="754" t="s">
        <v>2594</v>
      </c>
      <c r="D96" s="755"/>
      <c r="E96" s="1025"/>
      <c r="F96" s="936">
        <v>1.23</v>
      </c>
      <c r="G96" s="301" t="s">
        <v>1371</v>
      </c>
      <c r="H96" s="301" t="s">
        <v>1372</v>
      </c>
      <c r="I96" s="301"/>
      <c r="J96" s="302" t="s">
        <v>1464</v>
      </c>
      <c r="K96" s="303" t="s">
        <v>1371</v>
      </c>
      <c r="L96" s="304"/>
      <c r="M96" s="194"/>
      <c r="N96" s="1168">
        <f t="shared" si="13"/>
        <v>0</v>
      </c>
      <c r="O96" s="754" t="str">
        <f>C96</f>
        <v>کمک به حمل و نصب سقف پانوراما</v>
      </c>
      <c r="P96" s="755" t="s">
        <v>1393</v>
      </c>
      <c r="Q96" s="305" t="str">
        <f t="shared" si="12"/>
        <v>--------</v>
      </c>
      <c r="R96" s="306" t="str">
        <f t="shared" si="9"/>
        <v>---------</v>
      </c>
      <c r="S96" s="307" t="str">
        <f t="shared" si="9"/>
        <v>---</v>
      </c>
      <c r="T96" s="283"/>
      <c r="U96" s="283"/>
      <c r="V96" s="283"/>
      <c r="W96" s="283"/>
      <c r="X96" s="284"/>
      <c r="Y96" s="284"/>
      <c r="Z96" s="283"/>
      <c r="AA96" s="285"/>
    </row>
    <row r="97" spans="1:34" ht="48.75" customHeight="1">
      <c r="A97" s="1167" t="s">
        <v>2600</v>
      </c>
      <c r="B97" s="1228" t="s">
        <v>2605</v>
      </c>
      <c r="C97" s="1154" t="s">
        <v>2599</v>
      </c>
      <c r="D97" s="1209" t="s">
        <v>563</v>
      </c>
      <c r="E97" s="1126" t="s">
        <v>4973</v>
      </c>
      <c r="F97" s="1220">
        <v>6.95</v>
      </c>
      <c r="G97" s="952" t="s">
        <v>0</v>
      </c>
      <c r="H97" s="243" t="s">
        <v>5245</v>
      </c>
      <c r="I97" s="243"/>
      <c r="J97" s="232" t="s">
        <v>2598</v>
      </c>
      <c r="K97" s="952">
        <v>1</v>
      </c>
      <c r="L97" s="231" t="s">
        <v>5826</v>
      </c>
      <c r="M97" s="194"/>
      <c r="N97" s="1167" t="str">
        <f t="shared" si="13"/>
        <v>P08</v>
      </c>
      <c r="O97" s="1116" t="str">
        <f>C97</f>
        <v>سیم کشی سمت چپ بدنه</v>
      </c>
      <c r="P97" s="1117" t="str">
        <f>D97</f>
        <v>SX5K-4002-1</v>
      </c>
      <c r="Q97" s="599" t="str">
        <f t="shared" si="12"/>
        <v>SX5K-4002050BS</v>
      </c>
      <c r="R97" s="591" t="str">
        <f t="shared" si="9"/>
        <v>دسته سیم کف - چپ</v>
      </c>
      <c r="S97" s="586">
        <f t="shared" si="9"/>
        <v>1</v>
      </c>
      <c r="T97" s="589"/>
      <c r="U97" s="589"/>
      <c r="V97" s="589"/>
      <c r="W97" s="589"/>
      <c r="X97" s="590"/>
      <c r="Y97" s="590"/>
      <c r="Z97" s="589"/>
      <c r="AA97" s="724"/>
    </row>
    <row r="98" spans="1:34" ht="48.75" customHeight="1">
      <c r="A98" s="1167"/>
      <c r="B98" s="1228"/>
      <c r="C98" s="1154" t="s">
        <v>1248</v>
      </c>
      <c r="D98" s="1209"/>
      <c r="E98" s="1126"/>
      <c r="F98" s="1220"/>
      <c r="G98" s="952" t="s">
        <v>1</v>
      </c>
      <c r="H98" s="243" t="s">
        <v>16</v>
      </c>
      <c r="I98" s="243"/>
      <c r="J98" s="232" t="s">
        <v>2429</v>
      </c>
      <c r="K98" s="952">
        <v>2</v>
      </c>
      <c r="L98" s="231" t="s">
        <v>5815</v>
      </c>
      <c r="M98" s="194"/>
      <c r="N98" s="1167">
        <f t="shared" si="13"/>
        <v>0</v>
      </c>
      <c r="O98" s="1116"/>
      <c r="P98" s="1117"/>
      <c r="Q98" s="599" t="str">
        <f>H98</f>
        <v>A13-4016201</v>
      </c>
      <c r="R98" s="591" t="str">
        <f t="shared" si="9"/>
        <v>پیچ اتصال بدنه</v>
      </c>
      <c r="S98" s="586">
        <f t="shared" si="9"/>
        <v>2</v>
      </c>
      <c r="T98" s="587">
        <v>6</v>
      </c>
      <c r="U98" s="587">
        <v>7</v>
      </c>
      <c r="V98" s="587">
        <v>8</v>
      </c>
      <c r="W98" s="588" t="s">
        <v>5431</v>
      </c>
      <c r="X98" s="587" t="s">
        <v>5432</v>
      </c>
      <c r="Y98" s="587" t="s">
        <v>5466</v>
      </c>
      <c r="Z98" s="587"/>
      <c r="AA98" s="727"/>
    </row>
    <row r="99" spans="1:34" ht="48.75" customHeight="1">
      <c r="A99" s="1167"/>
      <c r="B99" s="1228"/>
      <c r="C99" s="1154" t="s">
        <v>1248</v>
      </c>
      <c r="D99" s="1209"/>
      <c r="E99" s="1126"/>
      <c r="F99" s="1220"/>
      <c r="G99" s="952" t="s">
        <v>2</v>
      </c>
      <c r="H99" s="952" t="s">
        <v>5</v>
      </c>
      <c r="I99" s="952"/>
      <c r="J99" s="230" t="s">
        <v>1455</v>
      </c>
      <c r="K99" s="952">
        <v>3</v>
      </c>
      <c r="L99" s="231" t="s">
        <v>5817</v>
      </c>
      <c r="M99" s="194"/>
      <c r="N99" s="1167">
        <f t="shared" si="13"/>
        <v>0</v>
      </c>
      <c r="O99" s="1116"/>
      <c r="P99" s="1117"/>
      <c r="Q99" s="586" t="str">
        <f>H99</f>
        <v>Q32006F38</v>
      </c>
      <c r="R99" s="585" t="str">
        <f t="shared" si="9"/>
        <v>مهره فلنجی</v>
      </c>
      <c r="S99" s="586">
        <f t="shared" si="9"/>
        <v>3</v>
      </c>
      <c r="T99" s="606">
        <v>6</v>
      </c>
      <c r="U99" s="606">
        <v>7</v>
      </c>
      <c r="V99" s="606">
        <v>8</v>
      </c>
      <c r="W99" s="618" t="s">
        <v>5431</v>
      </c>
      <c r="X99" s="606" t="s">
        <v>5432</v>
      </c>
      <c r="Y99" s="587" t="s">
        <v>5466</v>
      </c>
      <c r="Z99" s="606"/>
      <c r="AA99" s="727"/>
    </row>
    <row r="100" spans="1:34" ht="48.75" customHeight="1" thickBot="1">
      <c r="A100" s="1168"/>
      <c r="B100" s="936" t="s">
        <v>2605</v>
      </c>
      <c r="C100" s="930" t="s">
        <v>2597</v>
      </c>
      <c r="D100" s="932" t="s">
        <v>127</v>
      </c>
      <c r="E100" s="942"/>
      <c r="F100" s="936">
        <v>0.63566</v>
      </c>
      <c r="G100" s="953" t="s">
        <v>0</v>
      </c>
      <c r="H100" s="953" t="s">
        <v>128</v>
      </c>
      <c r="I100" s="953"/>
      <c r="J100" s="272" t="s">
        <v>2596</v>
      </c>
      <c r="K100" s="953">
        <v>2</v>
      </c>
      <c r="L100" s="250" t="s">
        <v>5810</v>
      </c>
      <c r="M100" s="194"/>
      <c r="N100" s="1168">
        <f t="shared" si="13"/>
        <v>0</v>
      </c>
      <c r="O100" s="930" t="str">
        <f t="shared" ref="O100:P102" si="14">C100</f>
        <v xml:space="preserve">مونتاژ ضربه گیرهای درب صندوق </v>
      </c>
      <c r="P100" s="932" t="str">
        <f t="shared" si="14"/>
        <v>SX7-6309-4</v>
      </c>
      <c r="Q100" s="251" t="str">
        <f t="shared" si="12"/>
        <v>SX3A-6309090</v>
      </c>
      <c r="R100" s="274" t="str">
        <f t="shared" si="9"/>
        <v>ضربه گیر های درب صندوق عقب</v>
      </c>
      <c r="S100" s="251">
        <f t="shared" si="9"/>
        <v>2</v>
      </c>
      <c r="T100" s="283"/>
      <c r="U100" s="283"/>
      <c r="V100" s="283"/>
      <c r="W100" s="283"/>
      <c r="X100" s="284"/>
      <c r="Y100" s="284"/>
      <c r="Z100" s="283"/>
      <c r="AA100" s="285"/>
    </row>
    <row r="101" spans="1:34" ht="41.25" customHeight="1">
      <c r="A101" s="1166" t="s">
        <v>2595</v>
      </c>
      <c r="B101" s="946" t="s">
        <v>2614</v>
      </c>
      <c r="C101" s="966" t="s">
        <v>2594</v>
      </c>
      <c r="D101" s="967"/>
      <c r="E101" s="1000"/>
      <c r="F101" s="946">
        <v>1.132755</v>
      </c>
      <c r="G101" s="314" t="s">
        <v>1371</v>
      </c>
      <c r="H101" s="314" t="s">
        <v>1372</v>
      </c>
      <c r="I101" s="314"/>
      <c r="J101" s="256" t="s">
        <v>1464</v>
      </c>
      <c r="K101" s="255" t="s">
        <v>1371</v>
      </c>
      <c r="L101" s="257"/>
      <c r="M101" s="194"/>
      <c r="N101" s="1166" t="str">
        <f t="shared" si="13"/>
        <v>P09</v>
      </c>
      <c r="O101" s="966" t="str">
        <f t="shared" si="14"/>
        <v>کمک به حمل و نصب سقف پانوراما</v>
      </c>
      <c r="P101" s="967" t="s">
        <v>1393</v>
      </c>
      <c r="Q101" s="723" t="str">
        <f t="shared" si="12"/>
        <v>--------</v>
      </c>
      <c r="R101" s="345" t="str">
        <f t="shared" si="9"/>
        <v>---------</v>
      </c>
      <c r="S101" s="346" t="str">
        <f t="shared" si="9"/>
        <v>---</v>
      </c>
      <c r="T101" s="226"/>
      <c r="U101" s="226"/>
      <c r="V101" s="226"/>
      <c r="W101" s="226"/>
      <c r="X101" s="227"/>
      <c r="Y101" s="227"/>
      <c r="Z101" s="226"/>
      <c r="AA101" s="228"/>
    </row>
    <row r="102" spans="1:34" ht="41.25" customHeight="1">
      <c r="A102" s="1167"/>
      <c r="B102" s="1228" t="s">
        <v>2614</v>
      </c>
      <c r="C102" s="1154" t="s">
        <v>2593</v>
      </c>
      <c r="D102" s="1209" t="s">
        <v>159</v>
      </c>
      <c r="E102" s="1126" t="s">
        <v>4973</v>
      </c>
      <c r="F102" s="1220">
        <v>2.91106833333333</v>
      </c>
      <c r="G102" s="952" t="s">
        <v>697</v>
      </c>
      <c r="H102" s="243" t="s">
        <v>5246</v>
      </c>
      <c r="I102" s="243"/>
      <c r="J102" s="230" t="s">
        <v>2592</v>
      </c>
      <c r="K102" s="952">
        <v>1</v>
      </c>
      <c r="L102" s="231" t="s">
        <v>5829</v>
      </c>
      <c r="M102" s="194"/>
      <c r="N102" s="1167">
        <f t="shared" si="13"/>
        <v>0</v>
      </c>
      <c r="O102" s="1116" t="str">
        <f t="shared" si="14"/>
        <v>سیم کشی سمت راست بدنه</v>
      </c>
      <c r="P102" s="1117" t="str">
        <f t="shared" si="14"/>
        <v>SX5F-4002-2</v>
      </c>
      <c r="Q102" s="599" t="str">
        <f t="shared" si="12"/>
        <v>SX5K-4002160S</v>
      </c>
      <c r="R102" s="585" t="str">
        <f t="shared" si="9"/>
        <v>دسته سیم کف - راست</v>
      </c>
      <c r="S102" s="586">
        <f t="shared" si="9"/>
        <v>1</v>
      </c>
      <c r="T102" s="589"/>
      <c r="U102" s="589"/>
      <c r="V102" s="589"/>
      <c r="W102" s="589"/>
      <c r="X102" s="590"/>
      <c r="Y102" s="590"/>
      <c r="Z102" s="589"/>
      <c r="AA102" s="724"/>
    </row>
    <row r="103" spans="1:34" ht="41.25" customHeight="1">
      <c r="A103" s="1167"/>
      <c r="B103" s="1228"/>
      <c r="C103" s="1154" t="s">
        <v>1248</v>
      </c>
      <c r="D103" s="1209"/>
      <c r="E103" s="1126"/>
      <c r="F103" s="1220"/>
      <c r="G103" s="952" t="s">
        <v>1</v>
      </c>
      <c r="H103" s="952" t="s">
        <v>16</v>
      </c>
      <c r="I103" s="952"/>
      <c r="J103" s="230" t="s">
        <v>2429</v>
      </c>
      <c r="K103" s="952">
        <v>1</v>
      </c>
      <c r="L103" s="231" t="s">
        <v>5815</v>
      </c>
      <c r="M103" s="194"/>
      <c r="N103" s="1167">
        <f t="shared" si="13"/>
        <v>0</v>
      </c>
      <c r="O103" s="1116"/>
      <c r="P103" s="1117"/>
      <c r="Q103" s="586" t="str">
        <f t="shared" si="12"/>
        <v>A13-4016201</v>
      </c>
      <c r="R103" s="585" t="str">
        <f t="shared" si="9"/>
        <v>پیچ اتصال بدنه</v>
      </c>
      <c r="S103" s="586">
        <f t="shared" si="9"/>
        <v>1</v>
      </c>
      <c r="T103" s="587">
        <v>6</v>
      </c>
      <c r="U103" s="587">
        <v>7</v>
      </c>
      <c r="V103" s="587">
        <v>8</v>
      </c>
      <c r="W103" s="588" t="s">
        <v>5431</v>
      </c>
      <c r="X103" s="587" t="s">
        <v>5432</v>
      </c>
      <c r="Y103" s="587" t="s">
        <v>5467</v>
      </c>
      <c r="Z103" s="587"/>
      <c r="AA103" s="727"/>
    </row>
    <row r="104" spans="1:34" ht="41.25" customHeight="1">
      <c r="A104" s="1167"/>
      <c r="B104" s="933" t="s">
        <v>2614</v>
      </c>
      <c r="C104" s="929" t="s">
        <v>2591</v>
      </c>
      <c r="D104" s="931" t="s">
        <v>574</v>
      </c>
      <c r="E104" s="939"/>
      <c r="F104" s="935">
        <v>1.5545549999999999</v>
      </c>
      <c r="G104" s="952" t="s">
        <v>0</v>
      </c>
      <c r="H104" s="315" t="s">
        <v>2590</v>
      </c>
      <c r="I104" s="315"/>
      <c r="J104" s="232" t="s">
        <v>5145</v>
      </c>
      <c r="K104" s="952">
        <v>1</v>
      </c>
      <c r="L104" s="231" t="s">
        <v>5817</v>
      </c>
      <c r="M104" s="194"/>
      <c r="N104" s="1167">
        <f t="shared" si="13"/>
        <v>0</v>
      </c>
      <c r="O104" s="914" t="str">
        <f t="shared" ref="O104:P106" si="15">C104</f>
        <v>نصب شیلنگ آبپاش عقب</v>
      </c>
      <c r="P104" s="915" t="str">
        <f t="shared" si="15"/>
        <v>SX7A-5207-4</v>
      </c>
      <c r="Q104" s="619" t="str">
        <f t="shared" si="12"/>
        <v>SX3A-5207050</v>
      </c>
      <c r="R104" s="591" t="str">
        <f t="shared" si="9"/>
        <v>شیلنگ آب پاش شیشه عقب (بلند)</v>
      </c>
      <c r="S104" s="586">
        <f t="shared" si="9"/>
        <v>1</v>
      </c>
      <c r="T104" s="589"/>
      <c r="U104" s="589"/>
      <c r="V104" s="589"/>
      <c r="W104" s="589"/>
      <c r="X104" s="590"/>
      <c r="Y104" s="590"/>
      <c r="Z104" s="589"/>
      <c r="AA104" s="724"/>
    </row>
    <row r="105" spans="1:34" ht="41.25" customHeight="1">
      <c r="A105" s="1167"/>
      <c r="B105" s="933" t="s">
        <v>2614</v>
      </c>
      <c r="C105" s="929" t="s">
        <v>2589</v>
      </c>
      <c r="D105" s="931" t="s">
        <v>5036</v>
      </c>
      <c r="E105" s="939"/>
      <c r="F105" s="935">
        <v>0.61</v>
      </c>
      <c r="G105" s="952" t="s">
        <v>0</v>
      </c>
      <c r="H105" s="952" t="s">
        <v>174</v>
      </c>
      <c r="I105" s="952"/>
      <c r="J105" s="230" t="s">
        <v>2588</v>
      </c>
      <c r="K105" s="952">
        <v>1</v>
      </c>
      <c r="L105" s="231" t="s">
        <v>5830</v>
      </c>
      <c r="M105" s="194"/>
      <c r="N105" s="1167">
        <f t="shared" si="13"/>
        <v>0</v>
      </c>
      <c r="O105" s="914" t="str">
        <f t="shared" si="15"/>
        <v xml:space="preserve"> مونتاژ واسطه لوله آب پاش عقب</v>
      </c>
      <c r="P105" s="915" t="str">
        <f t="shared" si="15"/>
        <v>SX7-5207-2</v>
      </c>
      <c r="Q105" s="586" t="str">
        <f t="shared" si="12"/>
        <v>BX5A-5207111</v>
      </c>
      <c r="R105" s="585" t="str">
        <f t="shared" si="9"/>
        <v>واسطه لوله آب پاش عقب</v>
      </c>
      <c r="S105" s="586">
        <f t="shared" si="9"/>
        <v>1</v>
      </c>
      <c r="T105" s="589"/>
      <c r="U105" s="589"/>
      <c r="V105" s="589"/>
      <c r="W105" s="589"/>
      <c r="X105" s="590"/>
      <c r="Y105" s="590"/>
      <c r="Z105" s="589"/>
      <c r="AA105" s="724"/>
    </row>
    <row r="106" spans="1:34" ht="41.25" customHeight="1">
      <c r="A106" s="1167"/>
      <c r="B106" s="1220" t="s">
        <v>2614</v>
      </c>
      <c r="C106" s="1154" t="s">
        <v>2587</v>
      </c>
      <c r="D106" s="1209" t="s">
        <v>155</v>
      </c>
      <c r="E106" s="1126"/>
      <c r="F106" s="1151">
        <v>1.45</v>
      </c>
      <c r="G106" s="952" t="s">
        <v>0</v>
      </c>
      <c r="H106" s="952" t="s">
        <v>2586</v>
      </c>
      <c r="I106" s="952"/>
      <c r="J106" s="230" t="s">
        <v>2585</v>
      </c>
      <c r="K106" s="952">
        <v>1</v>
      </c>
      <c r="L106" s="231" t="s">
        <v>5807</v>
      </c>
      <c r="M106" s="194"/>
      <c r="N106" s="1167">
        <f t="shared" si="13"/>
        <v>0</v>
      </c>
      <c r="O106" s="1116" t="str">
        <f t="shared" si="15"/>
        <v>نصب عایق صداگیر گلگیر عقب</v>
      </c>
      <c r="P106" s="1117" t="str">
        <f t="shared" si="15"/>
        <v>SX5-5109-4</v>
      </c>
      <c r="Q106" s="586" t="str">
        <f t="shared" si="12"/>
        <v>SX5-5109511</v>
      </c>
      <c r="R106" s="585" t="str">
        <f t="shared" si="9"/>
        <v>عایق صداگیر گلگیر عقب - چپ</v>
      </c>
      <c r="S106" s="586">
        <f t="shared" si="9"/>
        <v>1</v>
      </c>
      <c r="T106" s="589"/>
      <c r="U106" s="589"/>
      <c r="V106" s="589"/>
      <c r="W106" s="589"/>
      <c r="X106" s="590"/>
      <c r="Y106" s="590"/>
      <c r="Z106" s="589"/>
      <c r="AA106" s="724"/>
    </row>
    <row r="107" spans="1:34" ht="41.25" customHeight="1">
      <c r="A107" s="1167"/>
      <c r="B107" s="1220"/>
      <c r="C107" s="1154" t="s">
        <v>1248</v>
      </c>
      <c r="D107" s="1209"/>
      <c r="E107" s="1126"/>
      <c r="F107" s="1151"/>
      <c r="G107" s="952" t="s">
        <v>1</v>
      </c>
      <c r="H107" s="952" t="s">
        <v>156</v>
      </c>
      <c r="I107" s="952"/>
      <c r="J107" s="230" t="s">
        <v>2584</v>
      </c>
      <c r="K107" s="952">
        <v>1</v>
      </c>
      <c r="L107" s="231" t="s">
        <v>5807</v>
      </c>
      <c r="M107" s="194"/>
      <c r="N107" s="1167">
        <f t="shared" si="13"/>
        <v>0</v>
      </c>
      <c r="O107" s="1116"/>
      <c r="P107" s="1117"/>
      <c r="Q107" s="586" t="str">
        <f t="shared" si="12"/>
        <v>SX5-5109512</v>
      </c>
      <c r="R107" s="585" t="str">
        <f t="shared" si="9"/>
        <v>عایق صداگیر گلگیر عقب - راست</v>
      </c>
      <c r="S107" s="586">
        <f t="shared" si="9"/>
        <v>1</v>
      </c>
      <c r="T107" s="589"/>
      <c r="U107" s="589"/>
      <c r="V107" s="589"/>
      <c r="W107" s="589"/>
      <c r="X107" s="590"/>
      <c r="Y107" s="590"/>
      <c r="Z107" s="589"/>
      <c r="AA107" s="724"/>
    </row>
    <row r="108" spans="1:34" ht="41.25" customHeight="1">
      <c r="A108" s="1167"/>
      <c r="B108" s="1220"/>
      <c r="C108" s="1154" t="s">
        <v>1248</v>
      </c>
      <c r="D108" s="1209"/>
      <c r="E108" s="1126"/>
      <c r="F108" s="1151"/>
      <c r="G108" s="952" t="s">
        <v>2</v>
      </c>
      <c r="H108" s="952" t="s">
        <v>56</v>
      </c>
      <c r="I108" s="952"/>
      <c r="J108" s="230" t="s">
        <v>1250</v>
      </c>
      <c r="K108" s="952">
        <v>8</v>
      </c>
      <c r="L108" s="231" t="s">
        <v>5823</v>
      </c>
      <c r="M108" s="194"/>
      <c r="N108" s="1167">
        <f t="shared" si="13"/>
        <v>0</v>
      </c>
      <c r="O108" s="1116"/>
      <c r="P108" s="1117"/>
      <c r="Q108" s="586" t="str">
        <f t="shared" si="12"/>
        <v>BL929A1</v>
      </c>
      <c r="R108" s="585" t="str">
        <f t="shared" si="9"/>
        <v>مهره پلاستیکی</v>
      </c>
      <c r="S108" s="586">
        <f t="shared" si="9"/>
        <v>8</v>
      </c>
      <c r="T108" s="589"/>
      <c r="U108" s="589"/>
      <c r="V108" s="589"/>
      <c r="W108" s="589"/>
      <c r="X108" s="590"/>
      <c r="Y108" s="590"/>
      <c r="Z108" s="589"/>
      <c r="AA108" s="724"/>
    </row>
    <row r="109" spans="1:34" ht="41.25" customHeight="1">
      <c r="A109" s="1167"/>
      <c r="B109" s="933" t="s">
        <v>2614</v>
      </c>
      <c r="C109" s="929" t="s">
        <v>2583</v>
      </c>
      <c r="D109" s="931" t="s">
        <v>5041</v>
      </c>
      <c r="E109" s="939"/>
      <c r="F109" s="935">
        <v>0.47286</v>
      </c>
      <c r="G109" s="952" t="s">
        <v>0</v>
      </c>
      <c r="H109" s="952" t="s">
        <v>638</v>
      </c>
      <c r="I109" s="952"/>
      <c r="J109" s="230" t="s">
        <v>1943</v>
      </c>
      <c r="K109" s="952">
        <v>2</v>
      </c>
      <c r="L109" s="231" t="s">
        <v>5812</v>
      </c>
      <c r="M109" s="194"/>
      <c r="N109" s="1167">
        <f t="shared" si="13"/>
        <v>0</v>
      </c>
      <c r="O109" s="914" t="str">
        <f>C109</f>
        <v xml:space="preserve">نصب کورکن های لاستیکی زیر گلگیر   </v>
      </c>
      <c r="P109" s="915" t="str">
        <f>D109</f>
        <v>SX5K-8200-11</v>
      </c>
      <c r="Q109" s="586" t="str">
        <f t="shared" si="12"/>
        <v>B-8263102A</v>
      </c>
      <c r="R109" s="585" t="str">
        <f t="shared" si="9"/>
        <v>درپوش</v>
      </c>
      <c r="S109" s="586">
        <f t="shared" si="9"/>
        <v>2</v>
      </c>
      <c r="T109" s="589"/>
      <c r="U109" s="589"/>
      <c r="V109" s="589"/>
      <c r="W109" s="589"/>
      <c r="X109" s="590"/>
      <c r="Y109" s="590"/>
      <c r="Z109" s="589"/>
      <c r="AA109" s="724"/>
    </row>
    <row r="110" spans="1:34" ht="41.25" customHeight="1" thickBot="1">
      <c r="A110" s="1168"/>
      <c r="B110" s="936" t="s">
        <v>2614</v>
      </c>
      <c r="C110" s="930" t="s">
        <v>2582</v>
      </c>
      <c r="D110" s="932" t="s">
        <v>2581</v>
      </c>
      <c r="E110" s="1018"/>
      <c r="F110" s="1026">
        <v>0.24</v>
      </c>
      <c r="G110" s="953" t="s">
        <v>0</v>
      </c>
      <c r="H110" s="316" t="s">
        <v>5372</v>
      </c>
      <c r="I110" s="317"/>
      <c r="J110" s="272" t="s">
        <v>2580</v>
      </c>
      <c r="K110" s="953">
        <v>1</v>
      </c>
      <c r="L110" s="250" t="s">
        <v>5831</v>
      </c>
      <c r="M110" s="194"/>
      <c r="N110" s="1168">
        <f t="shared" si="13"/>
        <v>0</v>
      </c>
      <c r="O110" s="930" t="str">
        <f>C110</f>
        <v xml:space="preserve">نصب برچسب گاز کولر  </v>
      </c>
      <c r="P110" s="932" t="str">
        <f>D110</f>
        <v>SX5-8111-1</v>
      </c>
      <c r="Q110" s="714" t="s">
        <v>5372</v>
      </c>
      <c r="R110" s="274" t="str">
        <f t="shared" si="9"/>
        <v>برچسب هشدار گاز کولر  HFC134a</v>
      </c>
      <c r="S110" s="251">
        <f t="shared" si="9"/>
        <v>1</v>
      </c>
      <c r="T110" s="283"/>
      <c r="U110" s="283"/>
      <c r="V110" s="283"/>
      <c r="W110" s="283"/>
      <c r="X110" s="284"/>
      <c r="Y110" s="284"/>
      <c r="Z110" s="283"/>
      <c r="AA110" s="285"/>
    </row>
    <row r="111" spans="1:34" ht="41.25" customHeight="1" thickBot="1">
      <c r="A111" s="1175" t="s">
        <v>2579</v>
      </c>
      <c r="B111" s="1222" t="s">
        <v>2614</v>
      </c>
      <c r="C111" s="1169" t="s">
        <v>5049</v>
      </c>
      <c r="D111" s="1211" t="s">
        <v>4995</v>
      </c>
      <c r="E111" s="1253"/>
      <c r="F111" s="1252"/>
      <c r="G111" s="1015" t="s">
        <v>0</v>
      </c>
      <c r="H111" s="997" t="s">
        <v>4960</v>
      </c>
      <c r="I111" s="318"/>
      <c r="J111" s="319" t="s">
        <v>5052</v>
      </c>
      <c r="K111" s="1015">
        <v>1</v>
      </c>
      <c r="L111" s="222" t="s">
        <v>5829</v>
      </c>
      <c r="M111" s="194"/>
      <c r="N111" s="1166" t="s">
        <v>2579</v>
      </c>
      <c r="O111" s="1169" t="s">
        <v>5049</v>
      </c>
      <c r="P111" s="1142" t="s">
        <v>4995</v>
      </c>
      <c r="Q111" s="223" t="str">
        <f>H111</f>
        <v>SX5G-1703710</v>
      </c>
      <c r="R111" s="224" t="str">
        <f t="shared" si="9"/>
        <v xml:space="preserve">صفحه پوشش </v>
      </c>
      <c r="S111" s="225">
        <f t="shared" si="9"/>
        <v>1</v>
      </c>
      <c r="T111" s="226"/>
      <c r="U111" s="226"/>
      <c r="V111" s="226"/>
      <c r="W111" s="226"/>
      <c r="X111" s="227"/>
      <c r="Y111" s="227"/>
      <c r="Z111" s="226"/>
      <c r="AA111" s="228"/>
    </row>
    <row r="112" spans="1:34" s="293" customFormat="1" ht="41.25" customHeight="1">
      <c r="A112" s="1176"/>
      <c r="B112" s="1151"/>
      <c r="C112" s="1154"/>
      <c r="D112" s="1121"/>
      <c r="E112" s="1254"/>
      <c r="F112" s="1240"/>
      <c r="G112" s="952" t="s">
        <v>1</v>
      </c>
      <c r="H112" s="952" t="s">
        <v>582</v>
      </c>
      <c r="I112" s="229"/>
      <c r="J112" s="230" t="s">
        <v>6205</v>
      </c>
      <c r="K112" s="952">
        <v>2</v>
      </c>
      <c r="L112" s="231" t="s">
        <v>5832</v>
      </c>
      <c r="M112" s="194"/>
      <c r="N112" s="1167"/>
      <c r="O112" s="1116"/>
      <c r="P112" s="1117"/>
      <c r="Q112" s="223" t="str">
        <f>H112</f>
        <v>Q32206F36</v>
      </c>
      <c r="R112" s="585" t="str">
        <f t="shared" si="9"/>
        <v xml:space="preserve">مهره سر شش گوش فلنجی </v>
      </c>
      <c r="S112" s="586">
        <f t="shared" si="9"/>
        <v>2</v>
      </c>
      <c r="T112" s="590">
        <v>3</v>
      </c>
      <c r="U112" s="590">
        <v>4</v>
      </c>
      <c r="V112" s="590">
        <v>5</v>
      </c>
      <c r="W112" s="589"/>
      <c r="X112" s="620" t="s">
        <v>5432</v>
      </c>
      <c r="Y112" s="620" t="s">
        <v>5468</v>
      </c>
      <c r="Z112" s="589"/>
      <c r="AA112" s="724"/>
      <c r="AB112" s="194"/>
      <c r="AC112" s="194"/>
      <c r="AD112" s="194"/>
      <c r="AE112" s="194"/>
      <c r="AF112" s="194"/>
      <c r="AG112" s="194"/>
      <c r="AH112" s="194"/>
    </row>
    <row r="113" spans="1:27" ht="42" customHeight="1">
      <c r="A113" s="1176"/>
      <c r="B113" s="1161" t="s">
        <v>2614</v>
      </c>
      <c r="C113" s="1153" t="s">
        <v>2578</v>
      </c>
      <c r="D113" s="1121" t="s">
        <v>601</v>
      </c>
      <c r="E113" s="1123"/>
      <c r="F113" s="1161">
        <v>2.754877</v>
      </c>
      <c r="G113" s="977" t="s">
        <v>0</v>
      </c>
      <c r="H113" s="977" t="s">
        <v>2577</v>
      </c>
      <c r="I113" s="977"/>
      <c r="J113" s="268" t="s">
        <v>2576</v>
      </c>
      <c r="K113" s="977">
        <v>1</v>
      </c>
      <c r="L113" s="231" t="s">
        <v>5807</v>
      </c>
      <c r="M113" s="194"/>
      <c r="N113" s="1167"/>
      <c r="O113" s="1116" t="str">
        <f>C113</f>
        <v>مجموعه مونتاژ کمربند ایمنی عقب</v>
      </c>
      <c r="P113" s="1117" t="str">
        <f>D113</f>
        <v>SX5-5810-4</v>
      </c>
      <c r="Q113" s="586" t="str">
        <f t="shared" si="12"/>
        <v>BS3-5810050C1</v>
      </c>
      <c r="R113" s="607" t="str">
        <f t="shared" si="9"/>
        <v>توپی کمربند ایمنی عقب - چپ</v>
      </c>
      <c r="S113" s="586">
        <f t="shared" si="9"/>
        <v>1</v>
      </c>
      <c r="T113" s="587" t="s">
        <v>5469</v>
      </c>
      <c r="U113" s="587" t="s">
        <v>5470</v>
      </c>
      <c r="V113" s="587" t="s">
        <v>5471</v>
      </c>
      <c r="W113" s="588" t="s">
        <v>5472</v>
      </c>
      <c r="X113" s="587" t="s">
        <v>5473</v>
      </c>
      <c r="Y113" s="616" t="s">
        <v>5474</v>
      </c>
      <c r="Z113" s="589"/>
      <c r="AA113" s="724"/>
    </row>
    <row r="114" spans="1:27" ht="42" customHeight="1">
      <c r="A114" s="1176"/>
      <c r="B114" s="1151"/>
      <c r="C114" s="1154" t="s">
        <v>1248</v>
      </c>
      <c r="D114" s="1209"/>
      <c r="E114" s="1126"/>
      <c r="F114" s="1151"/>
      <c r="G114" s="952" t="s">
        <v>0</v>
      </c>
      <c r="H114" s="952" t="s">
        <v>2575</v>
      </c>
      <c r="I114" s="952"/>
      <c r="J114" s="246" t="s">
        <v>2574</v>
      </c>
      <c r="K114" s="952">
        <v>1</v>
      </c>
      <c r="L114" s="231" t="s">
        <v>5807</v>
      </c>
      <c r="M114" s="194"/>
      <c r="N114" s="1167"/>
      <c r="O114" s="1116"/>
      <c r="P114" s="1117"/>
      <c r="Q114" s="586" t="str">
        <f t="shared" si="12"/>
        <v>BS3-5810060C1</v>
      </c>
      <c r="R114" s="607" t="str">
        <f t="shared" si="9"/>
        <v>توپی کمربند ایمنی عقب - راست</v>
      </c>
      <c r="S114" s="586">
        <f t="shared" si="9"/>
        <v>1</v>
      </c>
      <c r="T114" s="587" t="s">
        <v>5469</v>
      </c>
      <c r="U114" s="587" t="s">
        <v>5470</v>
      </c>
      <c r="V114" s="587" t="s">
        <v>5471</v>
      </c>
      <c r="W114" s="588" t="s">
        <v>5472</v>
      </c>
      <c r="X114" s="587" t="s">
        <v>5473</v>
      </c>
      <c r="Y114" s="616" t="s">
        <v>5474</v>
      </c>
      <c r="Z114" s="589"/>
      <c r="AA114" s="724"/>
    </row>
    <row r="115" spans="1:27" ht="42" customHeight="1">
      <c r="A115" s="1176"/>
      <c r="B115" s="1151" t="s">
        <v>2614</v>
      </c>
      <c r="C115" s="1154" t="s">
        <v>2573</v>
      </c>
      <c r="D115" s="1209" t="s">
        <v>226</v>
      </c>
      <c r="E115" s="1126" t="s">
        <v>4973</v>
      </c>
      <c r="F115" s="1228">
        <v>1.1200000000000001</v>
      </c>
      <c r="G115" s="952" t="s">
        <v>0</v>
      </c>
      <c r="H115" s="952" t="s">
        <v>5063</v>
      </c>
      <c r="I115" s="320"/>
      <c r="J115" s="230" t="s">
        <v>2572</v>
      </c>
      <c r="K115" s="952">
        <v>2</v>
      </c>
      <c r="L115" s="231" t="s">
        <v>5833</v>
      </c>
      <c r="M115" s="194"/>
      <c r="N115" s="1167"/>
      <c r="O115" s="1116" t="str">
        <f>C115</f>
        <v xml:space="preserve">مونتاژ سنسور ضربه جانبی </v>
      </c>
      <c r="P115" s="1117" t="str">
        <f>D115</f>
        <v>SX5-5820-4</v>
      </c>
      <c r="Q115" s="586" t="str">
        <f t="shared" si="12"/>
        <v>SX5G-5824560</v>
      </c>
      <c r="R115" s="585" t="str">
        <f t="shared" si="9"/>
        <v>سنسور ضربه جانبی</v>
      </c>
      <c r="S115" s="586">
        <f t="shared" si="9"/>
        <v>2</v>
      </c>
      <c r="T115" s="589"/>
      <c r="U115" s="589"/>
      <c r="V115" s="589"/>
      <c r="W115" s="589"/>
      <c r="X115" s="590"/>
      <c r="Y115" s="590"/>
      <c r="Z115" s="589"/>
      <c r="AA115" s="724"/>
    </row>
    <row r="116" spans="1:27" ht="42" customHeight="1">
      <c r="A116" s="1176"/>
      <c r="B116" s="1151"/>
      <c r="C116" s="1154" t="s">
        <v>1248</v>
      </c>
      <c r="D116" s="1209"/>
      <c r="E116" s="1126"/>
      <c r="F116" s="1228"/>
      <c r="G116" s="952" t="s">
        <v>1</v>
      </c>
      <c r="H116" s="320" t="s">
        <v>2571</v>
      </c>
      <c r="I116" s="320"/>
      <c r="J116" s="230" t="s">
        <v>1503</v>
      </c>
      <c r="K116" s="952">
        <v>2</v>
      </c>
      <c r="L116" s="231" t="s">
        <v>5830</v>
      </c>
      <c r="M116" s="194"/>
      <c r="N116" s="1167"/>
      <c r="O116" s="1116"/>
      <c r="P116" s="1117"/>
      <c r="Q116" s="621" t="str">
        <f t="shared" si="12"/>
        <v>Q1860620F38</v>
      </c>
      <c r="R116" s="585" t="str">
        <f t="shared" si="9"/>
        <v xml:space="preserve">پیچ فلنجی شش گوش </v>
      </c>
      <c r="S116" s="586">
        <f t="shared" si="9"/>
        <v>2</v>
      </c>
      <c r="T116" s="587">
        <v>8</v>
      </c>
      <c r="U116" s="587">
        <v>9</v>
      </c>
      <c r="V116" s="587">
        <v>10</v>
      </c>
      <c r="W116" s="588" t="s">
        <v>5431</v>
      </c>
      <c r="X116" s="587" t="s">
        <v>5432</v>
      </c>
      <c r="Y116" s="587" t="s">
        <v>5475</v>
      </c>
      <c r="Z116" s="589"/>
      <c r="AA116" s="724"/>
    </row>
    <row r="117" spans="1:27" ht="42" customHeight="1">
      <c r="A117" s="1176"/>
      <c r="B117" s="1151" t="s">
        <v>2614</v>
      </c>
      <c r="C117" s="1154" t="s">
        <v>2570</v>
      </c>
      <c r="D117" s="1209" t="s">
        <v>2569</v>
      </c>
      <c r="E117" s="1126"/>
      <c r="F117" s="1151">
        <v>3.01</v>
      </c>
      <c r="G117" s="952" t="s">
        <v>0</v>
      </c>
      <c r="H117" s="320" t="s">
        <v>5177</v>
      </c>
      <c r="I117" s="320" t="s">
        <v>5119</v>
      </c>
      <c r="J117" s="246" t="s">
        <v>2568</v>
      </c>
      <c r="K117" s="952">
        <v>1</v>
      </c>
      <c r="L117" s="231" t="s">
        <v>5807</v>
      </c>
      <c r="M117" s="194"/>
      <c r="N117" s="1167"/>
      <c r="O117" s="1116" t="str">
        <f>C117</f>
        <v>مجموعه مونتاژ کمربند ایمنی جلو</v>
      </c>
      <c r="P117" s="1117" t="str">
        <f>D117</f>
        <v>SX5-5810-1</v>
      </c>
      <c r="Q117" s="621" t="str">
        <f t="shared" si="12"/>
        <v>SX5-5810021-Y1</v>
      </c>
      <c r="R117" s="607" t="str">
        <f t="shared" si="9"/>
        <v>توپی کمربند ایمنی جلو - چپ</v>
      </c>
      <c r="S117" s="586">
        <f t="shared" si="9"/>
        <v>1</v>
      </c>
      <c r="T117" s="587" t="s">
        <v>5469</v>
      </c>
      <c r="U117" s="587" t="s">
        <v>5470</v>
      </c>
      <c r="V117" s="587" t="s">
        <v>5471</v>
      </c>
      <c r="W117" s="588" t="s">
        <v>5472</v>
      </c>
      <c r="X117" s="587" t="s">
        <v>5473</v>
      </c>
      <c r="Y117" s="616" t="s">
        <v>5474</v>
      </c>
      <c r="Z117" s="589"/>
      <c r="AA117" s="724"/>
    </row>
    <row r="118" spans="1:27" ht="42" customHeight="1">
      <c r="A118" s="1176"/>
      <c r="B118" s="1151"/>
      <c r="C118" s="1154" t="s">
        <v>1248</v>
      </c>
      <c r="D118" s="1209"/>
      <c r="E118" s="1126"/>
      <c r="F118" s="1151"/>
      <c r="G118" s="952" t="s">
        <v>0</v>
      </c>
      <c r="H118" s="320" t="s">
        <v>5176</v>
      </c>
      <c r="I118" s="320" t="s">
        <v>201</v>
      </c>
      <c r="J118" s="246" t="s">
        <v>2567</v>
      </c>
      <c r="K118" s="952">
        <v>1</v>
      </c>
      <c r="L118" s="231" t="s">
        <v>5807</v>
      </c>
      <c r="M118" s="194"/>
      <c r="N118" s="1167"/>
      <c r="O118" s="1116"/>
      <c r="P118" s="1117"/>
      <c r="Q118" s="621" t="str">
        <f t="shared" si="12"/>
        <v>SX5-5810020-Y1</v>
      </c>
      <c r="R118" s="607" t="str">
        <f t="shared" si="9"/>
        <v>توپی کمربند ایمنی جلو - راست</v>
      </c>
      <c r="S118" s="586">
        <f t="shared" si="9"/>
        <v>1</v>
      </c>
      <c r="T118" s="587" t="s">
        <v>5469</v>
      </c>
      <c r="U118" s="587" t="s">
        <v>5470</v>
      </c>
      <c r="V118" s="587" t="s">
        <v>5471</v>
      </c>
      <c r="W118" s="588" t="s">
        <v>5472</v>
      </c>
      <c r="X118" s="587" t="s">
        <v>5473</v>
      </c>
      <c r="Y118" s="616" t="s">
        <v>5474</v>
      </c>
      <c r="Z118" s="589"/>
      <c r="AA118" s="724"/>
    </row>
    <row r="119" spans="1:27" ht="42" customHeight="1">
      <c r="A119" s="1176"/>
      <c r="B119" s="1151"/>
      <c r="C119" s="1154" t="s">
        <v>1248</v>
      </c>
      <c r="D119" s="1209"/>
      <c r="E119" s="1126"/>
      <c r="F119" s="1151"/>
      <c r="G119" s="952" t="s">
        <v>1</v>
      </c>
      <c r="H119" s="320" t="s">
        <v>15</v>
      </c>
      <c r="I119" s="952"/>
      <c r="J119" s="230" t="s">
        <v>1503</v>
      </c>
      <c r="K119" s="952">
        <v>2</v>
      </c>
      <c r="L119" s="231" t="s">
        <v>5834</v>
      </c>
      <c r="M119" s="194"/>
      <c r="N119" s="1167"/>
      <c r="O119" s="1116"/>
      <c r="P119" s="1117"/>
      <c r="Q119" s="621" t="str">
        <f t="shared" si="12"/>
        <v>Q1860612F36</v>
      </c>
      <c r="R119" s="585" t="str">
        <f t="shared" si="9"/>
        <v xml:space="preserve">پیچ فلنجی شش گوش </v>
      </c>
      <c r="S119" s="586">
        <f t="shared" si="9"/>
        <v>2</v>
      </c>
      <c r="T119" s="587">
        <v>8</v>
      </c>
      <c r="U119" s="587">
        <v>9</v>
      </c>
      <c r="V119" s="587">
        <v>10</v>
      </c>
      <c r="W119" s="588" t="s">
        <v>5431</v>
      </c>
      <c r="X119" s="587" t="s">
        <v>5432</v>
      </c>
      <c r="Y119" s="587" t="s">
        <v>5475</v>
      </c>
      <c r="Z119" s="589"/>
      <c r="AA119" s="724"/>
    </row>
    <row r="120" spans="1:27" ht="42" customHeight="1">
      <c r="A120" s="1176"/>
      <c r="B120" s="935" t="s">
        <v>2614</v>
      </c>
      <c r="C120" s="929" t="s">
        <v>2566</v>
      </c>
      <c r="D120" s="931" t="s">
        <v>2565</v>
      </c>
      <c r="E120" s="939"/>
      <c r="F120" s="935">
        <v>0.76608500000000002</v>
      </c>
      <c r="G120" s="952" t="s">
        <v>0</v>
      </c>
      <c r="H120" s="952" t="s">
        <v>170</v>
      </c>
      <c r="I120" s="952"/>
      <c r="J120" s="230" t="s">
        <v>2564</v>
      </c>
      <c r="K120" s="952">
        <v>2</v>
      </c>
      <c r="L120" s="231" t="s">
        <v>5807</v>
      </c>
      <c r="M120" s="194"/>
      <c r="N120" s="1167"/>
      <c r="O120" s="914" t="str">
        <f t="shared" ref="O120:P125" si="16">C120</f>
        <v xml:space="preserve">مونتاژ کشویی تنظیم ارتفاع کمربند جلو   </v>
      </c>
      <c r="P120" s="915" t="str">
        <f t="shared" si="16"/>
        <v>SX5-5810-2</v>
      </c>
      <c r="Q120" s="586" t="str">
        <f t="shared" si="12"/>
        <v>C20-5810510BA2</v>
      </c>
      <c r="R120" s="585" t="str">
        <f t="shared" si="9"/>
        <v>کشویی تنظیم ارتفاع کمربند ایمنی جلو</v>
      </c>
      <c r="S120" s="586">
        <f t="shared" si="9"/>
        <v>2</v>
      </c>
      <c r="T120" s="587">
        <v>40</v>
      </c>
      <c r="U120" s="587">
        <v>45</v>
      </c>
      <c r="V120" s="587">
        <v>50</v>
      </c>
      <c r="W120" s="588" t="s">
        <v>5476</v>
      </c>
      <c r="X120" s="587" t="s">
        <v>5446</v>
      </c>
      <c r="Y120" s="587" t="s">
        <v>5477</v>
      </c>
      <c r="Z120" s="589"/>
      <c r="AA120" s="724"/>
    </row>
    <row r="121" spans="1:27" ht="42" customHeight="1">
      <c r="A121" s="1176"/>
      <c r="B121" s="949" t="s">
        <v>2614</v>
      </c>
      <c r="C121" s="929" t="s">
        <v>2563</v>
      </c>
      <c r="D121" s="931" t="s">
        <v>140</v>
      </c>
      <c r="E121" s="939"/>
      <c r="F121" s="935">
        <v>0.25650000000000001</v>
      </c>
      <c r="G121" s="952" t="s">
        <v>0</v>
      </c>
      <c r="H121" s="952" t="s">
        <v>2562</v>
      </c>
      <c r="I121" s="952"/>
      <c r="J121" s="230" t="s">
        <v>2558</v>
      </c>
      <c r="K121" s="952">
        <v>3</v>
      </c>
      <c r="L121" s="231" t="s">
        <v>5823</v>
      </c>
      <c r="M121" s="194"/>
      <c r="N121" s="1167"/>
      <c r="O121" s="914" t="str">
        <f t="shared" si="16"/>
        <v xml:space="preserve"> چسباندن نمد روی زبانه محل نصب داشبورد  </v>
      </c>
      <c r="P121" s="915" t="str">
        <f t="shared" si="16"/>
        <v>SX5-5306-9</v>
      </c>
      <c r="Q121" s="586" t="str">
        <f t="shared" si="12"/>
        <v>BS3-5306134B</v>
      </c>
      <c r="R121" s="585" t="str">
        <f t="shared" si="9"/>
        <v xml:space="preserve"> نمد روی زبانه نصب داشبورد</v>
      </c>
      <c r="S121" s="586">
        <f t="shared" si="9"/>
        <v>3</v>
      </c>
      <c r="T121" s="589"/>
      <c r="U121" s="589"/>
      <c r="V121" s="589"/>
      <c r="W121" s="589"/>
      <c r="X121" s="590"/>
      <c r="Y121" s="590"/>
      <c r="Z121" s="589"/>
      <c r="AA121" s="724"/>
    </row>
    <row r="122" spans="1:27" ht="42" customHeight="1" thickBot="1">
      <c r="A122" s="1236"/>
      <c r="B122" s="934" t="s">
        <v>2614</v>
      </c>
      <c r="C122" s="1023" t="s">
        <v>2561</v>
      </c>
      <c r="D122" s="1024" t="s">
        <v>2560</v>
      </c>
      <c r="E122" s="1025"/>
      <c r="F122" s="936">
        <v>0.15983333333333299</v>
      </c>
      <c r="G122" s="280" t="s">
        <v>0</v>
      </c>
      <c r="H122" s="321" t="s">
        <v>2559</v>
      </c>
      <c r="I122" s="321"/>
      <c r="J122" s="272" t="s">
        <v>2558</v>
      </c>
      <c r="K122" s="953">
        <v>1</v>
      </c>
      <c r="L122" s="250" t="s">
        <v>5823</v>
      </c>
      <c r="M122" s="194"/>
      <c r="N122" s="1168"/>
      <c r="O122" s="1023" t="str">
        <f t="shared" si="16"/>
        <v xml:space="preserve">چسباندن نمد روی لبه محفظه موتور    </v>
      </c>
      <c r="P122" s="1024" t="str">
        <f t="shared" si="16"/>
        <v>SX7-5306-1</v>
      </c>
      <c r="Q122" s="741" t="str">
        <f t="shared" si="12"/>
        <v>BS3-5306134B</v>
      </c>
      <c r="R122" s="274" t="str">
        <f t="shared" si="9"/>
        <v xml:space="preserve"> نمد روی زبانه نصب داشبورد</v>
      </c>
      <c r="S122" s="251">
        <f t="shared" si="9"/>
        <v>1</v>
      </c>
      <c r="T122" s="283"/>
      <c r="U122" s="283"/>
      <c r="V122" s="283"/>
      <c r="W122" s="283"/>
      <c r="X122" s="284"/>
      <c r="Y122" s="284"/>
      <c r="Z122" s="283"/>
      <c r="AA122" s="285"/>
    </row>
    <row r="123" spans="1:27" ht="35.25" customHeight="1">
      <c r="A123" s="1166" t="s">
        <v>2557</v>
      </c>
      <c r="B123" s="1264" t="s">
        <v>2548</v>
      </c>
      <c r="C123" s="1215" t="s">
        <v>2556</v>
      </c>
      <c r="D123" s="1211" t="s">
        <v>239</v>
      </c>
      <c r="E123" s="1219"/>
      <c r="F123" s="1218">
        <v>0.88429999999999997</v>
      </c>
      <c r="G123" s="322" t="s">
        <v>0</v>
      </c>
      <c r="H123" s="772" t="s">
        <v>5388</v>
      </c>
      <c r="I123" s="323" t="s">
        <v>5387</v>
      </c>
      <c r="J123" s="221" t="s">
        <v>2555</v>
      </c>
      <c r="K123" s="997">
        <v>1</v>
      </c>
      <c r="L123" s="324" t="s">
        <v>5835</v>
      </c>
      <c r="M123" s="194"/>
      <c r="N123" s="1166" t="str">
        <f t="shared" si="13"/>
        <v>P11</v>
      </c>
      <c r="O123" s="1169" t="str">
        <f t="shared" si="16"/>
        <v xml:space="preserve">  نصب آنتن کوسه ای</v>
      </c>
      <c r="P123" s="1142" t="str">
        <f t="shared" si="16"/>
        <v>SX5-7903-1</v>
      </c>
      <c r="Q123" s="225" t="str">
        <f t="shared" si="12"/>
        <v>SX5G-7903080L-BR</v>
      </c>
      <c r="R123" s="224" t="str">
        <f t="shared" si="9"/>
        <v>مجموعه آنتن کوسه ای</v>
      </c>
      <c r="S123" s="225">
        <f t="shared" si="9"/>
        <v>1</v>
      </c>
      <c r="T123" s="226"/>
      <c r="U123" s="226"/>
      <c r="V123" s="226"/>
      <c r="W123" s="226"/>
      <c r="X123" s="227"/>
      <c r="Y123" s="722" t="s">
        <v>5478</v>
      </c>
      <c r="Z123" s="226"/>
      <c r="AA123" s="228"/>
    </row>
    <row r="124" spans="1:27" ht="35.25" customHeight="1">
      <c r="A124" s="1210"/>
      <c r="B124" s="1265"/>
      <c r="C124" s="1153"/>
      <c r="D124" s="1121"/>
      <c r="E124" s="1123"/>
      <c r="F124" s="1161"/>
      <c r="G124" s="977"/>
      <c r="H124" s="325" t="s">
        <v>5407</v>
      </c>
      <c r="I124" s="325"/>
      <c r="J124" s="326" t="s">
        <v>5306</v>
      </c>
      <c r="K124" s="977"/>
      <c r="L124" s="327"/>
      <c r="M124" s="194"/>
      <c r="N124" s="1167"/>
      <c r="O124" s="1116"/>
      <c r="P124" s="1117"/>
      <c r="Q124" s="702" t="s">
        <v>5407</v>
      </c>
      <c r="R124" s="585"/>
      <c r="S124" s="586"/>
      <c r="T124" s="587">
        <v>6</v>
      </c>
      <c r="U124" s="587">
        <v>7</v>
      </c>
      <c r="V124" s="587">
        <v>8</v>
      </c>
      <c r="W124" s="588" t="s">
        <v>5479</v>
      </c>
      <c r="X124" s="587" t="s">
        <v>5442</v>
      </c>
      <c r="Y124" s="616"/>
      <c r="Z124" s="589"/>
      <c r="AA124" s="724"/>
    </row>
    <row r="125" spans="1:27" ht="30.75" customHeight="1">
      <c r="A125" s="1167"/>
      <c r="B125" s="1220" t="s">
        <v>2548</v>
      </c>
      <c r="C125" s="1266" t="s">
        <v>2554</v>
      </c>
      <c r="D125" s="1267" t="s">
        <v>292</v>
      </c>
      <c r="E125" s="1212"/>
      <c r="F125" s="1151">
        <v>0.94867999999999997</v>
      </c>
      <c r="G125" s="233" t="s">
        <v>721</v>
      </c>
      <c r="H125" s="330" t="s">
        <v>293</v>
      </c>
      <c r="I125" s="330"/>
      <c r="J125" s="230" t="s">
        <v>2552</v>
      </c>
      <c r="K125" s="331">
        <v>2</v>
      </c>
      <c r="L125" s="231" t="s">
        <v>5836</v>
      </c>
      <c r="M125" s="194"/>
      <c r="N125" s="1167">
        <f t="shared" si="13"/>
        <v>0</v>
      </c>
      <c r="O125" s="1207" t="str">
        <f t="shared" si="16"/>
        <v>نصب عایقهای صداگیر در قسمت عقب</v>
      </c>
      <c r="P125" s="1208" t="str">
        <f t="shared" si="16"/>
        <v>SX5F-5109-3</v>
      </c>
      <c r="Q125" s="622" t="str">
        <f t="shared" si="12"/>
        <v>SX5F-5410111</v>
      </c>
      <c r="R125" s="585" t="str">
        <f t="shared" si="9"/>
        <v>عایق صداگیر داخل بدنه - چپ</v>
      </c>
      <c r="S125" s="623">
        <f t="shared" si="9"/>
        <v>2</v>
      </c>
      <c r="T125" s="589"/>
      <c r="U125" s="589"/>
      <c r="V125" s="589"/>
      <c r="W125" s="589"/>
      <c r="X125" s="590"/>
      <c r="Y125" s="590"/>
      <c r="Z125" s="589"/>
      <c r="AA125" s="724"/>
    </row>
    <row r="126" spans="1:27" ht="30" customHeight="1">
      <c r="A126" s="1167"/>
      <c r="B126" s="1220"/>
      <c r="C126" s="1266" t="s">
        <v>1248</v>
      </c>
      <c r="D126" s="1267"/>
      <c r="E126" s="1212"/>
      <c r="F126" s="1151"/>
      <c r="G126" s="233" t="s">
        <v>701</v>
      </c>
      <c r="H126" s="330" t="s">
        <v>2553</v>
      </c>
      <c r="I126" s="330"/>
      <c r="J126" s="230" t="s">
        <v>2552</v>
      </c>
      <c r="K126" s="331">
        <v>1</v>
      </c>
      <c r="L126" s="231" t="s">
        <v>5836</v>
      </c>
      <c r="M126" s="194"/>
      <c r="N126" s="1167">
        <f t="shared" si="13"/>
        <v>0</v>
      </c>
      <c r="O126" s="1207"/>
      <c r="P126" s="1208"/>
      <c r="Q126" s="622" t="str">
        <f t="shared" si="12"/>
        <v>SX5F-5410113</v>
      </c>
      <c r="R126" s="585" t="str">
        <f t="shared" si="9"/>
        <v>عایق صداگیر داخل بدنه - چپ</v>
      </c>
      <c r="S126" s="623">
        <f t="shared" si="9"/>
        <v>1</v>
      </c>
      <c r="T126" s="589"/>
      <c r="U126" s="589"/>
      <c r="V126" s="589"/>
      <c r="W126" s="589"/>
      <c r="X126" s="590"/>
      <c r="Y126" s="590"/>
      <c r="Z126" s="589"/>
      <c r="AA126" s="724"/>
    </row>
    <row r="127" spans="1:27" ht="30.75" customHeight="1">
      <c r="A127" s="1167"/>
      <c r="B127" s="1220"/>
      <c r="C127" s="1266" t="s">
        <v>1248</v>
      </c>
      <c r="D127" s="1267"/>
      <c r="E127" s="1212"/>
      <c r="F127" s="1151"/>
      <c r="G127" s="233" t="s">
        <v>824</v>
      </c>
      <c r="H127" s="330" t="s">
        <v>2551</v>
      </c>
      <c r="I127" s="330"/>
      <c r="J127" s="230" t="s">
        <v>2550</v>
      </c>
      <c r="K127" s="331">
        <v>1</v>
      </c>
      <c r="L127" s="231" t="s">
        <v>5836</v>
      </c>
      <c r="M127" s="194"/>
      <c r="N127" s="1167">
        <f t="shared" si="13"/>
        <v>0</v>
      </c>
      <c r="O127" s="1207"/>
      <c r="P127" s="1208"/>
      <c r="Q127" s="622" t="str">
        <f t="shared" si="12"/>
        <v>SX5F-5410114</v>
      </c>
      <c r="R127" s="585" t="str">
        <f t="shared" si="9"/>
        <v>عایق صداگیر داخل بدنه - راست</v>
      </c>
      <c r="S127" s="623">
        <f t="shared" si="9"/>
        <v>1</v>
      </c>
      <c r="T127" s="589"/>
      <c r="U127" s="589"/>
      <c r="V127" s="589"/>
      <c r="W127" s="589"/>
      <c r="X127" s="590"/>
      <c r="Y127" s="590"/>
      <c r="Z127" s="589"/>
      <c r="AA127" s="724"/>
    </row>
    <row r="128" spans="1:27" ht="46.5" customHeight="1">
      <c r="A128" s="1167"/>
      <c r="B128" s="1151" t="s">
        <v>2548</v>
      </c>
      <c r="C128" s="1154" t="s">
        <v>2549</v>
      </c>
      <c r="D128" s="1209" t="s">
        <v>630</v>
      </c>
      <c r="E128" s="1126"/>
      <c r="F128" s="1220">
        <v>0.34</v>
      </c>
      <c r="G128" s="952" t="s">
        <v>0</v>
      </c>
      <c r="H128" s="332" t="s">
        <v>629</v>
      </c>
      <c r="I128" s="332"/>
      <c r="J128" s="230" t="s">
        <v>1939</v>
      </c>
      <c r="K128" s="952">
        <v>1</v>
      </c>
      <c r="L128" s="231" t="s">
        <v>5837</v>
      </c>
      <c r="M128" s="194"/>
      <c r="N128" s="1167">
        <f t="shared" si="13"/>
        <v>0</v>
      </c>
      <c r="O128" s="1116" t="str">
        <f>C128</f>
        <v>نصب کورکن های لاستیکی سینه داشبورد</v>
      </c>
      <c r="P128" s="1117" t="str">
        <f>D128</f>
        <v>SX5-8200-1</v>
      </c>
      <c r="Q128" s="624" t="str">
        <f t="shared" si="12"/>
        <v>SX5G-8263122</v>
      </c>
      <c r="R128" s="585" t="str">
        <f t="shared" si="9"/>
        <v>کورکن آلومینیومی بزرگ ¢30</v>
      </c>
      <c r="S128" s="586">
        <f t="shared" si="9"/>
        <v>1</v>
      </c>
      <c r="T128" s="589"/>
      <c r="U128" s="589"/>
      <c r="V128" s="589"/>
      <c r="W128" s="589"/>
      <c r="X128" s="590"/>
      <c r="Y128" s="590"/>
      <c r="Z128" s="589"/>
      <c r="AA128" s="724"/>
    </row>
    <row r="129" spans="1:27" ht="46.5" customHeight="1">
      <c r="A129" s="1167"/>
      <c r="B129" s="1151"/>
      <c r="C129" s="1154" t="s">
        <v>1248</v>
      </c>
      <c r="D129" s="1209"/>
      <c r="E129" s="1126"/>
      <c r="F129" s="1220"/>
      <c r="G129" s="952" t="s">
        <v>1</v>
      </c>
      <c r="H129" s="332" t="s">
        <v>631</v>
      </c>
      <c r="I129" s="332"/>
      <c r="J129" s="230" t="s">
        <v>1945</v>
      </c>
      <c r="K129" s="952">
        <v>2</v>
      </c>
      <c r="L129" s="231" t="s">
        <v>5837</v>
      </c>
      <c r="M129" s="194"/>
      <c r="N129" s="1167">
        <f t="shared" si="13"/>
        <v>0</v>
      </c>
      <c r="O129" s="1116"/>
      <c r="P129" s="1117"/>
      <c r="Q129" s="625" t="str">
        <f t="shared" si="12"/>
        <v>SX5G-8263121</v>
      </c>
      <c r="R129" s="585" t="str">
        <f t="shared" si="9"/>
        <v>کورکن آلومینیومی کوچک ¢20</v>
      </c>
      <c r="S129" s="586">
        <f t="shared" si="9"/>
        <v>2</v>
      </c>
      <c r="T129" s="589"/>
      <c r="U129" s="589"/>
      <c r="V129" s="589"/>
      <c r="W129" s="589"/>
      <c r="X129" s="590"/>
      <c r="Y129" s="590"/>
      <c r="Z129" s="589"/>
      <c r="AA129" s="724"/>
    </row>
    <row r="130" spans="1:27" ht="46.5" customHeight="1">
      <c r="A130" s="1167"/>
      <c r="B130" s="1151"/>
      <c r="C130" s="1154" t="s">
        <v>1248</v>
      </c>
      <c r="D130" s="1209"/>
      <c r="E130" s="1126"/>
      <c r="F130" s="1220"/>
      <c r="G130" s="952" t="s">
        <v>2</v>
      </c>
      <c r="H130" s="952" t="s">
        <v>632</v>
      </c>
      <c r="I130" s="952"/>
      <c r="J130" s="230" t="s">
        <v>1941</v>
      </c>
      <c r="K130" s="952">
        <v>1</v>
      </c>
      <c r="L130" s="231" t="s">
        <v>5820</v>
      </c>
      <c r="M130" s="194"/>
      <c r="N130" s="1167">
        <f t="shared" si="13"/>
        <v>0</v>
      </c>
      <c r="O130" s="1116"/>
      <c r="P130" s="1117"/>
      <c r="Q130" s="625" t="str">
        <f t="shared" si="12"/>
        <v>SX5-8263101</v>
      </c>
      <c r="R130" s="585" t="str">
        <f t="shared" si="9"/>
        <v>کورکن لاستیکی</v>
      </c>
      <c r="S130" s="586">
        <f t="shared" si="9"/>
        <v>1</v>
      </c>
      <c r="T130" s="589"/>
      <c r="U130" s="589"/>
      <c r="V130" s="589"/>
      <c r="W130" s="589"/>
      <c r="X130" s="590"/>
      <c r="Y130" s="590"/>
      <c r="Z130" s="589"/>
      <c r="AA130" s="724"/>
    </row>
    <row r="131" spans="1:27" ht="46.5" customHeight="1">
      <c r="A131" s="1167"/>
      <c r="B131" s="1151" t="s">
        <v>2548</v>
      </c>
      <c r="C131" s="1154" t="s">
        <v>2547</v>
      </c>
      <c r="D131" s="1209" t="s">
        <v>648</v>
      </c>
      <c r="E131" s="1212"/>
      <c r="F131" s="1151">
        <v>0.36093500000000001</v>
      </c>
      <c r="G131" s="333" t="s">
        <v>721</v>
      </c>
      <c r="H131" s="333" t="s">
        <v>1946</v>
      </c>
      <c r="I131" s="333"/>
      <c r="J131" s="230" t="s">
        <v>1945</v>
      </c>
      <c r="K131" s="952">
        <v>2</v>
      </c>
      <c r="L131" s="231" t="s">
        <v>5837</v>
      </c>
      <c r="M131" s="194"/>
      <c r="N131" s="1167">
        <f t="shared" si="13"/>
        <v>0</v>
      </c>
      <c r="O131" s="1116" t="str">
        <f>C131</f>
        <v xml:space="preserve">نصب کورکن های لاستیکی کناره داشبورد  </v>
      </c>
      <c r="P131" s="1117" t="str">
        <f>D131</f>
        <v>SX5-8200-12</v>
      </c>
      <c r="Q131" s="626" t="str">
        <f t="shared" si="12"/>
        <v>SX5G-8263121</v>
      </c>
      <c r="R131" s="585" t="str">
        <f t="shared" si="9"/>
        <v>کورکن آلومینیومی کوچک ¢20</v>
      </c>
      <c r="S131" s="586">
        <f t="shared" si="9"/>
        <v>2</v>
      </c>
      <c r="T131" s="589"/>
      <c r="U131" s="589"/>
      <c r="V131" s="589"/>
      <c r="W131" s="589"/>
      <c r="X131" s="590"/>
      <c r="Y131" s="590"/>
      <c r="Z131" s="589"/>
      <c r="AA131" s="724"/>
    </row>
    <row r="132" spans="1:27" ht="46.5" customHeight="1">
      <c r="A132" s="1167"/>
      <c r="B132" s="1151"/>
      <c r="C132" s="1154" t="s">
        <v>1248</v>
      </c>
      <c r="D132" s="1209"/>
      <c r="E132" s="1212"/>
      <c r="F132" s="1151"/>
      <c r="G132" s="333" t="s">
        <v>701</v>
      </c>
      <c r="H132" s="333" t="s">
        <v>1940</v>
      </c>
      <c r="I132" s="333"/>
      <c r="J132" s="230" t="s">
        <v>1939</v>
      </c>
      <c r="K132" s="952">
        <v>3</v>
      </c>
      <c r="L132" s="231" t="s">
        <v>5837</v>
      </c>
      <c r="M132" s="194"/>
      <c r="N132" s="1167">
        <f t="shared" si="13"/>
        <v>0</v>
      </c>
      <c r="O132" s="1116"/>
      <c r="P132" s="1117"/>
      <c r="Q132" s="626" t="str">
        <f t="shared" si="12"/>
        <v>SX5G-8263122</v>
      </c>
      <c r="R132" s="585" t="str">
        <f t="shared" si="9"/>
        <v>کورکن آلومینیومی بزرگ ¢30</v>
      </c>
      <c r="S132" s="586">
        <f t="shared" si="9"/>
        <v>3</v>
      </c>
      <c r="T132" s="589"/>
      <c r="U132" s="589"/>
      <c r="V132" s="589"/>
      <c r="W132" s="589"/>
      <c r="X132" s="590"/>
      <c r="Y132" s="590"/>
      <c r="Z132" s="589"/>
      <c r="AA132" s="724"/>
    </row>
    <row r="133" spans="1:27" ht="46.5" customHeight="1">
      <c r="A133" s="1167"/>
      <c r="B133" s="933" t="s">
        <v>2548</v>
      </c>
      <c r="C133" s="929" t="s">
        <v>2546</v>
      </c>
      <c r="D133" s="931" t="s">
        <v>154</v>
      </c>
      <c r="E133" s="939"/>
      <c r="F133" s="1003">
        <v>1.34</v>
      </c>
      <c r="G133" s="952" t="s">
        <v>0</v>
      </c>
      <c r="H133" s="952" t="s">
        <v>2545</v>
      </c>
      <c r="I133" s="952"/>
      <c r="J133" s="230" t="s">
        <v>2544</v>
      </c>
      <c r="K133" s="952">
        <v>1</v>
      </c>
      <c r="L133" s="231" t="s">
        <v>5807</v>
      </c>
      <c r="M133" s="194"/>
      <c r="N133" s="1167">
        <f t="shared" si="13"/>
        <v>0</v>
      </c>
      <c r="O133" s="914" t="str">
        <f t="shared" ref="O133:P136" si="17">C133</f>
        <v xml:space="preserve">  نصب کابل درب موتور</v>
      </c>
      <c r="P133" s="915" t="str">
        <f t="shared" si="17"/>
        <v>SX5-8402-5</v>
      </c>
      <c r="Q133" s="586" t="str">
        <f t="shared" si="12"/>
        <v>SX5-8402630</v>
      </c>
      <c r="R133" s="585" t="str">
        <f t="shared" si="9"/>
        <v>کابل باز کننده درب محفظه موتور</v>
      </c>
      <c r="S133" s="586">
        <f t="shared" si="9"/>
        <v>1</v>
      </c>
      <c r="T133" s="589"/>
      <c r="U133" s="589"/>
      <c r="V133" s="589"/>
      <c r="W133" s="589"/>
      <c r="X133" s="590"/>
      <c r="Y133" s="590"/>
      <c r="Z133" s="589"/>
      <c r="AA133" s="724"/>
    </row>
    <row r="134" spans="1:27" ht="46.5" customHeight="1">
      <c r="A134" s="1167"/>
      <c r="B134" s="935" t="s">
        <v>2548</v>
      </c>
      <c r="C134" s="929" t="s">
        <v>2543</v>
      </c>
      <c r="D134" s="931" t="s">
        <v>262</v>
      </c>
      <c r="E134" s="939"/>
      <c r="F134" s="935">
        <v>0.279165</v>
      </c>
      <c r="G134" s="952" t="s">
        <v>0</v>
      </c>
      <c r="H134" s="952" t="s">
        <v>2542</v>
      </c>
      <c r="I134" s="952"/>
      <c r="J134" s="230" t="s">
        <v>2541</v>
      </c>
      <c r="K134" s="952">
        <v>2</v>
      </c>
      <c r="L134" s="231" t="s">
        <v>5835</v>
      </c>
      <c r="M134" s="194"/>
      <c r="N134" s="1167">
        <f t="shared" si="13"/>
        <v>0</v>
      </c>
      <c r="O134" s="914" t="str">
        <f t="shared" si="17"/>
        <v xml:space="preserve">نصب دریچه تنظیم فشار </v>
      </c>
      <c r="P134" s="915" t="str">
        <f t="shared" si="17"/>
        <v>SX5-8104-1</v>
      </c>
      <c r="Q134" s="586" t="str">
        <f t="shared" si="12"/>
        <v>SX5-8104010</v>
      </c>
      <c r="R134" s="585" t="str">
        <f t="shared" si="9"/>
        <v xml:space="preserve">دریچه تنظیم فشار </v>
      </c>
      <c r="S134" s="586">
        <f t="shared" si="9"/>
        <v>2</v>
      </c>
      <c r="T134" s="589"/>
      <c r="U134" s="589"/>
      <c r="V134" s="589"/>
      <c r="W134" s="589"/>
      <c r="X134" s="590"/>
      <c r="Y134" s="590"/>
      <c r="Z134" s="589"/>
      <c r="AA134" s="724"/>
    </row>
    <row r="135" spans="1:27" ht="46.5" customHeight="1">
      <c r="A135" s="1167"/>
      <c r="B135" s="933" t="s">
        <v>2548</v>
      </c>
      <c r="C135" s="929" t="s">
        <v>2540</v>
      </c>
      <c r="D135" s="931" t="s">
        <v>6135</v>
      </c>
      <c r="E135" s="939" t="s">
        <v>37</v>
      </c>
      <c r="F135" s="935">
        <v>2.12</v>
      </c>
      <c r="G135" s="952" t="s">
        <v>0</v>
      </c>
      <c r="H135" s="952" t="s">
        <v>2539</v>
      </c>
      <c r="I135" s="952"/>
      <c r="J135" s="230" t="s">
        <v>2538</v>
      </c>
      <c r="K135" s="952">
        <v>1</v>
      </c>
      <c r="L135" s="231" t="s">
        <v>5807</v>
      </c>
      <c r="M135" s="194"/>
      <c r="N135" s="1167">
        <f t="shared" si="13"/>
        <v>0</v>
      </c>
      <c r="O135" s="914" t="str">
        <f t="shared" si="17"/>
        <v xml:space="preserve">نصب کابل درب باک  </v>
      </c>
      <c r="P135" s="915" t="str">
        <f t="shared" si="17"/>
        <v>SX5-8210-2</v>
      </c>
      <c r="Q135" s="586" t="str">
        <f t="shared" si="12"/>
        <v>SX5-8210070</v>
      </c>
      <c r="R135" s="585" t="str">
        <f t="shared" si="9"/>
        <v>مجموعه کابل درب باک</v>
      </c>
      <c r="S135" s="586">
        <f t="shared" si="9"/>
        <v>1</v>
      </c>
      <c r="T135" s="589"/>
      <c r="U135" s="589"/>
      <c r="V135" s="589"/>
      <c r="W135" s="589"/>
      <c r="X135" s="590"/>
      <c r="Y135" s="590"/>
      <c r="Z135" s="589"/>
      <c r="AA135" s="724"/>
    </row>
    <row r="136" spans="1:27" ht="46.5" customHeight="1">
      <c r="A136" s="1167"/>
      <c r="B136" s="1151" t="s">
        <v>2548</v>
      </c>
      <c r="C136" s="1154" t="s">
        <v>2536</v>
      </c>
      <c r="D136" s="1209" t="s">
        <v>160</v>
      </c>
      <c r="E136" s="1126"/>
      <c r="F136" s="1216">
        <v>0.72169333333333296</v>
      </c>
      <c r="G136" s="952" t="s">
        <v>0</v>
      </c>
      <c r="H136" s="952" t="s">
        <v>161</v>
      </c>
      <c r="I136" s="952"/>
      <c r="J136" s="230" t="s">
        <v>2535</v>
      </c>
      <c r="K136" s="952">
        <v>1</v>
      </c>
      <c r="L136" s="231" t="s">
        <v>5831</v>
      </c>
      <c r="M136" s="194"/>
      <c r="N136" s="1167">
        <f t="shared" si="13"/>
        <v>0</v>
      </c>
      <c r="O136" s="1116" t="str">
        <f t="shared" si="17"/>
        <v>مونتاژ براکت پدال گاز</v>
      </c>
      <c r="P136" s="1117" t="str">
        <f t="shared" si="17"/>
        <v>SX5-1108-1</v>
      </c>
      <c r="Q136" s="586" t="str">
        <f t="shared" si="12"/>
        <v>SX5-1108110</v>
      </c>
      <c r="R136" s="585" t="str">
        <f t="shared" si="9"/>
        <v>براكت پدال گاز</v>
      </c>
      <c r="S136" s="586">
        <f t="shared" si="9"/>
        <v>1</v>
      </c>
      <c r="T136" s="589"/>
      <c r="U136" s="589"/>
      <c r="V136" s="589"/>
      <c r="W136" s="589"/>
      <c r="X136" s="590"/>
      <c r="Y136" s="590"/>
      <c r="Z136" s="589"/>
      <c r="AA136" s="724"/>
    </row>
    <row r="137" spans="1:27" ht="46.5" customHeight="1">
      <c r="A137" s="1167"/>
      <c r="B137" s="1151"/>
      <c r="C137" s="1154" t="s">
        <v>1248</v>
      </c>
      <c r="D137" s="1209"/>
      <c r="E137" s="1126"/>
      <c r="F137" s="1216"/>
      <c r="G137" s="952" t="s">
        <v>1</v>
      </c>
      <c r="H137" s="277" t="s">
        <v>11</v>
      </c>
      <c r="I137" s="277"/>
      <c r="J137" s="230" t="s">
        <v>1757</v>
      </c>
      <c r="K137" s="952">
        <v>4</v>
      </c>
      <c r="L137" s="231" t="s">
        <v>5809</v>
      </c>
      <c r="M137" s="194"/>
      <c r="N137" s="1167">
        <f t="shared" si="13"/>
        <v>0</v>
      </c>
      <c r="O137" s="1116"/>
      <c r="P137" s="1117"/>
      <c r="Q137" s="608" t="str">
        <f t="shared" si="12"/>
        <v>Q33006F38</v>
      </c>
      <c r="R137" s="585" t="str">
        <f t="shared" ref="R137:S187" si="18">J137</f>
        <v>مهره فلنجی شش گوش تمام فلزی</v>
      </c>
      <c r="S137" s="586">
        <f t="shared" si="18"/>
        <v>4</v>
      </c>
      <c r="T137" s="587">
        <v>7</v>
      </c>
      <c r="U137" s="587">
        <v>8</v>
      </c>
      <c r="V137" s="587">
        <v>9</v>
      </c>
      <c r="W137" s="588" t="s">
        <v>5431</v>
      </c>
      <c r="X137" s="587" t="s">
        <v>5432</v>
      </c>
      <c r="Y137" s="587" t="s">
        <v>5480</v>
      </c>
      <c r="Z137" s="587"/>
      <c r="AA137" s="727"/>
    </row>
    <row r="138" spans="1:27" ht="46.5" customHeight="1">
      <c r="A138" s="1167"/>
      <c r="B138" s="1151" t="s">
        <v>2548</v>
      </c>
      <c r="C138" s="1154" t="s">
        <v>2534</v>
      </c>
      <c r="D138" s="1209" t="s">
        <v>276</v>
      </c>
      <c r="E138" s="1126"/>
      <c r="F138" s="1151">
        <v>1.0413650000000001</v>
      </c>
      <c r="G138" s="952" t="s">
        <v>0</v>
      </c>
      <c r="H138" s="952" t="s">
        <v>5112</v>
      </c>
      <c r="I138" s="952"/>
      <c r="J138" s="230" t="s">
        <v>2533</v>
      </c>
      <c r="K138" s="952">
        <v>1</v>
      </c>
      <c r="L138" s="231" t="s">
        <v>5830</v>
      </c>
      <c r="M138" s="194"/>
      <c r="N138" s="1167">
        <f t="shared" si="13"/>
        <v>0</v>
      </c>
      <c r="O138" s="1116" t="str">
        <f>C138</f>
        <v>مونتاژ براکتهای نصب سپر عقب</v>
      </c>
      <c r="P138" s="1117" t="str">
        <f>D138</f>
        <v>SX5-2804-1</v>
      </c>
      <c r="Q138" s="586" t="str">
        <f t="shared" si="12"/>
        <v>SX3A-2804531B</v>
      </c>
      <c r="R138" s="585" t="str">
        <f t="shared" si="18"/>
        <v>براکت نصب سپر عقب - چپ</v>
      </c>
      <c r="S138" s="586">
        <f t="shared" si="18"/>
        <v>1</v>
      </c>
      <c r="T138" s="589"/>
      <c r="U138" s="589"/>
      <c r="V138" s="589"/>
      <c r="W138" s="589"/>
      <c r="X138" s="590"/>
      <c r="Y138" s="590"/>
      <c r="Z138" s="589"/>
      <c r="AA138" s="724"/>
    </row>
    <row r="139" spans="1:27" ht="46.5" customHeight="1">
      <c r="A139" s="1167"/>
      <c r="B139" s="1151"/>
      <c r="C139" s="1154" t="s">
        <v>1248</v>
      </c>
      <c r="D139" s="1209"/>
      <c r="E139" s="1126"/>
      <c r="F139" s="1151"/>
      <c r="G139" s="952" t="s">
        <v>0</v>
      </c>
      <c r="H139" s="952" t="s">
        <v>277</v>
      </c>
      <c r="I139" s="952"/>
      <c r="J139" s="230" t="s">
        <v>2532</v>
      </c>
      <c r="K139" s="952">
        <v>1</v>
      </c>
      <c r="L139" s="231" t="s">
        <v>5830</v>
      </c>
      <c r="M139" s="194"/>
      <c r="N139" s="1167">
        <f t="shared" si="13"/>
        <v>0</v>
      </c>
      <c r="O139" s="1116"/>
      <c r="P139" s="1117"/>
      <c r="Q139" s="586" t="str">
        <f t="shared" si="12"/>
        <v>SX3A-2804532B</v>
      </c>
      <c r="R139" s="585" t="str">
        <f t="shared" si="18"/>
        <v>براکت نصب سپر عقب - راست</v>
      </c>
      <c r="S139" s="586">
        <f t="shared" si="18"/>
        <v>1</v>
      </c>
      <c r="T139" s="589"/>
      <c r="U139" s="589"/>
      <c r="V139" s="589"/>
      <c r="W139" s="589"/>
      <c r="X139" s="590"/>
      <c r="Y139" s="590"/>
      <c r="Z139" s="589"/>
      <c r="AA139" s="724"/>
    </row>
    <row r="140" spans="1:27" ht="46.5" customHeight="1">
      <c r="A140" s="1167"/>
      <c r="B140" s="1151"/>
      <c r="C140" s="1154" t="s">
        <v>1248</v>
      </c>
      <c r="D140" s="1209"/>
      <c r="E140" s="1126"/>
      <c r="F140" s="1151"/>
      <c r="G140" s="952" t="s">
        <v>1</v>
      </c>
      <c r="H140" s="952" t="s">
        <v>2133</v>
      </c>
      <c r="I140" s="952"/>
      <c r="J140" s="230" t="s">
        <v>2531</v>
      </c>
      <c r="K140" s="952">
        <v>6</v>
      </c>
      <c r="L140" s="231" t="s">
        <v>5830</v>
      </c>
      <c r="M140" s="194"/>
      <c r="N140" s="1167">
        <f t="shared" si="13"/>
        <v>0</v>
      </c>
      <c r="O140" s="1116"/>
      <c r="P140" s="1117"/>
      <c r="Q140" s="586" t="str">
        <f t="shared" si="12"/>
        <v>BL338B</v>
      </c>
      <c r="R140" s="585" t="str">
        <f t="shared" si="18"/>
        <v>بست با سوراخ مربعی شکل</v>
      </c>
      <c r="S140" s="586">
        <f t="shared" si="18"/>
        <v>6</v>
      </c>
      <c r="T140" s="589"/>
      <c r="U140" s="589"/>
      <c r="V140" s="589"/>
      <c r="W140" s="589"/>
      <c r="X140" s="590"/>
      <c r="Y140" s="590"/>
      <c r="Z140" s="589"/>
      <c r="AA140" s="724"/>
    </row>
    <row r="141" spans="1:27" ht="46.5" customHeight="1" thickBot="1">
      <c r="A141" s="1168"/>
      <c r="B141" s="1232"/>
      <c r="C141" s="1186" t="s">
        <v>1248</v>
      </c>
      <c r="D141" s="1159"/>
      <c r="E141" s="1214"/>
      <c r="F141" s="1232"/>
      <c r="G141" s="953" t="s">
        <v>2</v>
      </c>
      <c r="H141" s="953" t="s">
        <v>86</v>
      </c>
      <c r="I141" s="953" t="s">
        <v>5397</v>
      </c>
      <c r="J141" s="272" t="s">
        <v>1252</v>
      </c>
      <c r="K141" s="953">
        <v>6</v>
      </c>
      <c r="L141" s="250" t="s">
        <v>5838</v>
      </c>
      <c r="M141" s="194"/>
      <c r="N141" s="1168">
        <f t="shared" si="13"/>
        <v>0</v>
      </c>
      <c r="O141" s="1186"/>
      <c r="P141" s="1159"/>
      <c r="Q141" s="251" t="str">
        <f t="shared" si="12"/>
        <v>Q2734816F38</v>
      </c>
      <c r="R141" s="274" t="str">
        <f t="shared" si="18"/>
        <v xml:space="preserve">پیچ خودکار چهارسو </v>
      </c>
      <c r="S141" s="251">
        <f t="shared" si="18"/>
        <v>6</v>
      </c>
      <c r="T141" s="252">
        <v>3</v>
      </c>
      <c r="U141" s="252">
        <v>4</v>
      </c>
      <c r="V141" s="252">
        <v>5</v>
      </c>
      <c r="W141" s="253" t="s">
        <v>5481</v>
      </c>
      <c r="X141" s="252" t="s">
        <v>5451</v>
      </c>
      <c r="Y141" s="252" t="s">
        <v>5482</v>
      </c>
      <c r="Z141" s="283"/>
      <c r="AA141" s="285"/>
    </row>
    <row r="142" spans="1:27" ht="39.75" customHeight="1">
      <c r="A142" s="1175" t="s">
        <v>5191</v>
      </c>
      <c r="B142" s="992" t="s">
        <v>2548</v>
      </c>
      <c r="C142" s="943" t="s">
        <v>5148</v>
      </c>
      <c r="D142" s="944" t="s">
        <v>534</v>
      </c>
      <c r="E142" s="945"/>
      <c r="F142" s="1020">
        <v>2.2898455149501702</v>
      </c>
      <c r="G142" s="997" t="s">
        <v>0</v>
      </c>
      <c r="H142" s="334" t="s">
        <v>5206</v>
      </c>
      <c r="I142" s="335"/>
      <c r="J142" s="221" t="s">
        <v>2530</v>
      </c>
      <c r="K142" s="997">
        <v>2</v>
      </c>
      <c r="L142" s="222" t="s">
        <v>5827</v>
      </c>
      <c r="M142" s="194"/>
      <c r="N142" s="1166" t="str">
        <f t="shared" si="13"/>
        <v>P12</v>
      </c>
      <c r="O142" s="943" t="str">
        <f t="shared" ref="O142:P144" si="19">C142</f>
        <v xml:space="preserve">  مونتاژ دسته سیم دربهای عقب </v>
      </c>
      <c r="P142" s="944" t="str">
        <f t="shared" si="19"/>
        <v>SX5-4002-3</v>
      </c>
      <c r="Q142" s="742" t="str">
        <f t="shared" si="12"/>
        <v>SX5F-4002710</v>
      </c>
      <c r="R142" s="224" t="str">
        <f t="shared" si="18"/>
        <v xml:space="preserve">مجموعه دسته سیم دربهای عقب </v>
      </c>
      <c r="S142" s="225">
        <f t="shared" si="18"/>
        <v>2</v>
      </c>
      <c r="T142" s="226"/>
      <c r="U142" s="226"/>
      <c r="V142" s="226"/>
      <c r="W142" s="226"/>
      <c r="X142" s="227"/>
      <c r="Y142" s="227"/>
      <c r="Z142" s="226"/>
      <c r="AA142" s="228"/>
    </row>
    <row r="143" spans="1:27" ht="39.75" customHeight="1">
      <c r="A143" s="1176"/>
      <c r="B143" s="933" t="s">
        <v>2548</v>
      </c>
      <c r="C143" s="929" t="s">
        <v>2529</v>
      </c>
      <c r="D143" s="931" t="s">
        <v>2528</v>
      </c>
      <c r="E143" s="939"/>
      <c r="F143" s="1003">
        <v>0.44436999999999999</v>
      </c>
      <c r="G143" s="952" t="s">
        <v>697</v>
      </c>
      <c r="H143" s="315" t="s">
        <v>2527</v>
      </c>
      <c r="I143" s="315"/>
      <c r="J143" s="232" t="s">
        <v>5146</v>
      </c>
      <c r="K143" s="952">
        <v>1</v>
      </c>
      <c r="L143" s="231" t="s">
        <v>5817</v>
      </c>
      <c r="M143" s="194"/>
      <c r="N143" s="1167"/>
      <c r="O143" s="914" t="str">
        <f t="shared" si="19"/>
        <v xml:space="preserve"> نصب لوله آبپاش شیشه عقب</v>
      </c>
      <c r="P143" s="915" t="str">
        <f t="shared" si="19"/>
        <v>SX5-5207-3</v>
      </c>
      <c r="Q143" s="619" t="str">
        <f t="shared" si="12"/>
        <v>SX5F-5207070</v>
      </c>
      <c r="R143" s="591" t="str">
        <f t="shared" si="18"/>
        <v>لوله آب پاش شیشه عقب (کوتاه)</v>
      </c>
      <c r="S143" s="586">
        <f t="shared" si="18"/>
        <v>1</v>
      </c>
      <c r="T143" s="589"/>
      <c r="U143" s="589"/>
      <c r="V143" s="589"/>
      <c r="W143" s="589"/>
      <c r="X143" s="590"/>
      <c r="Y143" s="590"/>
      <c r="Z143" s="589"/>
      <c r="AA143" s="724"/>
    </row>
    <row r="144" spans="1:27" ht="39.75" customHeight="1">
      <c r="A144" s="1176"/>
      <c r="B144" s="1220" t="s">
        <v>2548</v>
      </c>
      <c r="C144" s="1269" t="s">
        <v>2526</v>
      </c>
      <c r="D144" s="1209" t="s">
        <v>303</v>
      </c>
      <c r="E144" s="1126" t="s">
        <v>37</v>
      </c>
      <c r="F144" s="1151">
        <v>1.1200000000000001</v>
      </c>
      <c r="G144" s="952" t="s">
        <v>697</v>
      </c>
      <c r="H144" s="952" t="s">
        <v>85</v>
      </c>
      <c r="I144" s="952"/>
      <c r="J144" s="230" t="s">
        <v>1470</v>
      </c>
      <c r="K144" s="952">
        <v>3</v>
      </c>
      <c r="L144" s="231" t="s">
        <v>5877</v>
      </c>
      <c r="M144" s="194"/>
      <c r="N144" s="1167"/>
      <c r="O144" s="1206" t="str">
        <f t="shared" si="19"/>
        <v xml:space="preserve"> درب صندوق ECU نصب</v>
      </c>
      <c r="P144" s="1117" t="str">
        <f t="shared" si="19"/>
        <v>SX5F-6305-1</v>
      </c>
      <c r="Q144" s="586" t="str">
        <f t="shared" si="12"/>
        <v>BL338</v>
      </c>
      <c r="R144" s="585" t="str">
        <f t="shared" si="18"/>
        <v>خار پلاستیکی</v>
      </c>
      <c r="S144" s="586">
        <f t="shared" si="18"/>
        <v>3</v>
      </c>
      <c r="T144" s="589"/>
      <c r="U144" s="589"/>
      <c r="V144" s="589"/>
      <c r="W144" s="589"/>
      <c r="X144" s="590"/>
      <c r="Y144" s="590"/>
      <c r="Z144" s="589"/>
      <c r="AA144" s="724"/>
    </row>
    <row r="145" spans="1:27" ht="39.75" customHeight="1">
      <c r="A145" s="1176"/>
      <c r="B145" s="1220"/>
      <c r="C145" s="1269" t="s">
        <v>1248</v>
      </c>
      <c r="D145" s="1209"/>
      <c r="E145" s="1126"/>
      <c r="F145" s="1151"/>
      <c r="G145" s="952" t="s">
        <v>717</v>
      </c>
      <c r="H145" s="952" t="s">
        <v>6111</v>
      </c>
      <c r="I145" s="993" t="s">
        <v>5109</v>
      </c>
      <c r="J145" s="230" t="s">
        <v>2525</v>
      </c>
      <c r="K145" s="952">
        <v>1</v>
      </c>
      <c r="L145" s="231" t="s">
        <v>5839</v>
      </c>
      <c r="M145" s="194"/>
      <c r="N145" s="1167"/>
      <c r="O145" s="1206"/>
      <c r="P145" s="1117"/>
      <c r="Q145" s="586" t="str">
        <f t="shared" si="12"/>
        <v>SX5-6309500S</v>
      </c>
      <c r="R145" s="585" t="str">
        <f t="shared" si="18"/>
        <v>واحد کنترل الکترونیکی درب صندوق</v>
      </c>
      <c r="S145" s="586">
        <f t="shared" si="18"/>
        <v>1</v>
      </c>
      <c r="T145" s="589"/>
      <c r="U145" s="589"/>
      <c r="V145" s="589"/>
      <c r="W145" s="589"/>
      <c r="X145" s="590"/>
      <c r="Y145" s="590"/>
      <c r="Z145" s="589"/>
      <c r="AA145" s="724"/>
    </row>
    <row r="146" spans="1:27" ht="39.75" customHeight="1">
      <c r="A146" s="1176"/>
      <c r="B146" s="1220"/>
      <c r="C146" s="1269" t="s">
        <v>1248</v>
      </c>
      <c r="D146" s="1209"/>
      <c r="E146" s="1126"/>
      <c r="F146" s="1151"/>
      <c r="G146" s="952" t="s">
        <v>863</v>
      </c>
      <c r="H146" s="952" t="s">
        <v>807</v>
      </c>
      <c r="I146" s="952" t="s">
        <v>5397</v>
      </c>
      <c r="J146" s="230" t="s">
        <v>1252</v>
      </c>
      <c r="K146" s="952">
        <v>3</v>
      </c>
      <c r="L146" s="231" t="s">
        <v>5877</v>
      </c>
      <c r="M146" s="194"/>
      <c r="N146" s="1167"/>
      <c r="O146" s="1206"/>
      <c r="P146" s="1117"/>
      <c r="Q146" s="586" t="str">
        <f t="shared" si="12"/>
        <v>Q2734816F38</v>
      </c>
      <c r="R146" s="585" t="str">
        <f t="shared" si="18"/>
        <v xml:space="preserve">پیچ خودکار چهارسو </v>
      </c>
      <c r="S146" s="586">
        <f t="shared" si="18"/>
        <v>3</v>
      </c>
      <c r="T146" s="614">
        <v>2.5</v>
      </c>
      <c r="U146" s="614">
        <v>3</v>
      </c>
      <c r="V146" s="614">
        <v>3.5</v>
      </c>
      <c r="W146" s="615" t="s">
        <v>5461</v>
      </c>
      <c r="X146" s="614" t="s">
        <v>5451</v>
      </c>
      <c r="Y146" s="614" t="s">
        <v>5798</v>
      </c>
      <c r="Z146" s="589"/>
      <c r="AA146" s="724"/>
    </row>
    <row r="147" spans="1:27" ht="39.75" customHeight="1">
      <c r="A147" s="1176"/>
      <c r="B147" s="1228" t="s">
        <v>2548</v>
      </c>
      <c r="C147" s="1154" t="s">
        <v>2524</v>
      </c>
      <c r="D147" s="1209" t="s">
        <v>635</v>
      </c>
      <c r="E147" s="1126"/>
      <c r="F147" s="1151">
        <v>0.51</v>
      </c>
      <c r="G147" s="952" t="s">
        <v>0</v>
      </c>
      <c r="H147" s="336" t="s">
        <v>634</v>
      </c>
      <c r="I147" s="336" t="s">
        <v>5075</v>
      </c>
      <c r="J147" s="230" t="s">
        <v>1941</v>
      </c>
      <c r="K147" s="952">
        <v>2</v>
      </c>
      <c r="L147" s="231" t="s">
        <v>5815</v>
      </c>
      <c r="M147" s="194"/>
      <c r="N147" s="1167"/>
      <c r="O147" s="1116" t="str">
        <f>C147</f>
        <v>نصب کورکن های کف اتاق</v>
      </c>
      <c r="P147" s="1117" t="str">
        <f>D147</f>
        <v>SX5-8200-2</v>
      </c>
      <c r="Q147" s="627" t="str">
        <f t="shared" si="12"/>
        <v>SX5G-8263101</v>
      </c>
      <c r="R147" s="585" t="str">
        <f t="shared" si="18"/>
        <v>کورکن لاستیکی</v>
      </c>
      <c r="S147" s="586">
        <f t="shared" si="18"/>
        <v>2</v>
      </c>
      <c r="T147" s="589"/>
      <c r="U147" s="589"/>
      <c r="V147" s="589"/>
      <c r="W147" s="589"/>
      <c r="X147" s="590"/>
      <c r="Y147" s="590"/>
      <c r="Z147" s="589"/>
      <c r="AA147" s="724"/>
    </row>
    <row r="148" spans="1:27" ht="39.75" customHeight="1">
      <c r="A148" s="1176"/>
      <c r="B148" s="1228"/>
      <c r="C148" s="1154" t="s">
        <v>1248</v>
      </c>
      <c r="D148" s="1209"/>
      <c r="E148" s="1126"/>
      <c r="F148" s="1151"/>
      <c r="G148" s="952" t="s">
        <v>1</v>
      </c>
      <c r="H148" s="336" t="s">
        <v>1347</v>
      </c>
      <c r="I148" s="336"/>
      <c r="J148" s="230" t="s">
        <v>1939</v>
      </c>
      <c r="K148" s="952">
        <v>1</v>
      </c>
      <c r="L148" s="231" t="s">
        <v>5837</v>
      </c>
      <c r="M148" s="194"/>
      <c r="N148" s="1167"/>
      <c r="O148" s="1116"/>
      <c r="P148" s="1117"/>
      <c r="Q148" s="627" t="str">
        <f t="shared" ref="Q148:Q201" si="20">H148</f>
        <v>SX5G-8263122</v>
      </c>
      <c r="R148" s="585" t="str">
        <f t="shared" si="18"/>
        <v>کورکن آلومینیومی بزرگ ¢30</v>
      </c>
      <c r="S148" s="586">
        <f t="shared" si="18"/>
        <v>1</v>
      </c>
      <c r="T148" s="589"/>
      <c r="U148" s="589"/>
      <c r="V148" s="589"/>
      <c r="W148" s="589"/>
      <c r="X148" s="590"/>
      <c r="Y148" s="590"/>
      <c r="Z148" s="589"/>
      <c r="AA148" s="724"/>
    </row>
    <row r="149" spans="1:27" ht="39.75" customHeight="1">
      <c r="A149" s="1176"/>
      <c r="B149" s="1228"/>
      <c r="C149" s="1154" t="s">
        <v>1248</v>
      </c>
      <c r="D149" s="1209"/>
      <c r="E149" s="1126"/>
      <c r="F149" s="1151"/>
      <c r="G149" s="952" t="s">
        <v>2</v>
      </c>
      <c r="H149" s="952" t="s">
        <v>636</v>
      </c>
      <c r="I149" s="952"/>
      <c r="J149" s="230" t="s">
        <v>1943</v>
      </c>
      <c r="K149" s="952">
        <v>2</v>
      </c>
      <c r="L149" s="231" t="s">
        <v>5815</v>
      </c>
      <c r="M149" s="194"/>
      <c r="N149" s="1167"/>
      <c r="O149" s="1116"/>
      <c r="P149" s="1117"/>
      <c r="Q149" s="586" t="str">
        <f t="shared" si="20"/>
        <v>BS3-8263111</v>
      </c>
      <c r="R149" s="585" t="str">
        <f t="shared" si="18"/>
        <v>درپوش</v>
      </c>
      <c r="S149" s="586">
        <f t="shared" si="18"/>
        <v>2</v>
      </c>
      <c r="T149" s="589"/>
      <c r="U149" s="589"/>
      <c r="V149" s="589"/>
      <c r="W149" s="589"/>
      <c r="X149" s="590"/>
      <c r="Y149" s="590"/>
      <c r="Z149" s="589"/>
      <c r="AA149" s="724"/>
    </row>
    <row r="150" spans="1:27" ht="39.75" customHeight="1">
      <c r="A150" s="1176"/>
      <c r="B150" s="1268" t="s">
        <v>2548</v>
      </c>
      <c r="C150" s="1116" t="s">
        <v>2523</v>
      </c>
      <c r="D150" s="1117" t="s">
        <v>144</v>
      </c>
      <c r="E150" s="1118"/>
      <c r="F150" s="1115">
        <v>2.12</v>
      </c>
      <c r="G150" s="952" t="s">
        <v>0</v>
      </c>
      <c r="H150" s="952" t="s">
        <v>5175</v>
      </c>
      <c r="I150" s="952" t="s">
        <v>5131</v>
      </c>
      <c r="J150" s="230" t="s">
        <v>2522</v>
      </c>
      <c r="K150" s="952">
        <v>1</v>
      </c>
      <c r="L150" s="231" t="s">
        <v>5840</v>
      </c>
      <c r="M150" s="194"/>
      <c r="N150" s="1167"/>
      <c r="O150" s="1116" t="str">
        <f>C150</f>
        <v xml:space="preserve"> نصب عایق حرارتی داخلی سینه داشبورد  </v>
      </c>
      <c r="P150" s="1117" t="str">
        <f>D150</f>
        <v>SX5-5310-1</v>
      </c>
      <c r="Q150" s="586" t="str">
        <f t="shared" si="20"/>
        <v>SX5-5310213C</v>
      </c>
      <c r="R150" s="585" t="str">
        <f t="shared" si="18"/>
        <v xml:space="preserve"> عایق حرارتی داخلی سینه داشبورد</v>
      </c>
      <c r="S150" s="586">
        <f t="shared" si="18"/>
        <v>1</v>
      </c>
      <c r="T150" s="589"/>
      <c r="U150" s="589"/>
      <c r="V150" s="589"/>
      <c r="W150" s="589"/>
      <c r="X150" s="590"/>
      <c r="Y150" s="590"/>
      <c r="Z150" s="589"/>
      <c r="AA150" s="724"/>
    </row>
    <row r="151" spans="1:27" s="811" customFormat="1" ht="39.75" customHeight="1" thickBot="1">
      <c r="A151" s="1236"/>
      <c r="B151" s="1237"/>
      <c r="C151" s="1186" t="s">
        <v>1248</v>
      </c>
      <c r="D151" s="1159"/>
      <c r="E151" s="1214"/>
      <c r="F151" s="1232"/>
      <c r="G151" s="953" t="s">
        <v>1</v>
      </c>
      <c r="H151" s="953" t="s">
        <v>56</v>
      </c>
      <c r="I151" s="953"/>
      <c r="J151" s="272" t="s">
        <v>1250</v>
      </c>
      <c r="K151" s="953">
        <v>10</v>
      </c>
      <c r="L151" s="250" t="s">
        <v>5823</v>
      </c>
      <c r="M151" s="808"/>
      <c r="N151" s="1168"/>
      <c r="O151" s="1186"/>
      <c r="P151" s="1159"/>
      <c r="Q151" s="251" t="str">
        <f t="shared" si="20"/>
        <v>BL929A1</v>
      </c>
      <c r="R151" s="274" t="str">
        <f t="shared" si="18"/>
        <v>مهره پلاستیکی</v>
      </c>
      <c r="S151" s="251">
        <f t="shared" si="18"/>
        <v>10</v>
      </c>
      <c r="T151" s="283"/>
      <c r="U151" s="283"/>
      <c r="V151" s="283"/>
      <c r="W151" s="283"/>
      <c r="X151" s="284"/>
      <c r="Y151" s="284"/>
      <c r="Z151" s="283"/>
      <c r="AA151" s="285"/>
    </row>
    <row r="152" spans="1:27" ht="41.25" customHeight="1">
      <c r="A152" s="1176" t="s">
        <v>2521</v>
      </c>
      <c r="B152" s="918" t="s">
        <v>2537</v>
      </c>
      <c r="C152" s="961" t="s">
        <v>2520</v>
      </c>
      <c r="D152" s="959" t="s">
        <v>2519</v>
      </c>
      <c r="E152" s="924"/>
      <c r="F152" s="918">
        <v>1.2</v>
      </c>
      <c r="G152" s="258" t="s">
        <v>0</v>
      </c>
      <c r="H152" s="258" t="s">
        <v>549</v>
      </c>
      <c r="I152" s="258"/>
      <c r="J152" s="259" t="s">
        <v>2518</v>
      </c>
      <c r="K152" s="258">
        <v>1</v>
      </c>
      <c r="L152" s="435" t="s">
        <v>5814</v>
      </c>
      <c r="M152" s="808"/>
      <c r="N152" s="1167" t="str">
        <f>A152</f>
        <v>P13</v>
      </c>
      <c r="O152" s="961" t="str">
        <f>C152</f>
        <v>نصب برچسب روی کلاف ستون درب جلو راست</v>
      </c>
      <c r="P152" s="959" t="str">
        <f>D152</f>
        <v>SX5-6202-04</v>
      </c>
      <c r="Q152" s="809" t="str">
        <f t="shared" si="20"/>
        <v>SX7-6103528</v>
      </c>
      <c r="R152" s="810" t="str">
        <f t="shared" si="18"/>
        <v>برچسب روی کلاف ستون درب جلو راست</v>
      </c>
      <c r="S152" s="809">
        <f t="shared" si="18"/>
        <v>1</v>
      </c>
      <c r="T152" s="805"/>
      <c r="U152" s="805"/>
      <c r="V152" s="805"/>
      <c r="W152" s="805"/>
      <c r="X152" s="806"/>
      <c r="Y152" s="806"/>
      <c r="Z152" s="805"/>
      <c r="AA152" s="807"/>
    </row>
    <row r="153" spans="1:27" ht="41.25" customHeight="1">
      <c r="A153" s="1176"/>
      <c r="B153" s="1160" t="s">
        <v>2537</v>
      </c>
      <c r="C153" s="1140" t="s">
        <v>2517</v>
      </c>
      <c r="D153" s="1141" t="s">
        <v>2516</v>
      </c>
      <c r="E153" s="1122"/>
      <c r="F153" s="1160">
        <v>2.4</v>
      </c>
      <c r="G153" s="292" t="s">
        <v>0</v>
      </c>
      <c r="H153" s="292" t="s">
        <v>551</v>
      </c>
      <c r="I153" s="292"/>
      <c r="J153" s="291" t="s">
        <v>2515</v>
      </c>
      <c r="K153" s="292">
        <v>1</v>
      </c>
      <c r="L153" s="231" t="s">
        <v>5814</v>
      </c>
      <c r="M153" s="808"/>
      <c r="N153" s="1167"/>
      <c r="O153" s="1192" t="str">
        <f>C153</f>
        <v>نصب برچسب روی کلاف ستون درب عقب راست</v>
      </c>
      <c r="P153" s="1194" t="str">
        <f>D153</f>
        <v>SX5-6202-05</v>
      </c>
      <c r="Q153" s="611" t="str">
        <f t="shared" si="20"/>
        <v>SX7-6203528</v>
      </c>
      <c r="R153" s="610" t="str">
        <f t="shared" si="18"/>
        <v>برچسب روی کلاف جلویی ستون درب عقب راست</v>
      </c>
      <c r="S153" s="611">
        <f t="shared" si="18"/>
        <v>1</v>
      </c>
      <c r="T153" s="589"/>
      <c r="U153" s="589"/>
      <c r="V153" s="589"/>
      <c r="W153" s="589"/>
      <c r="X153" s="590"/>
      <c r="Y153" s="590"/>
      <c r="Z153" s="589"/>
      <c r="AA153" s="724"/>
    </row>
    <row r="154" spans="1:27" ht="41.25" customHeight="1">
      <c r="A154" s="1176"/>
      <c r="B154" s="1161"/>
      <c r="C154" s="1131"/>
      <c r="D154" s="1134"/>
      <c r="E154" s="1123"/>
      <c r="F154" s="1161"/>
      <c r="G154" s="292" t="s">
        <v>1</v>
      </c>
      <c r="H154" s="292" t="s">
        <v>553</v>
      </c>
      <c r="I154" s="292"/>
      <c r="J154" s="291" t="s">
        <v>2514</v>
      </c>
      <c r="K154" s="292">
        <v>1</v>
      </c>
      <c r="L154" s="231" t="s">
        <v>5814</v>
      </c>
      <c r="M154" s="194"/>
      <c r="N154" s="1167"/>
      <c r="O154" s="1192"/>
      <c r="P154" s="1194"/>
      <c r="Q154" s="611" t="str">
        <f>H154</f>
        <v>SX7-6203538</v>
      </c>
      <c r="R154" s="610" t="str">
        <f t="shared" si="18"/>
        <v>برچسب روی کلاف عقبی ستون درب عقب راست</v>
      </c>
      <c r="S154" s="611">
        <f t="shared" si="18"/>
        <v>1</v>
      </c>
      <c r="T154" s="589"/>
      <c r="U154" s="589"/>
      <c r="V154" s="589"/>
      <c r="W154" s="589"/>
      <c r="X154" s="590"/>
      <c r="Y154" s="590"/>
      <c r="Z154" s="589"/>
      <c r="AA154" s="724"/>
    </row>
    <row r="155" spans="1:27" ht="41.25" customHeight="1">
      <c r="A155" s="1176"/>
      <c r="B155" s="935" t="s">
        <v>2537</v>
      </c>
      <c r="C155" s="982" t="s">
        <v>2513</v>
      </c>
      <c r="D155" s="995" t="s">
        <v>2512</v>
      </c>
      <c r="E155" s="939"/>
      <c r="F155" s="935">
        <v>1.2</v>
      </c>
      <c r="G155" s="292" t="s">
        <v>0</v>
      </c>
      <c r="H155" s="292" t="s">
        <v>548</v>
      </c>
      <c r="I155" s="292"/>
      <c r="J155" s="291" t="s">
        <v>2511</v>
      </c>
      <c r="K155" s="292">
        <v>1</v>
      </c>
      <c r="L155" s="231" t="s">
        <v>5814</v>
      </c>
      <c r="M155" s="194"/>
      <c r="N155" s="1167"/>
      <c r="O155" s="964" t="str">
        <f>C155</f>
        <v>نصب برچسب روی کلاف ستون درب جلو چپ</v>
      </c>
      <c r="P155" s="965" t="str">
        <f>D155</f>
        <v>SX5-6202-06</v>
      </c>
      <c r="Q155" s="611" t="str">
        <f t="shared" si="20"/>
        <v>SX7-6103527</v>
      </c>
      <c r="R155" s="610" t="str">
        <f t="shared" si="18"/>
        <v>برچسب روی کلاف ستون درب جلو چپ</v>
      </c>
      <c r="S155" s="611">
        <f t="shared" si="18"/>
        <v>1</v>
      </c>
      <c r="T155" s="589"/>
      <c r="U155" s="589"/>
      <c r="V155" s="589"/>
      <c r="W155" s="589"/>
      <c r="X155" s="590"/>
      <c r="Y155" s="590"/>
      <c r="Z155" s="589"/>
      <c r="AA155" s="724"/>
    </row>
    <row r="156" spans="1:27" ht="41.25" customHeight="1">
      <c r="A156" s="1176"/>
      <c r="B156" s="1160" t="s">
        <v>2537</v>
      </c>
      <c r="C156" s="1140" t="s">
        <v>2510</v>
      </c>
      <c r="D156" s="1141" t="s">
        <v>2509</v>
      </c>
      <c r="E156" s="1122"/>
      <c r="F156" s="1160">
        <v>2.4</v>
      </c>
      <c r="G156" s="292" t="s">
        <v>0</v>
      </c>
      <c r="H156" s="292" t="s">
        <v>550</v>
      </c>
      <c r="I156" s="292"/>
      <c r="J156" s="291" t="s">
        <v>2508</v>
      </c>
      <c r="K156" s="292">
        <v>1</v>
      </c>
      <c r="L156" s="231" t="s">
        <v>5814</v>
      </c>
      <c r="M156" s="194"/>
      <c r="N156" s="1167"/>
      <c r="O156" s="1192" t="str">
        <f>C156</f>
        <v>نصب برچسب روی کلاف ستون درب عقب چپ</v>
      </c>
      <c r="P156" s="1194" t="str">
        <f>D156</f>
        <v>SX5-6202-07</v>
      </c>
      <c r="Q156" s="611" t="str">
        <f t="shared" si="20"/>
        <v>SX7-6203527</v>
      </c>
      <c r="R156" s="610" t="str">
        <f t="shared" si="18"/>
        <v>برچسب روی کلاف جلویی ستون درب عقب چپ</v>
      </c>
      <c r="S156" s="611">
        <f t="shared" si="18"/>
        <v>1</v>
      </c>
      <c r="T156" s="589"/>
      <c r="U156" s="589"/>
      <c r="V156" s="589"/>
      <c r="W156" s="589"/>
      <c r="X156" s="590"/>
      <c r="Y156" s="590"/>
      <c r="Z156" s="589"/>
      <c r="AA156" s="724"/>
    </row>
    <row r="157" spans="1:27" ht="41.25" customHeight="1">
      <c r="A157" s="1176"/>
      <c r="B157" s="1161"/>
      <c r="C157" s="1131"/>
      <c r="D157" s="1134"/>
      <c r="E157" s="1123"/>
      <c r="F157" s="1161"/>
      <c r="G157" s="292" t="s">
        <v>1</v>
      </c>
      <c r="H157" s="292" t="s">
        <v>552</v>
      </c>
      <c r="I157" s="292"/>
      <c r="J157" s="291" t="s">
        <v>2507</v>
      </c>
      <c r="K157" s="292">
        <v>1</v>
      </c>
      <c r="L157" s="231" t="s">
        <v>5814</v>
      </c>
      <c r="M157" s="194"/>
      <c r="N157" s="1167"/>
      <c r="O157" s="1192"/>
      <c r="P157" s="1194"/>
      <c r="Q157" s="611" t="str">
        <f t="shared" si="20"/>
        <v>SX7-6203537</v>
      </c>
      <c r="R157" s="610" t="str">
        <f t="shared" si="18"/>
        <v>برچسب روی کلاف عقبی ستون درب عقب چپ</v>
      </c>
      <c r="S157" s="611">
        <f t="shared" si="18"/>
        <v>1</v>
      </c>
      <c r="T157" s="589"/>
      <c r="U157" s="589"/>
      <c r="V157" s="589"/>
      <c r="W157" s="589"/>
      <c r="X157" s="590"/>
      <c r="Y157" s="590"/>
      <c r="Z157" s="589"/>
      <c r="AA157" s="724"/>
    </row>
    <row r="158" spans="1:27" ht="41.25" customHeight="1">
      <c r="A158" s="1176"/>
      <c r="B158" s="1160" t="s">
        <v>2537</v>
      </c>
      <c r="C158" s="1152" t="s">
        <v>2506</v>
      </c>
      <c r="D158" s="1120" t="s">
        <v>530</v>
      </c>
      <c r="E158" s="1122"/>
      <c r="F158" s="1160">
        <v>0.2356111111111111</v>
      </c>
      <c r="G158" s="952" t="s">
        <v>0</v>
      </c>
      <c r="H158" s="952" t="s">
        <v>2505</v>
      </c>
      <c r="I158" s="952"/>
      <c r="J158" s="230" t="s">
        <v>2504</v>
      </c>
      <c r="K158" s="952">
        <v>1</v>
      </c>
      <c r="L158" s="231" t="s">
        <v>5820</v>
      </c>
      <c r="M158" s="194"/>
      <c r="N158" s="1167"/>
      <c r="O158" s="1116" t="str">
        <f>C158</f>
        <v>نصب قاب مثلثی داخلی بالای درب های عقب  (وسط)</v>
      </c>
      <c r="P158" s="1117" t="str">
        <f>D158</f>
        <v>SX5-6202-2</v>
      </c>
      <c r="Q158" s="586" t="str">
        <f t="shared" si="20"/>
        <v>SX5-6202051</v>
      </c>
      <c r="R158" s="585" t="str">
        <f t="shared" si="18"/>
        <v xml:space="preserve">قاب مثلثی بالای درب عقب (وسط) - چپ </v>
      </c>
      <c r="S158" s="586">
        <f t="shared" si="18"/>
        <v>1</v>
      </c>
      <c r="T158" s="589"/>
      <c r="U158" s="589"/>
      <c r="V158" s="589"/>
      <c r="W158" s="589"/>
      <c r="X158" s="590"/>
      <c r="Y158" s="590"/>
      <c r="Z158" s="589"/>
      <c r="AA158" s="724"/>
    </row>
    <row r="159" spans="1:27" ht="41.25" customHeight="1">
      <c r="A159" s="1176"/>
      <c r="B159" s="1161"/>
      <c r="C159" s="1153"/>
      <c r="D159" s="1121"/>
      <c r="E159" s="1123"/>
      <c r="F159" s="1161"/>
      <c r="G159" s="952" t="s">
        <v>0</v>
      </c>
      <c r="H159" s="332" t="s">
        <v>2503</v>
      </c>
      <c r="I159" s="332"/>
      <c r="J159" s="230" t="s">
        <v>2502</v>
      </c>
      <c r="K159" s="952">
        <v>1</v>
      </c>
      <c r="L159" s="231" t="s">
        <v>5831</v>
      </c>
      <c r="M159" s="194"/>
      <c r="N159" s="1167"/>
      <c r="O159" s="1116"/>
      <c r="P159" s="1117"/>
      <c r="Q159" s="625" t="str">
        <f t="shared" si="20"/>
        <v>SX5-6202052</v>
      </c>
      <c r="R159" s="585" t="str">
        <f t="shared" si="18"/>
        <v>قاب مثلثی بالای درب عقب (وسط) - راست</v>
      </c>
      <c r="S159" s="586">
        <f t="shared" si="18"/>
        <v>1</v>
      </c>
      <c r="T159" s="589"/>
      <c r="U159" s="589"/>
      <c r="V159" s="589"/>
      <c r="W159" s="589"/>
      <c r="X159" s="590"/>
      <c r="Y159" s="590"/>
      <c r="Z159" s="589"/>
      <c r="AA159" s="724"/>
    </row>
    <row r="160" spans="1:27" ht="41.25" customHeight="1">
      <c r="A160" s="1176"/>
      <c r="B160" s="1160" t="s">
        <v>2537</v>
      </c>
      <c r="C160" s="1152" t="s">
        <v>2501</v>
      </c>
      <c r="D160" s="1120" t="s">
        <v>528</v>
      </c>
      <c r="E160" s="1122"/>
      <c r="F160" s="1160">
        <v>0.2356</v>
      </c>
      <c r="G160" s="952" t="s">
        <v>0</v>
      </c>
      <c r="H160" s="952" t="s">
        <v>2500</v>
      </c>
      <c r="I160" s="952"/>
      <c r="J160" s="230" t="s">
        <v>2499</v>
      </c>
      <c r="K160" s="952">
        <v>1</v>
      </c>
      <c r="L160" s="231" t="s">
        <v>5820</v>
      </c>
      <c r="M160" s="194"/>
      <c r="N160" s="1167"/>
      <c r="O160" s="1116" t="str">
        <f>C160</f>
        <v xml:space="preserve">نصب قاب مثلثی داخلی بالای درب های عقب  </v>
      </c>
      <c r="P160" s="1117" t="str">
        <f>D160</f>
        <v>SX5-6202-3</v>
      </c>
      <c r="Q160" s="586" t="str">
        <f t="shared" si="20"/>
        <v>SX5-6202053</v>
      </c>
      <c r="R160" s="585" t="str">
        <f t="shared" si="18"/>
        <v xml:space="preserve">قاب مثلثی بالای درب عقب (عقب) - چپ </v>
      </c>
      <c r="S160" s="586">
        <f t="shared" si="18"/>
        <v>1</v>
      </c>
      <c r="T160" s="589"/>
      <c r="U160" s="589"/>
      <c r="V160" s="589"/>
      <c r="W160" s="589"/>
      <c r="X160" s="590"/>
      <c r="Y160" s="590"/>
      <c r="Z160" s="589"/>
      <c r="AA160" s="724"/>
    </row>
    <row r="161" spans="1:27" ht="41.25" customHeight="1">
      <c r="A161" s="1176"/>
      <c r="B161" s="1161"/>
      <c r="C161" s="1153"/>
      <c r="D161" s="1121"/>
      <c r="E161" s="1123"/>
      <c r="F161" s="1161"/>
      <c r="G161" s="952" t="s">
        <v>0</v>
      </c>
      <c r="H161" s="332" t="s">
        <v>529</v>
      </c>
      <c r="I161" s="332"/>
      <c r="J161" s="230" t="s">
        <v>2498</v>
      </c>
      <c r="K161" s="952">
        <v>1</v>
      </c>
      <c r="L161" s="231" t="s">
        <v>5831</v>
      </c>
      <c r="M161" s="194"/>
      <c r="N161" s="1167"/>
      <c r="O161" s="1116"/>
      <c r="P161" s="1117"/>
      <c r="Q161" s="625" t="str">
        <f t="shared" si="20"/>
        <v>SX5-6202054</v>
      </c>
      <c r="R161" s="585" t="str">
        <f t="shared" si="18"/>
        <v>قاب مثلثی بالای درب عقب (عقب) - راست</v>
      </c>
      <c r="S161" s="586">
        <f t="shared" si="18"/>
        <v>1</v>
      </c>
      <c r="T161" s="589"/>
      <c r="U161" s="589"/>
      <c r="V161" s="589"/>
      <c r="W161" s="589"/>
      <c r="X161" s="590"/>
      <c r="Y161" s="590"/>
      <c r="Z161" s="589"/>
      <c r="AA161" s="724"/>
    </row>
    <row r="162" spans="1:27" ht="41.25" customHeight="1">
      <c r="A162" s="1176"/>
      <c r="B162" s="1160" t="s">
        <v>2537</v>
      </c>
      <c r="C162" s="1152" t="s">
        <v>2497</v>
      </c>
      <c r="D162" s="1120" t="s">
        <v>519</v>
      </c>
      <c r="E162" s="1122"/>
      <c r="F162" s="1160">
        <v>0.2356</v>
      </c>
      <c r="G162" s="952" t="s">
        <v>0</v>
      </c>
      <c r="H162" s="952" t="s">
        <v>520</v>
      </c>
      <c r="I162" s="952"/>
      <c r="J162" s="230" t="s">
        <v>2496</v>
      </c>
      <c r="K162" s="952">
        <v>1</v>
      </c>
      <c r="L162" s="231" t="s">
        <v>5820</v>
      </c>
      <c r="M162" s="194"/>
      <c r="N162" s="1167"/>
      <c r="O162" s="1116" t="str">
        <f>C162</f>
        <v xml:space="preserve">نصب قاب مثلثی داخلی بالای درب های جلو </v>
      </c>
      <c r="P162" s="1117" t="str">
        <f>D162</f>
        <v>SX5-6102-2</v>
      </c>
      <c r="Q162" s="586" t="str">
        <f t="shared" si="20"/>
        <v>SX5-6102051</v>
      </c>
      <c r="R162" s="585" t="str">
        <f t="shared" si="18"/>
        <v>قاب مثلثی بالای درب جلو - چپ</v>
      </c>
      <c r="S162" s="586">
        <f t="shared" si="18"/>
        <v>1</v>
      </c>
      <c r="T162" s="589"/>
      <c r="U162" s="589"/>
      <c r="V162" s="589"/>
      <c r="W162" s="589"/>
      <c r="X162" s="590"/>
      <c r="Y162" s="590"/>
      <c r="Z162" s="589"/>
      <c r="AA162" s="724"/>
    </row>
    <row r="163" spans="1:27" ht="41.25" customHeight="1" thickBot="1">
      <c r="A163" s="1236"/>
      <c r="B163" s="1242"/>
      <c r="C163" s="1243"/>
      <c r="D163" s="1244"/>
      <c r="E163" s="1245"/>
      <c r="F163" s="1242"/>
      <c r="G163" s="953" t="s">
        <v>0</v>
      </c>
      <c r="H163" s="953" t="s">
        <v>521</v>
      </c>
      <c r="I163" s="953"/>
      <c r="J163" s="272" t="s">
        <v>2495</v>
      </c>
      <c r="K163" s="953">
        <v>1</v>
      </c>
      <c r="L163" s="250" t="s">
        <v>5831</v>
      </c>
      <c r="M163" s="194"/>
      <c r="N163" s="1168"/>
      <c r="O163" s="1186"/>
      <c r="P163" s="1159"/>
      <c r="Q163" s="251" t="str">
        <f t="shared" si="20"/>
        <v>SX5-6102052</v>
      </c>
      <c r="R163" s="274" t="str">
        <f t="shared" si="18"/>
        <v>قاب مثلثی بالای درب جلو - راست</v>
      </c>
      <c r="S163" s="251">
        <f t="shared" si="18"/>
        <v>1</v>
      </c>
      <c r="T163" s="283"/>
      <c r="U163" s="283"/>
      <c r="V163" s="283"/>
      <c r="W163" s="283"/>
      <c r="X163" s="284"/>
      <c r="Y163" s="284"/>
      <c r="Z163" s="283"/>
      <c r="AA163" s="285"/>
    </row>
    <row r="164" spans="1:27" ht="45.75" customHeight="1">
      <c r="A164" s="1166" t="s">
        <v>5401</v>
      </c>
      <c r="B164" s="1270" t="s">
        <v>2537</v>
      </c>
      <c r="C164" s="1169" t="s">
        <v>2474</v>
      </c>
      <c r="D164" s="1142" t="s">
        <v>639</v>
      </c>
      <c r="E164" s="1221"/>
      <c r="F164" s="1222">
        <v>0.26713999999999999</v>
      </c>
      <c r="G164" s="997" t="s">
        <v>2</v>
      </c>
      <c r="H164" s="997" t="s">
        <v>640</v>
      </c>
      <c r="I164" s="997"/>
      <c r="J164" s="221" t="s">
        <v>1943</v>
      </c>
      <c r="K164" s="997">
        <v>2</v>
      </c>
      <c r="L164" s="222" t="s">
        <v>5815</v>
      </c>
      <c r="M164" s="194"/>
      <c r="N164" s="1166" t="str">
        <f t="shared" ref="N164:N191" si="21">A164</f>
        <v>P14</v>
      </c>
      <c r="O164" s="1169" t="str">
        <f t="shared" ref="O164:P164" si="22">C164</f>
        <v>نصب کورکن های بیرون اتاق</v>
      </c>
      <c r="P164" s="1142" t="str">
        <f t="shared" si="22"/>
        <v>SX5-8200-5</v>
      </c>
      <c r="Q164" s="225" t="str">
        <f t="shared" si="20"/>
        <v>B-8263201A</v>
      </c>
      <c r="R164" s="224" t="str">
        <f t="shared" si="18"/>
        <v>درپوش</v>
      </c>
      <c r="S164" s="225">
        <f t="shared" si="18"/>
        <v>2</v>
      </c>
      <c r="T164" s="226"/>
      <c r="U164" s="226"/>
      <c r="V164" s="226"/>
      <c r="W164" s="226"/>
      <c r="X164" s="227"/>
      <c r="Y164" s="227"/>
      <c r="Z164" s="226"/>
      <c r="AA164" s="228"/>
    </row>
    <row r="165" spans="1:27" ht="45.75" customHeight="1">
      <c r="A165" s="1167"/>
      <c r="B165" s="1228"/>
      <c r="C165" s="1154" t="s">
        <v>1248</v>
      </c>
      <c r="D165" s="1209"/>
      <c r="E165" s="1126"/>
      <c r="F165" s="1151"/>
      <c r="G165" s="952" t="s">
        <v>7</v>
      </c>
      <c r="H165" s="336" t="s">
        <v>1940</v>
      </c>
      <c r="I165" s="336"/>
      <c r="J165" s="230" t="s">
        <v>1939</v>
      </c>
      <c r="K165" s="952">
        <v>2</v>
      </c>
      <c r="L165" s="231" t="s">
        <v>5837</v>
      </c>
      <c r="M165" s="194"/>
      <c r="N165" s="1167">
        <f t="shared" si="21"/>
        <v>0</v>
      </c>
      <c r="O165" s="1116"/>
      <c r="P165" s="1117"/>
      <c r="Q165" s="627" t="str">
        <f t="shared" si="20"/>
        <v>SX5G-8263122</v>
      </c>
      <c r="R165" s="585" t="str">
        <f t="shared" si="18"/>
        <v>کورکن آلومینیومی بزرگ ¢30</v>
      </c>
      <c r="S165" s="586">
        <f t="shared" si="18"/>
        <v>2</v>
      </c>
      <c r="T165" s="589"/>
      <c r="U165" s="589"/>
      <c r="V165" s="589"/>
      <c r="W165" s="589"/>
      <c r="X165" s="590"/>
      <c r="Y165" s="590"/>
      <c r="Z165" s="589"/>
      <c r="AA165" s="724"/>
    </row>
    <row r="166" spans="1:27" ht="45.75" customHeight="1">
      <c r="A166" s="1167"/>
      <c r="B166" s="1228"/>
      <c r="C166" s="1154" t="s">
        <v>1248</v>
      </c>
      <c r="D166" s="1209"/>
      <c r="E166" s="1126"/>
      <c r="F166" s="1151"/>
      <c r="G166" s="952" t="s">
        <v>9</v>
      </c>
      <c r="H166" s="336" t="s">
        <v>631</v>
      </c>
      <c r="J166" s="230" t="s">
        <v>1945</v>
      </c>
      <c r="K166" s="952">
        <v>2</v>
      </c>
      <c r="L166" s="231" t="s">
        <v>5837</v>
      </c>
      <c r="M166" s="194"/>
      <c r="N166" s="1167">
        <f t="shared" si="21"/>
        <v>0</v>
      </c>
      <c r="O166" s="1116"/>
      <c r="P166" s="1117"/>
      <c r="Q166" s="627" t="str">
        <f>H166</f>
        <v>SX5G-8263121</v>
      </c>
      <c r="R166" s="585" t="str">
        <f t="shared" si="18"/>
        <v>کورکن آلومینیومی کوچک ¢20</v>
      </c>
      <c r="S166" s="586">
        <f t="shared" si="18"/>
        <v>2</v>
      </c>
      <c r="T166" s="589"/>
      <c r="U166" s="589"/>
      <c r="V166" s="589"/>
      <c r="W166" s="589"/>
      <c r="X166" s="590"/>
      <c r="Y166" s="590"/>
      <c r="Z166" s="589"/>
      <c r="AA166" s="724"/>
    </row>
    <row r="167" spans="1:27" ht="45.75" customHeight="1">
      <c r="A167" s="1167"/>
      <c r="B167" s="1228"/>
      <c r="C167" s="1154" t="s">
        <v>1248</v>
      </c>
      <c r="D167" s="1209"/>
      <c r="E167" s="1126"/>
      <c r="F167" s="1151"/>
      <c r="G167" s="952" t="s">
        <v>10</v>
      </c>
      <c r="H167" s="952" t="s">
        <v>641</v>
      </c>
      <c r="I167" s="952"/>
      <c r="J167" s="230" t="s">
        <v>1941</v>
      </c>
      <c r="K167" s="952">
        <v>2</v>
      </c>
      <c r="L167" s="231" t="s">
        <v>5815</v>
      </c>
      <c r="M167" s="194"/>
      <c r="N167" s="1167">
        <f t="shared" si="21"/>
        <v>0</v>
      </c>
      <c r="O167" s="1116"/>
      <c r="P167" s="1117"/>
      <c r="Q167" s="586" t="str">
        <f t="shared" si="20"/>
        <v>BS3-8263124</v>
      </c>
      <c r="R167" s="585" t="str">
        <f t="shared" si="18"/>
        <v>کورکن لاستیکی</v>
      </c>
      <c r="S167" s="586">
        <f t="shared" si="18"/>
        <v>2</v>
      </c>
      <c r="T167" s="589"/>
      <c r="U167" s="589"/>
      <c r="V167" s="589"/>
      <c r="W167" s="589"/>
      <c r="X167" s="590"/>
      <c r="Y167" s="590"/>
      <c r="Z167" s="589"/>
      <c r="AA167" s="724"/>
    </row>
    <row r="168" spans="1:27" ht="45.75" customHeight="1">
      <c r="A168" s="1167"/>
      <c r="B168" s="933" t="s">
        <v>2537</v>
      </c>
      <c r="C168" s="929" t="s">
        <v>2473</v>
      </c>
      <c r="D168" s="931" t="s">
        <v>2472</v>
      </c>
      <c r="E168" s="939"/>
      <c r="F168" s="935">
        <f>2.2</f>
        <v>2.2000000000000002</v>
      </c>
      <c r="G168" s="952" t="s">
        <v>0</v>
      </c>
      <c r="H168" s="952" t="s">
        <v>645</v>
      </c>
      <c r="I168" s="952"/>
      <c r="J168" s="230" t="s">
        <v>2471</v>
      </c>
      <c r="K168" s="952">
        <v>10</v>
      </c>
      <c r="L168" s="231" t="s">
        <v>5831</v>
      </c>
      <c r="M168" s="194"/>
      <c r="N168" s="1167">
        <f t="shared" si="21"/>
        <v>0</v>
      </c>
      <c r="O168" s="914" t="str">
        <f t="shared" ref="O168:P174" si="23">C168</f>
        <v>نصب کورکن های زیر درب</v>
      </c>
      <c r="P168" s="915" t="str">
        <f t="shared" si="23"/>
        <v>SX5-8200-8-A</v>
      </c>
      <c r="Q168" s="586" t="str">
        <f t="shared" si="20"/>
        <v>SX5-8263102</v>
      </c>
      <c r="R168" s="585" t="str">
        <f t="shared" si="18"/>
        <v>کورکن پلاستیکی مربعی زیر درب</v>
      </c>
      <c r="S168" s="586">
        <f t="shared" si="18"/>
        <v>10</v>
      </c>
      <c r="T168" s="589"/>
      <c r="U168" s="589"/>
      <c r="V168" s="589"/>
      <c r="W168" s="589"/>
      <c r="X168" s="590"/>
      <c r="Y168" s="590"/>
      <c r="Z168" s="589"/>
      <c r="AA168" s="724"/>
    </row>
    <row r="169" spans="1:27" ht="45.75" customHeight="1">
      <c r="A169" s="1167"/>
      <c r="B169" s="935" t="s">
        <v>2537</v>
      </c>
      <c r="C169" s="929" t="s">
        <v>2470</v>
      </c>
      <c r="D169" s="931" t="s">
        <v>570</v>
      </c>
      <c r="E169" s="939"/>
      <c r="F169" s="1003">
        <v>0.770471666666667</v>
      </c>
      <c r="G169" s="952" t="s">
        <v>0</v>
      </c>
      <c r="H169" s="952" t="s">
        <v>2469</v>
      </c>
      <c r="I169" s="952"/>
      <c r="J169" s="230" t="s">
        <v>2422</v>
      </c>
      <c r="K169" s="952">
        <v>1</v>
      </c>
      <c r="L169" s="231" t="s">
        <v>5807</v>
      </c>
      <c r="M169" s="194"/>
      <c r="N169" s="1167">
        <f t="shared" si="21"/>
        <v>0</v>
      </c>
      <c r="O169" s="914" t="str">
        <f t="shared" si="23"/>
        <v xml:space="preserve"> نصب بوستر ترمز</v>
      </c>
      <c r="P169" s="915" t="str">
        <f t="shared" si="23"/>
        <v>SX5-3540-2</v>
      </c>
      <c r="Q169" s="586" t="str">
        <f t="shared" si="20"/>
        <v>SX5-3540700B</v>
      </c>
      <c r="R169" s="585" t="str">
        <f t="shared" si="18"/>
        <v>مجموعه بوستر ترمز</v>
      </c>
      <c r="S169" s="586">
        <f t="shared" si="18"/>
        <v>1</v>
      </c>
      <c r="T169" s="589"/>
      <c r="U169" s="589"/>
      <c r="V169" s="589"/>
      <c r="W169" s="589"/>
      <c r="X169" s="590"/>
      <c r="Y169" s="590"/>
      <c r="Z169" s="589"/>
      <c r="AA169" s="724"/>
    </row>
    <row r="170" spans="1:27" ht="45.75" customHeight="1">
      <c r="A170" s="1167"/>
      <c r="B170" s="935" t="s">
        <v>2537</v>
      </c>
      <c r="C170" s="929" t="s">
        <v>2468</v>
      </c>
      <c r="D170" s="931" t="s">
        <v>2467</v>
      </c>
      <c r="E170" s="939" t="s">
        <v>4973</v>
      </c>
      <c r="F170" s="1003">
        <v>0.262515</v>
      </c>
      <c r="G170" s="952" t="s">
        <v>0</v>
      </c>
      <c r="H170" s="952" t="s">
        <v>187</v>
      </c>
      <c r="I170" s="952"/>
      <c r="J170" s="230" t="s">
        <v>2466</v>
      </c>
      <c r="K170" s="952">
        <v>1</v>
      </c>
      <c r="L170" s="231" t="s">
        <v>5834</v>
      </c>
      <c r="M170" s="194"/>
      <c r="N170" s="1167">
        <f t="shared" si="21"/>
        <v>0</v>
      </c>
      <c r="O170" s="914" t="str">
        <f t="shared" si="23"/>
        <v xml:space="preserve">  نصب سنسور خلا بوستر</v>
      </c>
      <c r="P170" s="915" t="str">
        <f t="shared" si="23"/>
        <v>SX5A-3630-1</v>
      </c>
      <c r="Q170" s="586" t="str">
        <f t="shared" si="20"/>
        <v>S500-3630181</v>
      </c>
      <c r="R170" s="585" t="str">
        <f t="shared" si="18"/>
        <v>سنسور خلا بوستر</v>
      </c>
      <c r="S170" s="586">
        <f t="shared" si="18"/>
        <v>1</v>
      </c>
      <c r="T170" s="589"/>
      <c r="U170" s="589"/>
      <c r="V170" s="589"/>
      <c r="W170" s="589"/>
      <c r="X170" s="590"/>
      <c r="Y170" s="590"/>
      <c r="Z170" s="589"/>
      <c r="AA170" s="724"/>
    </row>
    <row r="171" spans="1:27" ht="27.95" customHeight="1">
      <c r="A171" s="1167"/>
      <c r="B171" s="1115" t="s">
        <v>2537</v>
      </c>
      <c r="C171" s="1116" t="s">
        <v>1513</v>
      </c>
      <c r="D171" s="1117" t="s">
        <v>1512</v>
      </c>
      <c r="E171" s="1118" t="s">
        <v>4973</v>
      </c>
      <c r="F171" s="1387"/>
      <c r="G171" s="941" t="s">
        <v>0</v>
      </c>
      <c r="H171" s="941" t="s">
        <v>192</v>
      </c>
      <c r="I171" s="941"/>
      <c r="J171" s="647" t="s">
        <v>1511</v>
      </c>
      <c r="K171" s="941">
        <v>1</v>
      </c>
      <c r="L171" s="1059" t="s">
        <v>5821</v>
      </c>
      <c r="M171" s="194"/>
      <c r="N171" s="1167"/>
      <c r="O171" s="1116" t="s">
        <v>1513</v>
      </c>
      <c r="P171" s="1117" t="s">
        <v>1512</v>
      </c>
      <c r="Q171" s="688" t="str">
        <f t="shared" si="20"/>
        <v>BX5A-3504503</v>
      </c>
      <c r="R171" s="680" t="str">
        <f t="shared" si="18"/>
        <v>پین سر تخت</v>
      </c>
      <c r="S171" s="586">
        <f t="shared" ref="S171:S173" si="24">K170</f>
        <v>1</v>
      </c>
      <c r="T171" s="673"/>
      <c r="U171" s="673"/>
      <c r="V171" s="673"/>
      <c r="W171" s="673"/>
      <c r="X171" s="590"/>
      <c r="Y171" s="590"/>
      <c r="Z171" s="673"/>
      <c r="AA171" s="736"/>
    </row>
    <row r="172" spans="1:27" ht="30" customHeight="1">
      <c r="A172" s="1167"/>
      <c r="B172" s="1115"/>
      <c r="C172" s="1116" t="s">
        <v>1248</v>
      </c>
      <c r="D172" s="1117"/>
      <c r="E172" s="1118"/>
      <c r="F172" s="1387"/>
      <c r="G172" s="941" t="s">
        <v>1</v>
      </c>
      <c r="H172" s="941" t="s">
        <v>1510</v>
      </c>
      <c r="I172" s="941"/>
      <c r="J172" s="647" t="s">
        <v>1509</v>
      </c>
      <c r="K172" s="941">
        <v>1</v>
      </c>
      <c r="L172" s="1059" t="s">
        <v>5822</v>
      </c>
      <c r="M172" s="194"/>
      <c r="N172" s="1167"/>
      <c r="O172" s="1116" t="s">
        <v>1248</v>
      </c>
      <c r="P172" s="1117"/>
      <c r="Q172" s="688" t="str">
        <f t="shared" si="20"/>
        <v>Q50110F38</v>
      </c>
      <c r="R172" s="680" t="str">
        <f t="shared" si="18"/>
        <v>اشپیل</v>
      </c>
      <c r="S172" s="586">
        <f t="shared" si="24"/>
        <v>1</v>
      </c>
      <c r="T172" s="587"/>
      <c r="U172" s="587"/>
      <c r="V172" s="587"/>
      <c r="W172" s="588"/>
      <c r="X172" s="587"/>
      <c r="Y172" s="587"/>
      <c r="Z172" s="587"/>
      <c r="AA172" s="728"/>
    </row>
    <row r="173" spans="1:27" ht="27.95" customHeight="1">
      <c r="A173" s="1167"/>
      <c r="B173" s="1115"/>
      <c r="C173" s="1116" t="s">
        <v>1248</v>
      </c>
      <c r="D173" s="1117"/>
      <c r="E173" s="1118"/>
      <c r="F173" s="1387"/>
      <c r="G173" s="941" t="s">
        <v>2</v>
      </c>
      <c r="H173" s="941" t="s">
        <v>194</v>
      </c>
      <c r="I173" s="941"/>
      <c r="J173" s="647" t="s">
        <v>1508</v>
      </c>
      <c r="K173" s="941">
        <v>1</v>
      </c>
      <c r="L173" s="1059" t="s">
        <v>5821</v>
      </c>
      <c r="M173" s="194"/>
      <c r="N173" s="1167"/>
      <c r="O173" s="1116" t="s">
        <v>1248</v>
      </c>
      <c r="P173" s="1117"/>
      <c r="Q173" s="688" t="str">
        <f t="shared" si="20"/>
        <v>16MA-02029</v>
      </c>
      <c r="R173" s="680" t="str">
        <f t="shared" si="18"/>
        <v xml:space="preserve">واشر </v>
      </c>
      <c r="S173" s="586">
        <f t="shared" si="24"/>
        <v>1</v>
      </c>
      <c r="T173" s="673"/>
      <c r="U173" s="673"/>
      <c r="V173" s="673"/>
      <c r="W173" s="673"/>
      <c r="X173" s="590"/>
      <c r="Y173" s="590"/>
      <c r="Z173" s="673"/>
      <c r="AA173" s="736"/>
    </row>
    <row r="174" spans="1:27" ht="45.75" customHeight="1">
      <c r="A174" s="1167"/>
      <c r="B174" s="1161" t="s">
        <v>2537</v>
      </c>
      <c r="C174" s="1153" t="s">
        <v>2465</v>
      </c>
      <c r="D174" s="1121" t="s">
        <v>190</v>
      </c>
      <c r="E174" s="1123" t="s">
        <v>4973</v>
      </c>
      <c r="F174" s="1240"/>
      <c r="G174" s="977" t="s">
        <v>0</v>
      </c>
      <c r="H174" s="977" t="s">
        <v>5200</v>
      </c>
      <c r="I174" s="977" t="s">
        <v>191</v>
      </c>
      <c r="J174" s="298" t="s">
        <v>2464</v>
      </c>
      <c r="K174" s="977">
        <v>1</v>
      </c>
      <c r="L174" s="435" t="s">
        <v>5807</v>
      </c>
      <c r="M174" s="194"/>
      <c r="N174" s="1167">
        <f t="shared" si="21"/>
        <v>0</v>
      </c>
      <c r="O174" s="1153" t="str">
        <f t="shared" si="23"/>
        <v>نصب پدال ترمز</v>
      </c>
      <c r="P174" s="1121" t="str">
        <f t="shared" si="23"/>
        <v>SX5-3500-1</v>
      </c>
      <c r="Q174" s="803" t="str">
        <f t="shared" si="20"/>
        <v>BM3-3504020BS</v>
      </c>
      <c r="R174" s="847" t="str">
        <f t="shared" si="18"/>
        <v>مجموعه پدال ترمز</v>
      </c>
      <c r="S174" s="803">
        <f t="shared" si="18"/>
        <v>1</v>
      </c>
      <c r="T174" s="805"/>
      <c r="U174" s="805"/>
      <c r="V174" s="805"/>
      <c r="W174" s="805"/>
      <c r="X174" s="806"/>
      <c r="Y174" s="806"/>
      <c r="Z174" s="805"/>
      <c r="AA174" s="807"/>
    </row>
    <row r="175" spans="1:27" ht="45.75" customHeight="1">
      <c r="A175" s="1167"/>
      <c r="B175" s="1151"/>
      <c r="C175" s="1154" t="s">
        <v>1248</v>
      </c>
      <c r="D175" s="1209"/>
      <c r="E175" s="1126"/>
      <c r="F175" s="1216"/>
      <c r="G175" s="952" t="s">
        <v>1</v>
      </c>
      <c r="H175" s="952" t="s">
        <v>18</v>
      </c>
      <c r="I175" s="952"/>
      <c r="J175" s="230" t="s">
        <v>1455</v>
      </c>
      <c r="K175" s="952">
        <v>6</v>
      </c>
      <c r="L175" s="231" t="s">
        <v>5822</v>
      </c>
      <c r="M175" s="194"/>
      <c r="N175" s="1167">
        <f t="shared" si="21"/>
        <v>0</v>
      </c>
      <c r="O175" s="1116"/>
      <c r="P175" s="1117"/>
      <c r="Q175" s="586" t="str">
        <f t="shared" si="20"/>
        <v>Q32008F36</v>
      </c>
      <c r="R175" s="585" t="str">
        <f t="shared" si="18"/>
        <v>مهره فلنجی</v>
      </c>
      <c r="S175" s="586">
        <f t="shared" si="18"/>
        <v>6</v>
      </c>
      <c r="T175" s="587">
        <v>22</v>
      </c>
      <c r="U175" s="587" t="s">
        <v>5487</v>
      </c>
      <c r="V175" s="587">
        <v>26</v>
      </c>
      <c r="W175" s="588" t="s">
        <v>5445</v>
      </c>
      <c r="X175" s="587" t="s">
        <v>5488</v>
      </c>
      <c r="Y175" s="587" t="s">
        <v>5489</v>
      </c>
      <c r="Z175" s="587"/>
      <c r="AA175" s="728"/>
    </row>
    <row r="176" spans="1:27" ht="45.75" customHeight="1">
      <c r="A176" s="1167"/>
      <c r="B176" s="1151" t="s">
        <v>2537</v>
      </c>
      <c r="C176" s="1154" t="s">
        <v>2463</v>
      </c>
      <c r="D176" s="1209" t="s">
        <v>202</v>
      </c>
      <c r="E176" s="1126"/>
      <c r="F176" s="1216">
        <v>1.2074050000000001</v>
      </c>
      <c r="G176" s="952" t="s">
        <v>0</v>
      </c>
      <c r="H176" s="952" t="s">
        <v>5124</v>
      </c>
      <c r="I176" s="952"/>
      <c r="J176" s="230" t="s">
        <v>2424</v>
      </c>
      <c r="K176" s="952">
        <v>1</v>
      </c>
      <c r="L176" s="231" t="s">
        <v>5807</v>
      </c>
      <c r="M176" s="194"/>
      <c r="N176" s="1167"/>
      <c r="O176" s="1116" t="str">
        <f>C176</f>
        <v xml:space="preserve">  نصب پدال گاز</v>
      </c>
      <c r="P176" s="1117" t="str">
        <f>D176</f>
        <v>SX5-1108-2</v>
      </c>
      <c r="Q176" s="586" t="str">
        <f t="shared" si="20"/>
        <v>B12-1108100A3</v>
      </c>
      <c r="R176" s="585" t="str">
        <f t="shared" si="18"/>
        <v>مجموعه پدال گاز الکترونیکی</v>
      </c>
      <c r="S176" s="586">
        <f t="shared" si="18"/>
        <v>1</v>
      </c>
      <c r="T176" s="589"/>
      <c r="U176" s="589"/>
      <c r="V176" s="589"/>
      <c r="W176" s="589"/>
      <c r="X176" s="590"/>
      <c r="Y176" s="590"/>
      <c r="Z176" s="589"/>
      <c r="AA176" s="724"/>
    </row>
    <row r="177" spans="1:27" ht="45.75" customHeight="1">
      <c r="A177" s="1167"/>
      <c r="B177" s="1151"/>
      <c r="C177" s="1154" t="s">
        <v>1248</v>
      </c>
      <c r="D177" s="1209"/>
      <c r="E177" s="1126"/>
      <c r="F177" s="1216"/>
      <c r="G177" s="952" t="s">
        <v>1</v>
      </c>
      <c r="H177" s="277" t="s">
        <v>4</v>
      </c>
      <c r="I177" s="277" t="s">
        <v>5396</v>
      </c>
      <c r="J177" s="230" t="s">
        <v>1587</v>
      </c>
      <c r="K177" s="952">
        <v>3</v>
      </c>
      <c r="L177" s="231" t="s">
        <v>5822</v>
      </c>
      <c r="M177" s="194"/>
      <c r="N177" s="1167"/>
      <c r="O177" s="1116"/>
      <c r="P177" s="1117"/>
      <c r="Q177" s="608" t="str">
        <f t="shared" si="20"/>
        <v>Q1460625F38</v>
      </c>
      <c r="R177" s="585" t="str">
        <f t="shared" si="18"/>
        <v xml:space="preserve">پیچ فلنجی سر شش گوش </v>
      </c>
      <c r="S177" s="586">
        <f t="shared" si="18"/>
        <v>3</v>
      </c>
      <c r="T177" s="587">
        <v>7</v>
      </c>
      <c r="U177" s="587">
        <v>8</v>
      </c>
      <c r="V177" s="587">
        <v>9</v>
      </c>
      <c r="W177" s="588" t="s">
        <v>5431</v>
      </c>
      <c r="X177" s="587" t="s">
        <v>5432</v>
      </c>
      <c r="Y177" s="587" t="s">
        <v>5490</v>
      </c>
      <c r="Z177" s="589"/>
      <c r="AA177" s="724"/>
    </row>
    <row r="178" spans="1:27" ht="45.75" customHeight="1">
      <c r="A178" s="1167"/>
      <c r="B178" s="1228" t="s">
        <v>2537</v>
      </c>
      <c r="C178" s="1154" t="s">
        <v>2462</v>
      </c>
      <c r="D178" s="1209" t="s">
        <v>129</v>
      </c>
      <c r="E178" s="1126"/>
      <c r="F178" s="1151">
        <v>0.77366999999999997</v>
      </c>
      <c r="G178" s="952" t="s">
        <v>0</v>
      </c>
      <c r="H178" s="952" t="s">
        <v>130</v>
      </c>
      <c r="I178" s="952"/>
      <c r="J178" s="230" t="s">
        <v>2461</v>
      </c>
      <c r="K178" s="952">
        <v>1</v>
      </c>
      <c r="L178" s="231" t="s">
        <v>5827</v>
      </c>
      <c r="M178" s="194"/>
      <c r="N178" s="1167">
        <f t="shared" si="21"/>
        <v>0</v>
      </c>
      <c r="O178" s="1116" t="str">
        <f>C178</f>
        <v>نصب پایه اهرم باز کننده درب موتور</v>
      </c>
      <c r="P178" s="1117" t="str">
        <f>D178</f>
        <v>SX5-8402-8</v>
      </c>
      <c r="Q178" s="586" t="str">
        <f t="shared" si="20"/>
        <v>DM5L-8402212</v>
      </c>
      <c r="R178" s="585" t="str">
        <f t="shared" si="18"/>
        <v>پایه نگهدارنده اهرم باز کننده درب موتور</v>
      </c>
      <c r="S178" s="586">
        <f t="shared" si="18"/>
        <v>1</v>
      </c>
      <c r="T178" s="589"/>
      <c r="U178" s="589"/>
      <c r="V178" s="589"/>
      <c r="W178" s="589"/>
      <c r="X178" s="590"/>
      <c r="Y178" s="590"/>
      <c r="Z178" s="589"/>
      <c r="AA178" s="724"/>
    </row>
    <row r="179" spans="1:27" ht="45.75" customHeight="1" thickBot="1">
      <c r="A179" s="1168"/>
      <c r="B179" s="1237"/>
      <c r="C179" s="1186" t="s">
        <v>1248</v>
      </c>
      <c r="D179" s="1159"/>
      <c r="E179" s="1214"/>
      <c r="F179" s="1232"/>
      <c r="G179" s="953" t="s">
        <v>1</v>
      </c>
      <c r="H179" s="953" t="s">
        <v>126</v>
      </c>
      <c r="I179" s="340"/>
      <c r="J179" s="272" t="s">
        <v>1499</v>
      </c>
      <c r="K179" s="953">
        <v>2</v>
      </c>
      <c r="L179" s="250" t="s">
        <v>5821</v>
      </c>
      <c r="M179" s="194"/>
      <c r="N179" s="1168">
        <f t="shared" si="21"/>
        <v>0</v>
      </c>
      <c r="O179" s="1186"/>
      <c r="P179" s="1159"/>
      <c r="Q179" s="251" t="str">
        <f t="shared" si="20"/>
        <v>Q1460616F38</v>
      </c>
      <c r="R179" s="274" t="str">
        <f t="shared" si="18"/>
        <v>پیچ سر شش گوش واشردار</v>
      </c>
      <c r="S179" s="251">
        <f t="shared" si="18"/>
        <v>2</v>
      </c>
      <c r="T179" s="341">
        <v>6</v>
      </c>
      <c r="U179" s="252">
        <v>8</v>
      </c>
      <c r="V179" s="252">
        <v>10</v>
      </c>
      <c r="W179" s="253" t="s">
        <v>5491</v>
      </c>
      <c r="X179" s="252" t="s">
        <v>5432</v>
      </c>
      <c r="Y179" s="252" t="s">
        <v>5490</v>
      </c>
      <c r="Z179" s="252"/>
      <c r="AA179" s="275"/>
    </row>
    <row r="180" spans="1:27" ht="51" customHeight="1">
      <c r="A180" s="1166" t="s">
        <v>2475</v>
      </c>
      <c r="B180" s="1218" t="s">
        <v>2351</v>
      </c>
      <c r="C180" s="1215" t="s">
        <v>2459</v>
      </c>
      <c r="D180" s="1211" t="s">
        <v>5351</v>
      </c>
      <c r="E180" s="1219" t="s">
        <v>4973</v>
      </c>
      <c r="F180" s="1218">
        <v>0.85</v>
      </c>
      <c r="G180" s="997" t="s">
        <v>0</v>
      </c>
      <c r="H180" s="946" t="s">
        <v>5352</v>
      </c>
      <c r="I180" s="342"/>
      <c r="J180" s="221" t="s">
        <v>5353</v>
      </c>
      <c r="K180" s="997">
        <v>1</v>
      </c>
      <c r="L180" s="222" t="s">
        <v>5827</v>
      </c>
      <c r="M180" s="194"/>
      <c r="N180" s="1166" t="str">
        <f t="shared" si="21"/>
        <v>P15</v>
      </c>
      <c r="O180" s="1169" t="str">
        <f>C180</f>
        <v>نصب سوئیچ چراغ ترمز روی پدال ترمز</v>
      </c>
      <c r="P180" s="1142" t="str">
        <f t="shared" ref="O180:P183" si="25">D180</f>
        <v>SX5KCT-4137-1</v>
      </c>
      <c r="Q180" s="225" t="str">
        <f>H181</f>
        <v>S50EVK-4137010</v>
      </c>
      <c r="R180" s="224" t="str">
        <f t="shared" si="18"/>
        <v>پایه نصب کلید چراغ ترمز</v>
      </c>
      <c r="S180" s="225">
        <f t="shared" si="18"/>
        <v>1</v>
      </c>
      <c r="T180" s="226"/>
      <c r="U180" s="226"/>
      <c r="V180" s="226"/>
      <c r="W180" s="226"/>
      <c r="X180" s="227"/>
      <c r="Y180" s="227"/>
      <c r="Z180" s="226"/>
      <c r="AA180" s="228"/>
    </row>
    <row r="181" spans="1:27" ht="51" customHeight="1">
      <c r="A181" s="1210"/>
      <c r="B181" s="1161"/>
      <c r="C181" s="1153"/>
      <c r="D181" s="1121"/>
      <c r="E181" s="1123"/>
      <c r="F181" s="1161"/>
      <c r="G181" s="977" t="s">
        <v>1</v>
      </c>
      <c r="H181" s="977" t="s">
        <v>5235</v>
      </c>
      <c r="I181" s="977"/>
      <c r="J181" s="298" t="s">
        <v>2458</v>
      </c>
      <c r="K181" s="977">
        <v>1</v>
      </c>
      <c r="L181" s="231" t="s">
        <v>5827</v>
      </c>
      <c r="M181" s="194"/>
      <c r="N181" s="1167"/>
      <c r="O181" s="1116"/>
      <c r="P181" s="1117"/>
      <c r="Q181" s="629" t="s">
        <v>5352</v>
      </c>
      <c r="R181" s="590" t="s">
        <v>5353</v>
      </c>
      <c r="S181" s="586">
        <f t="shared" si="18"/>
        <v>1</v>
      </c>
      <c r="T181" s="589"/>
      <c r="U181" s="589"/>
      <c r="V181" s="589"/>
      <c r="W181" s="589"/>
      <c r="X181" s="590"/>
      <c r="Y181" s="590"/>
      <c r="Z181" s="589"/>
      <c r="AA181" s="724"/>
    </row>
    <row r="182" spans="1:27" ht="51" customHeight="1">
      <c r="A182" s="1167"/>
      <c r="B182" s="949" t="s">
        <v>2351</v>
      </c>
      <c r="C182" s="947" t="s">
        <v>2457</v>
      </c>
      <c r="D182" s="948" t="s">
        <v>28</v>
      </c>
      <c r="E182" s="1001"/>
      <c r="F182" s="935">
        <v>0.84</v>
      </c>
      <c r="G182" s="952" t="s">
        <v>0</v>
      </c>
      <c r="H182" s="952" t="s">
        <v>29</v>
      </c>
      <c r="I182" s="952"/>
      <c r="J182" s="230" t="s">
        <v>2456</v>
      </c>
      <c r="K182" s="952">
        <v>1</v>
      </c>
      <c r="L182" s="231" t="s">
        <v>5807</v>
      </c>
      <c r="M182" s="194"/>
      <c r="N182" s="1167">
        <f t="shared" si="21"/>
        <v>0</v>
      </c>
      <c r="O182" s="962" t="str">
        <f t="shared" si="25"/>
        <v xml:space="preserve">  ساب براکت مدولاتور</v>
      </c>
      <c r="P182" s="963" t="str">
        <f t="shared" si="25"/>
        <v>SX5-3550-6</v>
      </c>
      <c r="Q182" s="586" t="str">
        <f t="shared" si="20"/>
        <v>BS3-3550411B</v>
      </c>
      <c r="R182" s="585" t="str">
        <f t="shared" si="18"/>
        <v>براکت نصب مدولاتور ترمز</v>
      </c>
      <c r="S182" s="586">
        <f t="shared" si="18"/>
        <v>1</v>
      </c>
      <c r="T182" s="587">
        <v>6</v>
      </c>
      <c r="U182" s="587">
        <v>8</v>
      </c>
      <c r="V182" s="587">
        <v>10</v>
      </c>
      <c r="W182" s="588" t="s">
        <v>5431</v>
      </c>
      <c r="X182" s="587" t="s">
        <v>5432</v>
      </c>
      <c r="Y182" s="587" t="s">
        <v>5492</v>
      </c>
      <c r="Z182" s="589"/>
      <c r="AA182" s="724"/>
    </row>
    <row r="183" spans="1:27" ht="51" customHeight="1">
      <c r="A183" s="1167"/>
      <c r="B183" s="1151" t="s">
        <v>2351</v>
      </c>
      <c r="C183" s="1274" t="s">
        <v>2455</v>
      </c>
      <c r="D183" s="1162" t="s">
        <v>6136</v>
      </c>
      <c r="E183" s="1163" t="s">
        <v>4973</v>
      </c>
      <c r="F183" s="1151">
        <v>4.9025666666666696</v>
      </c>
      <c r="G183" s="935" t="s">
        <v>697</v>
      </c>
      <c r="H183" s="952" t="s">
        <v>5420</v>
      </c>
      <c r="I183" s="952"/>
      <c r="J183" s="230" t="s">
        <v>2454</v>
      </c>
      <c r="K183" s="952">
        <v>1</v>
      </c>
      <c r="L183" s="231"/>
      <c r="M183" s="194"/>
      <c r="N183" s="1167">
        <f t="shared" si="21"/>
        <v>0</v>
      </c>
      <c r="O183" s="1145" t="str">
        <f t="shared" si="25"/>
        <v>نصب مدولاتور ترمز</v>
      </c>
      <c r="P183" s="1185" t="str">
        <f t="shared" si="25"/>
        <v>SX5B-3550-1</v>
      </c>
      <c r="Q183" s="586" t="str">
        <f t="shared" si="20"/>
        <v>....</v>
      </c>
      <c r="R183" s="585" t="str">
        <f t="shared" si="18"/>
        <v>مدولاتور ترمز ساب شده</v>
      </c>
      <c r="S183" s="586">
        <f t="shared" si="18"/>
        <v>1</v>
      </c>
      <c r="T183" s="587">
        <v>15</v>
      </c>
      <c r="U183" s="587">
        <v>16</v>
      </c>
      <c r="V183" s="587">
        <v>17</v>
      </c>
      <c r="W183" s="588" t="s">
        <v>5493</v>
      </c>
      <c r="X183" s="587" t="s">
        <v>5494</v>
      </c>
      <c r="Y183" s="587" t="s">
        <v>5495</v>
      </c>
      <c r="Z183" s="589"/>
      <c r="AA183" s="724"/>
    </row>
    <row r="184" spans="1:27" ht="51" customHeight="1">
      <c r="A184" s="1167"/>
      <c r="B184" s="1151"/>
      <c r="C184" s="1275" t="s">
        <v>1248</v>
      </c>
      <c r="D184" s="1277"/>
      <c r="E184" s="1251"/>
      <c r="F184" s="1151"/>
      <c r="G184" s="935" t="s">
        <v>1</v>
      </c>
      <c r="H184" s="935" t="s">
        <v>621</v>
      </c>
      <c r="I184" s="935"/>
      <c r="J184" s="230" t="s">
        <v>1688</v>
      </c>
      <c r="K184" s="343">
        <v>4</v>
      </c>
      <c r="L184" s="231" t="s">
        <v>5827</v>
      </c>
      <c r="M184" s="194"/>
      <c r="N184" s="1167">
        <f t="shared" si="21"/>
        <v>0</v>
      </c>
      <c r="O184" s="1145"/>
      <c r="P184" s="1185"/>
      <c r="Q184" s="629" t="str">
        <f t="shared" si="20"/>
        <v>35MA-06081</v>
      </c>
      <c r="R184" s="585" t="str">
        <f t="shared" si="18"/>
        <v>بست لوله تک خانه</v>
      </c>
      <c r="S184" s="630">
        <f t="shared" si="18"/>
        <v>4</v>
      </c>
      <c r="T184" s="589"/>
      <c r="U184" s="589"/>
      <c r="V184" s="589"/>
      <c r="W184" s="589"/>
      <c r="X184" s="590"/>
      <c r="Y184" s="590"/>
      <c r="Z184" s="589"/>
      <c r="AA184" s="724"/>
    </row>
    <row r="185" spans="1:27" ht="51" customHeight="1">
      <c r="A185" s="1167"/>
      <c r="B185" s="1151"/>
      <c r="C185" s="1275" t="s">
        <v>1248</v>
      </c>
      <c r="D185" s="1277"/>
      <c r="E185" s="1251"/>
      <c r="F185" s="1151"/>
      <c r="G185" s="935" t="s">
        <v>7</v>
      </c>
      <c r="H185" s="935" t="s">
        <v>918</v>
      </c>
      <c r="I185" s="935"/>
      <c r="J185" s="230" t="s">
        <v>1247</v>
      </c>
      <c r="K185" s="343">
        <v>1</v>
      </c>
      <c r="L185" s="231" t="s">
        <v>5834</v>
      </c>
      <c r="M185" s="194"/>
      <c r="N185" s="1167">
        <f t="shared" si="21"/>
        <v>0</v>
      </c>
      <c r="O185" s="1145"/>
      <c r="P185" s="1185"/>
      <c r="Q185" s="629" t="str">
        <f t="shared" si="20"/>
        <v>Q1860612F36</v>
      </c>
      <c r="R185" s="585" t="str">
        <f t="shared" si="18"/>
        <v>پیچ فلنجی سر شش گوش</v>
      </c>
      <c r="S185" s="630">
        <f t="shared" si="18"/>
        <v>1</v>
      </c>
      <c r="T185" s="587">
        <v>6</v>
      </c>
      <c r="U185" s="587">
        <v>8</v>
      </c>
      <c r="V185" s="587">
        <v>10</v>
      </c>
      <c r="W185" s="588" t="s">
        <v>5431</v>
      </c>
      <c r="X185" s="587" t="s">
        <v>5432</v>
      </c>
      <c r="Y185" s="587" t="s">
        <v>5492</v>
      </c>
      <c r="Z185" s="587" t="s">
        <v>5442</v>
      </c>
      <c r="AA185" s="728" t="s">
        <v>5496</v>
      </c>
    </row>
    <row r="186" spans="1:27" ht="51" customHeight="1">
      <c r="A186" s="1167"/>
      <c r="B186" s="1151"/>
      <c r="C186" s="1276" t="s">
        <v>1248</v>
      </c>
      <c r="D186" s="1278"/>
      <c r="E186" s="1164"/>
      <c r="F186" s="1151"/>
      <c r="G186" s="935" t="s">
        <v>9</v>
      </c>
      <c r="H186" s="935" t="s">
        <v>5</v>
      </c>
      <c r="I186" s="935"/>
      <c r="J186" s="230" t="s">
        <v>1455</v>
      </c>
      <c r="K186" s="343">
        <v>2</v>
      </c>
      <c r="L186" s="231" t="s">
        <v>5817</v>
      </c>
      <c r="M186" s="194"/>
      <c r="N186" s="1167">
        <f t="shared" si="21"/>
        <v>0</v>
      </c>
      <c r="O186" s="1145"/>
      <c r="P186" s="1185"/>
      <c r="Q186" s="629" t="str">
        <f t="shared" si="20"/>
        <v>Q32006F38</v>
      </c>
      <c r="R186" s="585" t="str">
        <f t="shared" si="18"/>
        <v>مهره فلنجی</v>
      </c>
      <c r="S186" s="630">
        <f t="shared" si="18"/>
        <v>2</v>
      </c>
      <c r="T186" s="587">
        <v>6</v>
      </c>
      <c r="U186" s="587">
        <v>8</v>
      </c>
      <c r="V186" s="587">
        <v>10</v>
      </c>
      <c r="W186" s="588" t="s">
        <v>5431</v>
      </c>
      <c r="X186" s="587" t="s">
        <v>5432</v>
      </c>
      <c r="Y186" s="587" t="s">
        <v>5492</v>
      </c>
      <c r="Z186" s="587" t="s">
        <v>5442</v>
      </c>
      <c r="AA186" s="728" t="s">
        <v>5496</v>
      </c>
    </row>
    <row r="187" spans="1:27" ht="51" customHeight="1">
      <c r="A187" s="1167"/>
      <c r="B187" s="1151" t="s">
        <v>2351</v>
      </c>
      <c r="C187" s="1154" t="s">
        <v>2452</v>
      </c>
      <c r="D187" s="1209" t="s">
        <v>157</v>
      </c>
      <c r="E187" s="1126"/>
      <c r="F187" s="1216">
        <v>1.3875</v>
      </c>
      <c r="G187" s="952" t="s">
        <v>0</v>
      </c>
      <c r="H187" s="243" t="s">
        <v>158</v>
      </c>
      <c r="I187" s="243"/>
      <c r="J187" s="230" t="s">
        <v>1625</v>
      </c>
      <c r="K187" s="952">
        <v>1</v>
      </c>
      <c r="L187" s="231" t="s">
        <v>5830</v>
      </c>
      <c r="M187" s="194"/>
      <c r="N187" s="1167">
        <f t="shared" si="21"/>
        <v>0</v>
      </c>
      <c r="O187" s="1116" t="str">
        <f>C187</f>
        <v>نصب براکت جعبه فیوز داخل اتاق</v>
      </c>
      <c r="P187" s="1117" t="str">
        <f>D187</f>
        <v>SX5-4016-3</v>
      </c>
      <c r="Q187" s="599" t="str">
        <f t="shared" si="20"/>
        <v>SX5F-4016102B1</v>
      </c>
      <c r="R187" s="585" t="str">
        <f t="shared" si="18"/>
        <v>براکت نصب جعبه فیوز</v>
      </c>
      <c r="S187" s="586">
        <f t="shared" si="18"/>
        <v>1</v>
      </c>
      <c r="T187" s="589"/>
      <c r="U187" s="589"/>
      <c r="V187" s="589"/>
      <c r="W187" s="589"/>
      <c r="X187" s="590"/>
      <c r="Y187" s="590"/>
      <c r="Z187" s="589"/>
      <c r="AA187" s="724"/>
    </row>
    <row r="188" spans="1:27" ht="51" customHeight="1" thickBot="1">
      <c r="A188" s="1168"/>
      <c r="B188" s="1232"/>
      <c r="C188" s="1186" t="s">
        <v>1248</v>
      </c>
      <c r="D188" s="1159"/>
      <c r="E188" s="1214"/>
      <c r="F188" s="1217"/>
      <c r="G188" s="953" t="s">
        <v>1</v>
      </c>
      <c r="H188" s="953" t="s">
        <v>5270</v>
      </c>
      <c r="I188" s="953" t="s">
        <v>3</v>
      </c>
      <c r="J188" s="272" t="s">
        <v>1587</v>
      </c>
      <c r="K188" s="953">
        <v>2</v>
      </c>
      <c r="L188" s="250" t="s">
        <v>5806</v>
      </c>
      <c r="M188" s="194"/>
      <c r="N188" s="1168">
        <f t="shared" si="21"/>
        <v>0</v>
      </c>
      <c r="O188" s="1186"/>
      <c r="P188" s="1159"/>
      <c r="Q188" s="251" t="str">
        <f t="shared" si="20"/>
        <v>B-6106051A</v>
      </c>
      <c r="R188" s="274" t="str">
        <f t="shared" ref="R188:S251" si="26">J188</f>
        <v xml:space="preserve">پیچ فلنجی سر شش گوش </v>
      </c>
      <c r="S188" s="251">
        <f t="shared" si="26"/>
        <v>2</v>
      </c>
      <c r="T188" s="252">
        <v>7</v>
      </c>
      <c r="U188" s="252">
        <v>8</v>
      </c>
      <c r="V188" s="252">
        <v>9</v>
      </c>
      <c r="W188" s="253" t="s">
        <v>5431</v>
      </c>
      <c r="X188" s="252" t="s">
        <v>5432</v>
      </c>
      <c r="Y188" s="252" t="s">
        <v>5492</v>
      </c>
      <c r="Z188" s="283"/>
      <c r="AA188" s="285"/>
    </row>
    <row r="189" spans="1:27" ht="51" customHeight="1">
      <c r="A189" s="1166" t="s">
        <v>2460</v>
      </c>
      <c r="B189" s="946" t="s">
        <v>2351</v>
      </c>
      <c r="C189" s="966" t="s">
        <v>2450</v>
      </c>
      <c r="D189" s="967" t="s">
        <v>2448</v>
      </c>
      <c r="E189" s="1019"/>
      <c r="F189" s="946">
        <v>1.8</v>
      </c>
      <c r="G189" s="255" t="s">
        <v>1371</v>
      </c>
      <c r="H189" s="344" t="s">
        <v>1464</v>
      </c>
      <c r="I189" s="344"/>
      <c r="J189" s="256" t="s">
        <v>1828</v>
      </c>
      <c r="K189" s="255" t="s">
        <v>1371</v>
      </c>
      <c r="L189" s="257"/>
      <c r="M189" s="194"/>
      <c r="N189" s="1166" t="str">
        <f t="shared" si="21"/>
        <v>P16</v>
      </c>
      <c r="O189" s="966" t="str">
        <f t="shared" ref="O189:P251" si="27">C189</f>
        <v xml:space="preserve">  بازکردن درب جلو چپ</v>
      </c>
      <c r="P189" s="967" t="str">
        <f t="shared" si="27"/>
        <v>SX5-6100-2</v>
      </c>
      <c r="Q189" s="743" t="str">
        <f t="shared" si="20"/>
        <v>---------</v>
      </c>
      <c r="R189" s="345" t="str">
        <f t="shared" si="26"/>
        <v>----------</v>
      </c>
      <c r="S189" s="346" t="str">
        <f t="shared" si="26"/>
        <v>---</v>
      </c>
      <c r="T189" s="226"/>
      <c r="U189" s="226"/>
      <c r="V189" s="226"/>
      <c r="W189" s="226"/>
      <c r="X189" s="227"/>
      <c r="Y189" s="227"/>
      <c r="Z189" s="226"/>
      <c r="AA189" s="228"/>
    </row>
    <row r="190" spans="1:27" ht="51" customHeight="1">
      <c r="A190" s="1167"/>
      <c r="B190" s="935" t="s">
        <v>2351</v>
      </c>
      <c r="C190" s="982" t="s">
        <v>2449</v>
      </c>
      <c r="D190" s="995" t="s">
        <v>2448</v>
      </c>
      <c r="E190" s="1001" t="s">
        <v>4973</v>
      </c>
      <c r="F190" s="935">
        <v>1.8</v>
      </c>
      <c r="G190" s="1021"/>
      <c r="H190" s="347" t="s">
        <v>2401</v>
      </c>
      <c r="I190" s="348" t="s">
        <v>1256</v>
      </c>
      <c r="J190" s="246" t="s">
        <v>2317</v>
      </c>
      <c r="K190" s="349">
        <v>4</v>
      </c>
      <c r="L190" s="231" t="s">
        <v>5841</v>
      </c>
      <c r="M190" s="194"/>
      <c r="N190" s="1167">
        <f t="shared" si="21"/>
        <v>0</v>
      </c>
      <c r="O190" s="964" t="str">
        <f t="shared" si="27"/>
        <v xml:space="preserve">مونتاژ مجدد درب جلو چپ به بدنه  </v>
      </c>
      <c r="P190" s="965" t="str">
        <f t="shared" si="27"/>
        <v>SX5-6100-2</v>
      </c>
      <c r="Q190" s="631" t="str">
        <f t="shared" si="20"/>
        <v>B-6106056A1</v>
      </c>
      <c r="R190" s="607" t="str">
        <f t="shared" si="26"/>
        <v>مهره نصب درب ها به بدنه</v>
      </c>
      <c r="S190" s="632">
        <f t="shared" si="26"/>
        <v>4</v>
      </c>
      <c r="T190" s="587">
        <v>20</v>
      </c>
      <c r="U190" s="587">
        <v>23</v>
      </c>
      <c r="V190" s="587">
        <v>26</v>
      </c>
      <c r="W190" s="588"/>
      <c r="X190" s="587" t="s">
        <v>5497</v>
      </c>
      <c r="Y190" s="587" t="s">
        <v>5498</v>
      </c>
      <c r="Z190" s="587"/>
      <c r="AA190" s="727"/>
    </row>
    <row r="191" spans="1:27" ht="51" customHeight="1">
      <c r="A191" s="1167"/>
      <c r="B191" s="933" t="s">
        <v>2351</v>
      </c>
      <c r="C191" s="982" t="s">
        <v>2447</v>
      </c>
      <c r="D191" s="995" t="s">
        <v>2399</v>
      </c>
      <c r="E191" s="939"/>
      <c r="F191" s="935">
        <v>2.72</v>
      </c>
      <c r="G191" s="292"/>
      <c r="H191" s="347" t="s">
        <v>2398</v>
      </c>
      <c r="I191" s="348" t="s">
        <v>1256</v>
      </c>
      <c r="J191" s="246" t="s">
        <v>2317</v>
      </c>
      <c r="K191" s="349">
        <v>4</v>
      </c>
      <c r="L191" s="231" t="s">
        <v>5841</v>
      </c>
      <c r="M191" s="194"/>
      <c r="N191" s="1167">
        <f t="shared" si="21"/>
        <v>0</v>
      </c>
      <c r="O191" s="964" t="str">
        <f t="shared" si="27"/>
        <v>تعویض مهره های درب عقب چپ</v>
      </c>
      <c r="P191" s="965" t="str">
        <f t="shared" si="27"/>
        <v>SX5-6100-2C</v>
      </c>
      <c r="Q191" s="631" t="str">
        <f t="shared" si="20"/>
        <v>B-6106056A1</v>
      </c>
      <c r="R191" s="607" t="str">
        <f t="shared" si="26"/>
        <v>مهره نصب درب ها به بدنه</v>
      </c>
      <c r="S191" s="632">
        <f t="shared" si="26"/>
        <v>4</v>
      </c>
      <c r="T191" s="587">
        <v>22</v>
      </c>
      <c r="U191" s="587">
        <v>25</v>
      </c>
      <c r="V191" s="587">
        <v>28</v>
      </c>
      <c r="W191" s="588" t="s">
        <v>5445</v>
      </c>
      <c r="X191" s="587" t="s">
        <v>5446</v>
      </c>
      <c r="Y191" s="587" t="s">
        <v>5499</v>
      </c>
      <c r="Z191" s="587"/>
      <c r="AA191" s="728"/>
    </row>
    <row r="192" spans="1:27" ht="51" customHeight="1">
      <c r="A192" s="1167"/>
      <c r="B192" s="1220" t="s">
        <v>2351</v>
      </c>
      <c r="C192" s="1154" t="s">
        <v>2443</v>
      </c>
      <c r="D192" s="1209" t="s">
        <v>604</v>
      </c>
      <c r="E192" s="1126"/>
      <c r="F192" s="1151">
        <v>0.80678499999999997</v>
      </c>
      <c r="G192" s="952" t="s">
        <v>0</v>
      </c>
      <c r="H192" s="952" t="s">
        <v>5170</v>
      </c>
      <c r="I192" s="952" t="s">
        <v>5122</v>
      </c>
      <c r="J192" s="230" t="s">
        <v>2442</v>
      </c>
      <c r="K192" s="952">
        <v>1</v>
      </c>
      <c r="L192" s="231" t="s">
        <v>5843</v>
      </c>
      <c r="M192" s="194"/>
      <c r="N192" s="1167">
        <f t="shared" ref="N192:N237" si="28">A192</f>
        <v>0</v>
      </c>
      <c r="O192" s="1116" t="str">
        <f t="shared" si="27"/>
        <v>مونتاژ آنتن صندوق عقب</v>
      </c>
      <c r="P192" s="1117" t="str">
        <f t="shared" si="27"/>
        <v>SX5-3791-1</v>
      </c>
      <c r="Q192" s="586" t="str">
        <f t="shared" si="20"/>
        <v>SX5F-3791330</v>
      </c>
      <c r="R192" s="585" t="str">
        <f t="shared" si="26"/>
        <v>آنتن صندوق عقب</v>
      </c>
      <c r="S192" s="586">
        <f t="shared" si="26"/>
        <v>1</v>
      </c>
      <c r="T192" s="589"/>
      <c r="U192" s="589"/>
      <c r="V192" s="589"/>
      <c r="W192" s="589"/>
      <c r="X192" s="590"/>
      <c r="Y192" s="590"/>
      <c r="Z192" s="589"/>
      <c r="AA192" s="724"/>
    </row>
    <row r="193" spans="1:27" ht="51" customHeight="1" thickBot="1">
      <c r="A193" s="1168"/>
      <c r="B193" s="1239"/>
      <c r="C193" s="1186" t="s">
        <v>1248</v>
      </c>
      <c r="D193" s="1159"/>
      <c r="E193" s="1214"/>
      <c r="F193" s="1232"/>
      <c r="G193" s="953" t="s">
        <v>1</v>
      </c>
      <c r="H193" s="953" t="s">
        <v>5</v>
      </c>
      <c r="I193" s="953"/>
      <c r="J193" s="272" t="s">
        <v>1455</v>
      </c>
      <c r="K193" s="953">
        <v>2</v>
      </c>
      <c r="L193" s="250" t="s">
        <v>5817</v>
      </c>
      <c r="M193" s="194"/>
      <c r="N193" s="1168">
        <f t="shared" si="28"/>
        <v>0</v>
      </c>
      <c r="O193" s="1186"/>
      <c r="P193" s="1159"/>
      <c r="Q193" s="251" t="str">
        <f t="shared" si="20"/>
        <v>Q32006F38</v>
      </c>
      <c r="R193" s="274" t="str">
        <f t="shared" si="26"/>
        <v>مهره فلنجی</v>
      </c>
      <c r="S193" s="251">
        <f t="shared" si="26"/>
        <v>2</v>
      </c>
      <c r="T193" s="350">
        <v>2.5</v>
      </c>
      <c r="U193" s="350">
        <v>3</v>
      </c>
      <c r="V193" s="350">
        <v>3.5</v>
      </c>
      <c r="W193" s="253" t="s">
        <v>5431</v>
      </c>
      <c r="X193" s="252" t="s">
        <v>5451</v>
      </c>
      <c r="Y193" s="252" t="s">
        <v>5501</v>
      </c>
      <c r="Z193" s="283"/>
      <c r="AA193" s="285"/>
    </row>
    <row r="194" spans="1:27" ht="39.75" customHeight="1">
      <c r="A194" s="1175" t="s">
        <v>2451</v>
      </c>
      <c r="B194" s="1271" t="s">
        <v>1793</v>
      </c>
      <c r="C194" s="943" t="s">
        <v>2440</v>
      </c>
      <c r="D194" s="944" t="s">
        <v>6060</v>
      </c>
      <c r="E194" s="945"/>
      <c r="F194" s="946">
        <v>0.3</v>
      </c>
      <c r="G194" s="997" t="s">
        <v>1393</v>
      </c>
      <c r="H194" s="997" t="s">
        <v>1393</v>
      </c>
      <c r="I194" s="997"/>
      <c r="J194" s="221" t="s">
        <v>1393</v>
      </c>
      <c r="K194" s="997" t="s">
        <v>1393</v>
      </c>
      <c r="L194" s="324"/>
      <c r="M194" s="194"/>
      <c r="N194" s="1166" t="str">
        <f t="shared" si="28"/>
        <v>P17</v>
      </c>
      <c r="O194" s="943" t="str">
        <f t="shared" si="27"/>
        <v>ترک و مارک سنسور ضربه جانبی</v>
      </c>
      <c r="P194" s="944" t="str">
        <f t="shared" si="27"/>
        <v>SX5-5820-3A</v>
      </c>
      <c r="Q194" s="225" t="str">
        <f t="shared" si="20"/>
        <v>-</v>
      </c>
      <c r="R194" s="224" t="str">
        <f t="shared" si="26"/>
        <v>-</v>
      </c>
      <c r="S194" s="225" t="str">
        <f t="shared" si="26"/>
        <v>-</v>
      </c>
      <c r="T194" s="226"/>
      <c r="U194" s="226"/>
      <c r="V194" s="226"/>
      <c r="W194" s="226"/>
      <c r="X194" s="227"/>
      <c r="Y194" s="227"/>
      <c r="Z194" s="226"/>
      <c r="AA194" s="228"/>
    </row>
    <row r="195" spans="1:27" s="352" customFormat="1" ht="39.75" customHeight="1">
      <c r="A195" s="1176"/>
      <c r="B195" s="1272"/>
      <c r="C195" s="929" t="s">
        <v>2439</v>
      </c>
      <c r="D195" s="931" t="s">
        <v>6061</v>
      </c>
      <c r="E195" s="939"/>
      <c r="F195" s="935">
        <v>0.4</v>
      </c>
      <c r="G195" s="952" t="s">
        <v>717</v>
      </c>
      <c r="H195" s="952" t="s">
        <v>1393</v>
      </c>
      <c r="I195" s="952"/>
      <c r="J195" s="230" t="s">
        <v>2438</v>
      </c>
      <c r="K195" s="952">
        <v>4</v>
      </c>
      <c r="L195" s="351"/>
      <c r="M195" s="194"/>
      <c r="N195" s="1167"/>
      <c r="O195" s="914" t="str">
        <f t="shared" si="27"/>
        <v>ترک و مارک جک های گازی درب موتور</v>
      </c>
      <c r="P195" s="915" t="str">
        <f t="shared" si="27"/>
        <v>SX7-8402-2A</v>
      </c>
      <c r="Q195" s="586" t="str">
        <f t="shared" si="20"/>
        <v>-</v>
      </c>
      <c r="R195" s="585" t="str">
        <f t="shared" si="26"/>
        <v>پیچ سر کروی</v>
      </c>
      <c r="S195" s="586">
        <f t="shared" si="26"/>
        <v>4</v>
      </c>
      <c r="T195" s="587">
        <v>13</v>
      </c>
      <c r="U195" s="587">
        <v>15</v>
      </c>
      <c r="V195" s="587">
        <v>17</v>
      </c>
      <c r="W195" s="588" t="s">
        <v>5440</v>
      </c>
      <c r="X195" s="603" t="s">
        <v>5442</v>
      </c>
      <c r="Y195" s="603" t="s">
        <v>5443</v>
      </c>
      <c r="Z195" s="634"/>
      <c r="AA195" s="730"/>
    </row>
    <row r="196" spans="1:27" s="352" customFormat="1" ht="39.75" customHeight="1">
      <c r="A196" s="1176"/>
      <c r="B196" s="1272"/>
      <c r="C196" s="929" t="s">
        <v>2437</v>
      </c>
      <c r="D196" s="931" t="s">
        <v>6062</v>
      </c>
      <c r="E196" s="1017"/>
      <c r="F196" s="1003">
        <v>0.3</v>
      </c>
      <c r="G196" s="952" t="s">
        <v>1</v>
      </c>
      <c r="H196" s="229" t="s">
        <v>1393</v>
      </c>
      <c r="I196" s="229"/>
      <c r="J196" s="230" t="s">
        <v>1455</v>
      </c>
      <c r="K196" s="952">
        <v>3</v>
      </c>
      <c r="L196" s="353"/>
      <c r="M196" s="194"/>
      <c r="N196" s="1167"/>
      <c r="O196" s="914" t="str">
        <f t="shared" si="27"/>
        <v>ترک و مارک ECU ایربگ</v>
      </c>
      <c r="P196" s="915" t="str">
        <f t="shared" si="27"/>
        <v>SX5-5824-1A</v>
      </c>
      <c r="Q196" s="584" t="str">
        <f t="shared" si="20"/>
        <v>-</v>
      </c>
      <c r="R196" s="585" t="str">
        <f t="shared" si="26"/>
        <v>مهره فلنجی</v>
      </c>
      <c r="S196" s="586">
        <f t="shared" si="26"/>
        <v>3</v>
      </c>
      <c r="T196" s="587">
        <v>7</v>
      </c>
      <c r="U196" s="587">
        <v>8</v>
      </c>
      <c r="V196" s="587">
        <v>9</v>
      </c>
      <c r="W196" s="588" t="s">
        <v>5431</v>
      </c>
      <c r="X196" s="587" t="s">
        <v>5442</v>
      </c>
      <c r="Y196" s="587" t="s">
        <v>5502</v>
      </c>
      <c r="Z196" s="634"/>
      <c r="AA196" s="730"/>
    </row>
    <row r="197" spans="1:27" s="352" customFormat="1" ht="39.75" customHeight="1">
      <c r="A197" s="1176"/>
      <c r="B197" s="1272"/>
      <c r="C197" s="929" t="s">
        <v>2436</v>
      </c>
      <c r="D197" s="931" t="s">
        <v>6063</v>
      </c>
      <c r="E197" s="939"/>
      <c r="F197" s="935">
        <v>0.4</v>
      </c>
      <c r="G197" s="952" t="s">
        <v>7</v>
      </c>
      <c r="H197" s="952" t="s">
        <v>1393</v>
      </c>
      <c r="I197" s="952"/>
      <c r="J197" s="246" t="s">
        <v>1529</v>
      </c>
      <c r="K197" s="952">
        <v>8</v>
      </c>
      <c r="L197" s="351"/>
      <c r="M197" s="194"/>
      <c r="N197" s="1167"/>
      <c r="O197" s="914" t="str">
        <f t="shared" si="27"/>
        <v>ترک و مارک جک های برقی درب صندوق</v>
      </c>
      <c r="P197" s="915" t="str">
        <f t="shared" si="27"/>
        <v>SX7-6309-5A</v>
      </c>
      <c r="Q197" s="586" t="str">
        <f t="shared" si="20"/>
        <v>-</v>
      </c>
      <c r="R197" s="607" t="str">
        <f t="shared" si="26"/>
        <v xml:space="preserve">پیچ سر سوکتی شش گوش </v>
      </c>
      <c r="S197" s="586">
        <f t="shared" si="26"/>
        <v>8</v>
      </c>
      <c r="T197" s="587">
        <v>21</v>
      </c>
      <c r="U197" s="587">
        <v>23</v>
      </c>
      <c r="V197" s="587">
        <v>25</v>
      </c>
      <c r="W197" s="588" t="s">
        <v>5434</v>
      </c>
      <c r="X197" s="587" t="s">
        <v>5442</v>
      </c>
      <c r="Y197" s="603" t="s">
        <v>5503</v>
      </c>
      <c r="Z197" s="634"/>
      <c r="AA197" s="730"/>
    </row>
    <row r="198" spans="1:27" s="352" customFormat="1" ht="39.75" customHeight="1">
      <c r="A198" s="1176"/>
      <c r="B198" s="1272"/>
      <c r="C198" s="929" t="s">
        <v>2434</v>
      </c>
      <c r="D198" s="931" t="s">
        <v>6064</v>
      </c>
      <c r="E198" s="939"/>
      <c r="F198" s="1003">
        <v>0.4</v>
      </c>
      <c r="G198" s="952" t="s">
        <v>1</v>
      </c>
      <c r="H198" s="952" t="s">
        <v>1393</v>
      </c>
      <c r="I198" s="952"/>
      <c r="J198" s="230" t="s">
        <v>1587</v>
      </c>
      <c r="K198" s="952">
        <v>3</v>
      </c>
      <c r="L198" s="351"/>
      <c r="M198" s="194"/>
      <c r="N198" s="1167"/>
      <c r="O198" s="914" t="str">
        <f t="shared" si="27"/>
        <v>ترک و مارک دسته موتور راست</v>
      </c>
      <c r="P198" s="915" t="str">
        <f t="shared" si="27"/>
        <v>SX5-1001-1A</v>
      </c>
      <c r="Q198" s="586" t="str">
        <f t="shared" si="20"/>
        <v>-</v>
      </c>
      <c r="R198" s="585" t="str">
        <f t="shared" si="26"/>
        <v xml:space="preserve">پیچ فلنجی سر شش گوش </v>
      </c>
      <c r="S198" s="586">
        <f t="shared" si="26"/>
        <v>3</v>
      </c>
      <c r="T198" s="604">
        <v>50</v>
      </c>
      <c r="U198" s="604">
        <v>55</v>
      </c>
      <c r="V198" s="604">
        <v>60</v>
      </c>
      <c r="W198" s="588" t="s">
        <v>5445</v>
      </c>
      <c r="X198" s="587" t="s">
        <v>5504</v>
      </c>
      <c r="Y198" s="587" t="s">
        <v>5505</v>
      </c>
      <c r="Z198" s="634"/>
      <c r="AA198" s="730"/>
    </row>
    <row r="199" spans="1:27" s="352" customFormat="1" ht="39.75" customHeight="1">
      <c r="A199" s="1176"/>
      <c r="B199" s="1272"/>
      <c r="C199" s="929" t="s">
        <v>2433</v>
      </c>
      <c r="D199" s="931" t="s">
        <v>6065</v>
      </c>
      <c r="E199" s="939"/>
      <c r="F199" s="1003">
        <v>0.4</v>
      </c>
      <c r="G199" s="952" t="s">
        <v>1</v>
      </c>
      <c r="H199" s="952" t="s">
        <v>1393</v>
      </c>
      <c r="I199" s="952"/>
      <c r="J199" s="230" t="s">
        <v>1503</v>
      </c>
      <c r="K199" s="952">
        <v>4</v>
      </c>
      <c r="L199" s="351"/>
      <c r="M199" s="194"/>
      <c r="N199" s="1167"/>
      <c r="O199" s="914" t="str">
        <f t="shared" si="27"/>
        <v>ترک و مارک دسته موتور چپ</v>
      </c>
      <c r="P199" s="915" t="str">
        <f t="shared" si="27"/>
        <v>SX5-1001-3A</v>
      </c>
      <c r="Q199" s="586" t="str">
        <f t="shared" si="20"/>
        <v>-</v>
      </c>
      <c r="R199" s="585" t="str">
        <f t="shared" si="26"/>
        <v xml:space="preserve">پیچ فلنجی شش گوش </v>
      </c>
      <c r="S199" s="586">
        <f t="shared" si="26"/>
        <v>4</v>
      </c>
      <c r="T199" s="604">
        <v>50</v>
      </c>
      <c r="U199" s="604">
        <v>55</v>
      </c>
      <c r="V199" s="604">
        <v>60</v>
      </c>
      <c r="W199" s="588" t="s">
        <v>5445</v>
      </c>
      <c r="X199" s="587" t="s">
        <v>5504</v>
      </c>
      <c r="Y199" s="587" t="s">
        <v>5505</v>
      </c>
      <c r="Z199" s="634"/>
      <c r="AA199" s="730"/>
    </row>
    <row r="200" spans="1:27" s="352" customFormat="1" ht="39.75" customHeight="1">
      <c r="A200" s="1176"/>
      <c r="B200" s="1272"/>
      <c r="C200" s="1247" t="s">
        <v>2431</v>
      </c>
      <c r="D200" s="1248" t="s">
        <v>6066</v>
      </c>
      <c r="E200" s="1212"/>
      <c r="F200" s="1151">
        <v>0.4</v>
      </c>
      <c r="G200" s="269" t="s">
        <v>701</v>
      </c>
      <c r="H200" s="952" t="s">
        <v>1393</v>
      </c>
      <c r="I200" s="952"/>
      <c r="J200" s="230" t="s">
        <v>1499</v>
      </c>
      <c r="K200" s="952">
        <v>3</v>
      </c>
      <c r="L200" s="351"/>
      <c r="M200" s="194"/>
      <c r="N200" s="1167"/>
      <c r="O200" s="1143" t="str">
        <f t="shared" si="27"/>
        <v>ترک و مارک مجموعه قفل برقی درب صندوق</v>
      </c>
      <c r="P200" s="1144" t="str">
        <f t="shared" si="27"/>
        <v>SX7-6305-2A</v>
      </c>
      <c r="Q200" s="586" t="str">
        <f t="shared" si="20"/>
        <v>-</v>
      </c>
      <c r="R200" s="585" t="str">
        <f t="shared" si="26"/>
        <v>پیچ سر شش گوش واشردار</v>
      </c>
      <c r="S200" s="586">
        <f t="shared" si="26"/>
        <v>3</v>
      </c>
      <c r="T200" s="587">
        <v>7</v>
      </c>
      <c r="U200" s="587">
        <v>8</v>
      </c>
      <c r="V200" s="587">
        <v>9</v>
      </c>
      <c r="W200" s="588" t="s">
        <v>5431</v>
      </c>
      <c r="X200" s="587" t="s">
        <v>5442</v>
      </c>
      <c r="Y200" s="603" t="s">
        <v>5502</v>
      </c>
      <c r="Z200" s="634"/>
      <c r="AA200" s="730"/>
    </row>
    <row r="201" spans="1:27" s="352" customFormat="1" ht="39.75" customHeight="1">
      <c r="A201" s="1176"/>
      <c r="B201" s="1272"/>
      <c r="C201" s="1247"/>
      <c r="D201" s="1248"/>
      <c r="E201" s="1212"/>
      <c r="F201" s="1151"/>
      <c r="G201" s="269" t="s">
        <v>824</v>
      </c>
      <c r="H201" s="354" t="s">
        <v>1393</v>
      </c>
      <c r="I201" s="354"/>
      <c r="J201" s="230" t="s">
        <v>1587</v>
      </c>
      <c r="K201" s="952">
        <v>3</v>
      </c>
      <c r="L201" s="351"/>
      <c r="M201" s="194"/>
      <c r="N201" s="1167"/>
      <c r="O201" s="1143"/>
      <c r="P201" s="1144"/>
      <c r="Q201" s="635" t="str">
        <f t="shared" si="20"/>
        <v>-</v>
      </c>
      <c r="R201" s="585" t="str">
        <f t="shared" si="26"/>
        <v xml:space="preserve">پیچ فلنجی سر شش گوش </v>
      </c>
      <c r="S201" s="586">
        <f t="shared" si="26"/>
        <v>3</v>
      </c>
      <c r="T201" s="587">
        <v>7</v>
      </c>
      <c r="U201" s="587">
        <v>8</v>
      </c>
      <c r="V201" s="587">
        <v>9</v>
      </c>
      <c r="W201" s="588" t="s">
        <v>5431</v>
      </c>
      <c r="X201" s="587" t="s">
        <v>5442</v>
      </c>
      <c r="Y201" s="603" t="s">
        <v>5502</v>
      </c>
      <c r="Z201" s="634"/>
      <c r="AA201" s="730"/>
    </row>
    <row r="202" spans="1:27" s="352" customFormat="1" ht="39.75" customHeight="1">
      <c r="A202" s="1176"/>
      <c r="B202" s="1272"/>
      <c r="C202" s="1154" t="s">
        <v>2430</v>
      </c>
      <c r="D202" s="1209" t="s">
        <v>6067</v>
      </c>
      <c r="E202" s="1126"/>
      <c r="F202" s="1151">
        <v>0.5</v>
      </c>
      <c r="G202" s="952" t="s">
        <v>717</v>
      </c>
      <c r="H202" s="952" t="s">
        <v>1393</v>
      </c>
      <c r="I202" s="952"/>
      <c r="J202" s="230" t="s">
        <v>2429</v>
      </c>
      <c r="K202" s="952">
        <v>3</v>
      </c>
      <c r="L202" s="351"/>
      <c r="M202" s="194"/>
      <c r="N202" s="1167"/>
      <c r="O202" s="1116" t="str">
        <f t="shared" si="27"/>
        <v>ترک و مارک اتصالات سیم کشی محفظه موتور</v>
      </c>
      <c r="P202" s="1117" t="str">
        <f t="shared" si="27"/>
        <v>SX5K-4012-1A</v>
      </c>
      <c r="Q202" s="586" t="str">
        <f t="shared" ref="Q202:Q255" si="29">H202</f>
        <v>-</v>
      </c>
      <c r="R202" s="585" t="str">
        <f t="shared" si="26"/>
        <v>پیچ اتصال بدنه</v>
      </c>
      <c r="S202" s="586">
        <f t="shared" si="26"/>
        <v>3</v>
      </c>
      <c r="T202" s="587">
        <v>6</v>
      </c>
      <c r="U202" s="587">
        <v>7</v>
      </c>
      <c r="V202" s="587">
        <v>8</v>
      </c>
      <c r="W202" s="588" t="s">
        <v>5431</v>
      </c>
      <c r="X202" s="587" t="s">
        <v>5442</v>
      </c>
      <c r="Y202" s="587" t="s">
        <v>5502</v>
      </c>
      <c r="Z202" s="634"/>
      <c r="AA202" s="730"/>
    </row>
    <row r="203" spans="1:27" s="352" customFormat="1" ht="39.75" customHeight="1">
      <c r="A203" s="1176"/>
      <c r="B203" s="1272"/>
      <c r="C203" s="1154"/>
      <c r="D203" s="1209"/>
      <c r="E203" s="1126"/>
      <c r="F203" s="1151"/>
      <c r="G203" s="952" t="s">
        <v>7</v>
      </c>
      <c r="H203" s="952" t="s">
        <v>1393</v>
      </c>
      <c r="I203" s="952"/>
      <c r="J203" s="230" t="s">
        <v>1247</v>
      </c>
      <c r="K203" s="952">
        <v>2</v>
      </c>
      <c r="L203" s="351"/>
      <c r="M203" s="194"/>
      <c r="N203" s="1167"/>
      <c r="O203" s="1116"/>
      <c r="P203" s="1117"/>
      <c r="Q203" s="586" t="str">
        <f t="shared" si="29"/>
        <v>-</v>
      </c>
      <c r="R203" s="585" t="str">
        <f t="shared" si="26"/>
        <v>پیچ فلنجی سر شش گوش</v>
      </c>
      <c r="S203" s="586">
        <f t="shared" si="26"/>
        <v>2</v>
      </c>
      <c r="T203" s="587">
        <v>6</v>
      </c>
      <c r="U203" s="587">
        <v>7</v>
      </c>
      <c r="V203" s="587">
        <v>8</v>
      </c>
      <c r="W203" s="588" t="s">
        <v>5459</v>
      </c>
      <c r="X203" s="587" t="s">
        <v>5442</v>
      </c>
      <c r="Y203" s="587" t="s">
        <v>5502</v>
      </c>
      <c r="Z203" s="634"/>
      <c r="AA203" s="730"/>
    </row>
    <row r="204" spans="1:27" s="352" customFormat="1" ht="39.75" customHeight="1">
      <c r="A204" s="1176"/>
      <c r="B204" s="1272"/>
      <c r="C204" s="1154"/>
      <c r="D204" s="1209"/>
      <c r="E204" s="1126"/>
      <c r="F204" s="1151"/>
      <c r="G204" s="952" t="s">
        <v>9</v>
      </c>
      <c r="H204" s="952" t="s">
        <v>1393</v>
      </c>
      <c r="I204" s="952"/>
      <c r="J204" s="230" t="s">
        <v>1247</v>
      </c>
      <c r="K204" s="952">
        <v>1</v>
      </c>
      <c r="L204" s="351"/>
      <c r="M204" s="194"/>
      <c r="N204" s="1167"/>
      <c r="O204" s="1116"/>
      <c r="P204" s="1117"/>
      <c r="Q204" s="586" t="str">
        <f t="shared" si="29"/>
        <v>-</v>
      </c>
      <c r="R204" s="585" t="str">
        <f t="shared" si="26"/>
        <v>پیچ فلنجی سر شش گوش</v>
      </c>
      <c r="S204" s="586">
        <f t="shared" si="26"/>
        <v>1</v>
      </c>
      <c r="T204" s="587">
        <v>6</v>
      </c>
      <c r="U204" s="587">
        <v>7</v>
      </c>
      <c r="V204" s="587">
        <v>8</v>
      </c>
      <c r="W204" s="588" t="s">
        <v>5459</v>
      </c>
      <c r="X204" s="587" t="s">
        <v>5442</v>
      </c>
      <c r="Y204" s="587" t="s">
        <v>5502</v>
      </c>
      <c r="Z204" s="634"/>
      <c r="AA204" s="730"/>
    </row>
    <row r="205" spans="1:27" s="352" customFormat="1" ht="39.75" customHeight="1">
      <c r="A205" s="1176"/>
      <c r="B205" s="1272"/>
      <c r="C205" s="1154"/>
      <c r="D205" s="1209"/>
      <c r="E205" s="1126"/>
      <c r="F205" s="1151"/>
      <c r="G205" s="952" t="s">
        <v>10</v>
      </c>
      <c r="H205" s="297" t="s">
        <v>1393</v>
      </c>
      <c r="I205" s="297"/>
      <c r="J205" s="230" t="s">
        <v>1455</v>
      </c>
      <c r="K205" s="952">
        <v>1</v>
      </c>
      <c r="L205" s="351"/>
      <c r="M205" s="194"/>
      <c r="N205" s="1167"/>
      <c r="O205" s="1116"/>
      <c r="P205" s="1117"/>
      <c r="Q205" s="613" t="str">
        <f t="shared" si="29"/>
        <v>-</v>
      </c>
      <c r="R205" s="585" t="str">
        <f t="shared" si="26"/>
        <v>مهره فلنجی</v>
      </c>
      <c r="S205" s="586">
        <f t="shared" si="26"/>
        <v>1</v>
      </c>
      <c r="T205" s="587">
        <v>6</v>
      </c>
      <c r="U205" s="587">
        <v>7</v>
      </c>
      <c r="V205" s="587">
        <v>8</v>
      </c>
      <c r="W205" s="588" t="s">
        <v>5459</v>
      </c>
      <c r="X205" s="587" t="s">
        <v>5442</v>
      </c>
      <c r="Y205" s="587" t="s">
        <v>5502</v>
      </c>
      <c r="Z205" s="634"/>
      <c r="AA205" s="730"/>
    </row>
    <row r="206" spans="1:27" s="352" customFormat="1" ht="31.5" customHeight="1">
      <c r="A206" s="1176"/>
      <c r="B206" s="1272"/>
      <c r="C206" s="982" t="s">
        <v>2428</v>
      </c>
      <c r="D206" s="995" t="s">
        <v>6074</v>
      </c>
      <c r="E206" s="1017"/>
      <c r="F206" s="935">
        <v>1.7538</v>
      </c>
      <c r="G206" s="292" t="s">
        <v>1371</v>
      </c>
      <c r="H206" s="348" t="s">
        <v>1393</v>
      </c>
      <c r="I206" s="348"/>
      <c r="J206" s="291" t="s">
        <v>1411</v>
      </c>
      <c r="K206" s="292" t="s">
        <v>1371</v>
      </c>
      <c r="L206" s="355"/>
      <c r="M206" s="194"/>
      <c r="N206" s="1167"/>
      <c r="O206" s="964" t="str">
        <f t="shared" si="27"/>
        <v>کنترل و به گشتاور رساندن کمربند ایمنی جلو و عقب</v>
      </c>
      <c r="P206" s="965" t="str">
        <f>D206</f>
        <v>SX5-5810-15A</v>
      </c>
      <c r="Q206" s="636" t="str">
        <f t="shared" si="29"/>
        <v>-</v>
      </c>
      <c r="R206" s="610" t="str">
        <f t="shared" si="26"/>
        <v>-------</v>
      </c>
      <c r="S206" s="611" t="str">
        <f t="shared" si="26"/>
        <v>---</v>
      </c>
      <c r="T206" s="587" t="s">
        <v>5469</v>
      </c>
      <c r="U206" s="587" t="s">
        <v>5470</v>
      </c>
      <c r="V206" s="587" t="s">
        <v>5471</v>
      </c>
      <c r="W206" s="588" t="s">
        <v>5472</v>
      </c>
      <c r="X206" s="587" t="s">
        <v>5506</v>
      </c>
      <c r="Y206" s="616" t="s">
        <v>5507</v>
      </c>
      <c r="Z206" s="634"/>
      <c r="AA206" s="730"/>
    </row>
    <row r="207" spans="1:27" ht="39.75" customHeight="1">
      <c r="A207" s="1176"/>
      <c r="B207" s="1272"/>
      <c r="C207" s="1154" t="s">
        <v>2427</v>
      </c>
      <c r="D207" s="1209" t="s">
        <v>6068</v>
      </c>
      <c r="E207" s="1126" t="s">
        <v>4973</v>
      </c>
      <c r="F207" s="1216">
        <v>1.2215549999999999</v>
      </c>
      <c r="G207" s="952" t="s">
        <v>0</v>
      </c>
      <c r="H207" s="952" t="s">
        <v>1393</v>
      </c>
      <c r="I207" s="952"/>
      <c r="J207" s="230" t="s">
        <v>2426</v>
      </c>
      <c r="K207" s="952">
        <v>1</v>
      </c>
      <c r="L207" s="236"/>
      <c r="M207" s="194"/>
      <c r="N207" s="1167"/>
      <c r="O207" s="1116" t="str">
        <f t="shared" si="27"/>
        <v>ترک و مارک زبانه قفل درب صندوق</v>
      </c>
      <c r="P207" s="1117" t="str">
        <f t="shared" si="27"/>
        <v>SX7-6305-1A</v>
      </c>
      <c r="Q207" s="586" t="str">
        <f t="shared" si="29"/>
        <v>-</v>
      </c>
      <c r="R207" s="585" t="str">
        <f t="shared" si="26"/>
        <v>مجموعه زبانه درب صندوق عقب</v>
      </c>
      <c r="S207" s="586">
        <f t="shared" si="26"/>
        <v>1</v>
      </c>
      <c r="T207" s="589"/>
      <c r="U207" s="589"/>
      <c r="V207" s="589"/>
      <c r="W207" s="589"/>
      <c r="X207" s="590"/>
      <c r="Y207" s="590"/>
      <c r="Z207" s="589"/>
      <c r="AA207" s="724"/>
    </row>
    <row r="208" spans="1:27" ht="33.75" customHeight="1">
      <c r="A208" s="1176"/>
      <c r="B208" s="1272"/>
      <c r="C208" s="1154" t="s">
        <v>1248</v>
      </c>
      <c r="D208" s="1209"/>
      <c r="E208" s="1126"/>
      <c r="F208" s="1216"/>
      <c r="G208" s="952" t="s">
        <v>1</v>
      </c>
      <c r="H208" s="952" t="s">
        <v>1393</v>
      </c>
      <c r="I208" s="952"/>
      <c r="J208" s="230" t="s">
        <v>1503</v>
      </c>
      <c r="K208" s="952">
        <v>2</v>
      </c>
      <c r="L208" s="236"/>
      <c r="M208" s="194"/>
      <c r="N208" s="1167"/>
      <c r="O208" s="1116"/>
      <c r="P208" s="1117"/>
      <c r="Q208" s="586" t="str">
        <f t="shared" si="29"/>
        <v>-</v>
      </c>
      <c r="R208" s="585" t="str">
        <f t="shared" si="26"/>
        <v xml:space="preserve">پیچ فلنجی شش گوش </v>
      </c>
      <c r="S208" s="586">
        <f t="shared" si="26"/>
        <v>2</v>
      </c>
      <c r="T208" s="592">
        <v>18</v>
      </c>
      <c r="U208" s="592">
        <v>20</v>
      </c>
      <c r="V208" s="592">
        <v>22</v>
      </c>
      <c r="W208" s="588" t="s">
        <v>5445</v>
      </c>
      <c r="X208" s="587" t="s">
        <v>5448</v>
      </c>
      <c r="Y208" s="587" t="s">
        <v>5508</v>
      </c>
      <c r="Z208" s="589"/>
      <c r="AA208" s="724"/>
    </row>
    <row r="209" spans="1:34" s="352" customFormat="1" ht="26.25" customHeight="1">
      <c r="A209" s="1176"/>
      <c r="B209" s="1272"/>
      <c r="C209" s="1154" t="s">
        <v>2425</v>
      </c>
      <c r="D209" s="1209" t="s">
        <v>6073</v>
      </c>
      <c r="E209" s="1126"/>
      <c r="F209" s="1216">
        <v>1.2074050000000001</v>
      </c>
      <c r="G209" s="952" t="s">
        <v>0</v>
      </c>
      <c r="H209" s="952" t="s">
        <v>1393</v>
      </c>
      <c r="I209" s="952"/>
      <c r="J209" s="230" t="s">
        <v>2424</v>
      </c>
      <c r="K209" s="952">
        <v>1</v>
      </c>
      <c r="L209" s="351"/>
      <c r="M209" s="194"/>
      <c r="N209" s="1167"/>
      <c r="O209" s="1116" t="str">
        <f t="shared" si="27"/>
        <v>ترک و مارک پدال گاز</v>
      </c>
      <c r="P209" s="1117" t="str">
        <f>D209</f>
        <v>SX5-1108-1A</v>
      </c>
      <c r="Q209" s="586" t="str">
        <f t="shared" si="29"/>
        <v>-</v>
      </c>
      <c r="R209" s="585" t="str">
        <f t="shared" si="26"/>
        <v>مجموعه پدال گاز الکترونیکی</v>
      </c>
      <c r="S209" s="586">
        <f t="shared" si="26"/>
        <v>1</v>
      </c>
      <c r="T209" s="634"/>
      <c r="U209" s="634"/>
      <c r="V209" s="634"/>
      <c r="W209" s="634"/>
      <c r="X209" s="637"/>
      <c r="Y209" s="637"/>
      <c r="Z209" s="634"/>
      <c r="AA209" s="730"/>
    </row>
    <row r="210" spans="1:34" s="352" customFormat="1" ht="21" customHeight="1">
      <c r="A210" s="1176"/>
      <c r="B210" s="1272"/>
      <c r="C210" s="1154" t="s">
        <v>1248</v>
      </c>
      <c r="D210" s="1209"/>
      <c r="E210" s="1126"/>
      <c r="F210" s="1216"/>
      <c r="G210" s="952" t="s">
        <v>1</v>
      </c>
      <c r="H210" s="277" t="s">
        <v>1393</v>
      </c>
      <c r="I210" s="277"/>
      <c r="J210" s="230" t="s">
        <v>1587</v>
      </c>
      <c r="K210" s="952">
        <v>3</v>
      </c>
      <c r="L210" s="351"/>
      <c r="M210" s="194"/>
      <c r="N210" s="1167"/>
      <c r="O210" s="1116"/>
      <c r="P210" s="1117"/>
      <c r="Q210" s="608" t="str">
        <f t="shared" si="29"/>
        <v>-</v>
      </c>
      <c r="R210" s="585" t="str">
        <f t="shared" si="26"/>
        <v xml:space="preserve">پیچ فلنجی سر شش گوش </v>
      </c>
      <c r="S210" s="586">
        <f t="shared" si="26"/>
        <v>3</v>
      </c>
      <c r="T210" s="587">
        <v>7</v>
      </c>
      <c r="U210" s="587">
        <v>8</v>
      </c>
      <c r="V210" s="587">
        <v>9</v>
      </c>
      <c r="W210" s="588" t="s">
        <v>5431</v>
      </c>
      <c r="X210" s="637" t="s">
        <v>5442</v>
      </c>
      <c r="Y210" s="637" t="s">
        <v>5502</v>
      </c>
      <c r="Z210" s="634"/>
      <c r="AA210" s="730"/>
    </row>
    <row r="211" spans="1:34" s="352" customFormat="1" ht="39.75" customHeight="1">
      <c r="A211" s="1176"/>
      <c r="B211" s="1272"/>
      <c r="C211" s="929" t="s">
        <v>2423</v>
      </c>
      <c r="D211" s="931" t="s">
        <v>6069</v>
      </c>
      <c r="E211" s="939"/>
      <c r="F211" s="1003">
        <v>0.770471666666667</v>
      </c>
      <c r="G211" s="952" t="s">
        <v>0</v>
      </c>
      <c r="H211" s="952" t="s">
        <v>1393</v>
      </c>
      <c r="I211" s="952"/>
      <c r="J211" s="230" t="s">
        <v>2422</v>
      </c>
      <c r="K211" s="952">
        <v>1</v>
      </c>
      <c r="L211" s="351"/>
      <c r="M211" s="194"/>
      <c r="N211" s="1167"/>
      <c r="O211" s="914" t="str">
        <f t="shared" si="27"/>
        <v>ترک و مارک بوستر ترمز</v>
      </c>
      <c r="P211" s="915" t="str">
        <f t="shared" si="27"/>
        <v>SX5-3540-2A</v>
      </c>
      <c r="Q211" s="586" t="str">
        <f t="shared" si="29"/>
        <v>-</v>
      </c>
      <c r="R211" s="585" t="str">
        <f t="shared" si="26"/>
        <v>مجموعه بوستر ترمز</v>
      </c>
      <c r="S211" s="586">
        <f t="shared" si="26"/>
        <v>1</v>
      </c>
      <c r="T211" s="634"/>
      <c r="U211" s="634"/>
      <c r="V211" s="634"/>
      <c r="W211" s="634"/>
      <c r="X211" s="637"/>
      <c r="Y211" s="637"/>
      <c r="Z211" s="634"/>
      <c r="AA211" s="730"/>
    </row>
    <row r="212" spans="1:34" s="352" customFormat="1" ht="39.75" customHeight="1">
      <c r="A212" s="1176"/>
      <c r="B212" s="1272"/>
      <c r="C212" s="929" t="s">
        <v>2421</v>
      </c>
      <c r="D212" s="931" t="s">
        <v>6070</v>
      </c>
      <c r="E212" s="939"/>
      <c r="F212" s="1003">
        <v>0.4</v>
      </c>
      <c r="G212" s="952" t="s">
        <v>1</v>
      </c>
      <c r="H212" s="952" t="s">
        <v>1393</v>
      </c>
      <c r="I212" s="952"/>
      <c r="J212" s="230" t="s">
        <v>1455</v>
      </c>
      <c r="K212" s="952">
        <v>6</v>
      </c>
      <c r="L212" s="351"/>
      <c r="M212" s="194"/>
      <c r="N212" s="1167"/>
      <c r="O212" s="914" t="str">
        <f t="shared" si="27"/>
        <v>ترک و مارک براکت مدولاتور</v>
      </c>
      <c r="P212" s="915" t="str">
        <f t="shared" si="27"/>
        <v>SX5-3550-6A</v>
      </c>
      <c r="Q212" s="586" t="str">
        <f t="shared" si="29"/>
        <v>-</v>
      </c>
      <c r="R212" s="585" t="str">
        <f t="shared" si="26"/>
        <v>مهره فلنجی</v>
      </c>
      <c r="S212" s="586">
        <f t="shared" si="26"/>
        <v>6</v>
      </c>
      <c r="T212" s="587">
        <v>6</v>
      </c>
      <c r="U212" s="587">
        <v>8</v>
      </c>
      <c r="V212" s="587">
        <v>10</v>
      </c>
      <c r="W212" s="588" t="s">
        <v>5509</v>
      </c>
      <c r="X212" s="587" t="s">
        <v>5442</v>
      </c>
      <c r="Y212" s="587" t="s">
        <v>5502</v>
      </c>
      <c r="Z212" s="634"/>
      <c r="AA212" s="730"/>
    </row>
    <row r="213" spans="1:34" s="352" customFormat="1" ht="39.75" customHeight="1">
      <c r="A213" s="1176"/>
      <c r="B213" s="1272"/>
      <c r="C213" s="926" t="s">
        <v>2420</v>
      </c>
      <c r="D213" s="927" t="s">
        <v>6071</v>
      </c>
      <c r="E213" s="928"/>
      <c r="F213" s="1022">
        <v>0.6</v>
      </c>
      <c r="G213" s="975" t="s">
        <v>1</v>
      </c>
      <c r="H213" s="975" t="s">
        <v>1393</v>
      </c>
      <c r="I213" s="975"/>
      <c r="J213" s="241" t="s">
        <v>1455</v>
      </c>
      <c r="K213" s="952">
        <v>6</v>
      </c>
      <c r="L213" s="351"/>
      <c r="M213" s="194"/>
      <c r="N213" s="1167"/>
      <c r="O213" s="914" t="str">
        <f t="shared" si="27"/>
        <v>ترک و مارک پدال ترمز</v>
      </c>
      <c r="P213" s="915" t="str">
        <f t="shared" si="27"/>
        <v>SX5-3500-1A</v>
      </c>
      <c r="Q213" s="586" t="str">
        <f t="shared" si="29"/>
        <v>-</v>
      </c>
      <c r="R213" s="585" t="str">
        <f t="shared" si="26"/>
        <v>مهره فلنجی</v>
      </c>
      <c r="S213" s="586">
        <f t="shared" si="26"/>
        <v>6</v>
      </c>
      <c r="T213" s="587">
        <v>22</v>
      </c>
      <c r="U213" s="587">
        <v>24</v>
      </c>
      <c r="V213" s="587">
        <v>26</v>
      </c>
      <c r="W213" s="588" t="s">
        <v>5445</v>
      </c>
      <c r="X213" s="587" t="s">
        <v>5442</v>
      </c>
      <c r="Y213" s="587" t="s">
        <v>5510</v>
      </c>
      <c r="Z213" s="634"/>
      <c r="AA213" s="730"/>
    </row>
    <row r="214" spans="1:34" s="358" customFormat="1" ht="39.75" customHeight="1" thickBot="1">
      <c r="A214" s="1236"/>
      <c r="B214" s="1273"/>
      <c r="C214" s="930" t="s">
        <v>2419</v>
      </c>
      <c r="D214" s="932" t="s">
        <v>6072</v>
      </c>
      <c r="E214" s="942"/>
      <c r="F214" s="1026">
        <v>0.2</v>
      </c>
      <c r="G214" s="953" t="s">
        <v>0</v>
      </c>
      <c r="H214" s="953" t="s">
        <v>1393</v>
      </c>
      <c r="I214" s="953" t="s">
        <v>1393</v>
      </c>
      <c r="J214" s="272" t="s">
        <v>2418</v>
      </c>
      <c r="K214" s="1008"/>
      <c r="L214" s="356"/>
      <c r="M214" s="194"/>
      <c r="N214" s="1168"/>
      <c r="O214" s="930" t="s">
        <v>2419</v>
      </c>
      <c r="P214" s="932" t="str">
        <f>D214</f>
        <v>SX5-1230-01A</v>
      </c>
      <c r="Q214" s="251" t="str">
        <f t="shared" si="29"/>
        <v>-</v>
      </c>
      <c r="R214" s="274" t="str">
        <f t="shared" si="26"/>
        <v>پیچ های اتصال ستون به بدنه</v>
      </c>
      <c r="S214" s="251"/>
      <c r="T214" s="252">
        <v>26</v>
      </c>
      <c r="U214" s="252">
        <v>28</v>
      </c>
      <c r="V214" s="252">
        <v>30</v>
      </c>
      <c r="W214" s="253" t="s">
        <v>5445</v>
      </c>
      <c r="X214" s="252" t="s">
        <v>5511</v>
      </c>
      <c r="Y214" s="252" t="s">
        <v>5512</v>
      </c>
      <c r="Z214" s="252"/>
      <c r="AA214" s="357"/>
      <c r="AB214" s="352"/>
      <c r="AC214" s="352"/>
      <c r="AD214" s="352"/>
      <c r="AE214" s="352"/>
      <c r="AF214" s="352"/>
      <c r="AG214" s="352"/>
      <c r="AH214" s="352"/>
    </row>
    <row r="215" spans="1:34" ht="48.75" customHeight="1">
      <c r="A215" s="1175" t="s">
        <v>2441</v>
      </c>
      <c r="B215" s="1218" t="s">
        <v>2351</v>
      </c>
      <c r="C215" s="1215" t="s">
        <v>2494</v>
      </c>
      <c r="D215" s="1211" t="s">
        <v>30</v>
      </c>
      <c r="E215" s="1219" t="s">
        <v>4973</v>
      </c>
      <c r="F215" s="1218">
        <v>5.32</v>
      </c>
      <c r="G215" s="997" t="s">
        <v>0</v>
      </c>
      <c r="H215" s="997" t="s">
        <v>5212</v>
      </c>
      <c r="I215" s="997" t="s">
        <v>5079</v>
      </c>
      <c r="J215" s="221" t="s">
        <v>2493</v>
      </c>
      <c r="K215" s="997">
        <v>1</v>
      </c>
      <c r="L215" s="222" t="s">
        <v>5844</v>
      </c>
      <c r="M215" s="194"/>
      <c r="N215" s="1166" t="str">
        <f>A215</f>
        <v>P18</v>
      </c>
      <c r="O215" s="1169" t="str">
        <f>C215</f>
        <v>پیش مونتاژ مدولاتور ترمز</v>
      </c>
      <c r="P215" s="1142" t="str">
        <f>D215</f>
        <v>SX5-3550-2</v>
      </c>
      <c r="Q215" s="225" t="str">
        <f t="shared" si="29"/>
        <v>SX5G-3550310D</v>
      </c>
      <c r="R215" s="224" t="str">
        <f t="shared" si="26"/>
        <v>مجموعه مدولاتور ترمز ESP</v>
      </c>
      <c r="S215" s="225">
        <f t="shared" si="26"/>
        <v>1</v>
      </c>
      <c r="T215" s="226"/>
      <c r="U215" s="226"/>
      <c r="V215" s="226"/>
      <c r="W215" s="226"/>
      <c r="X215" s="227"/>
      <c r="Y215" s="227"/>
      <c r="Z215" s="226"/>
      <c r="AA215" s="228"/>
    </row>
    <row r="216" spans="1:34" ht="48.75" customHeight="1">
      <c r="A216" s="1176"/>
      <c r="B216" s="1227"/>
      <c r="C216" s="1201"/>
      <c r="D216" s="1202"/>
      <c r="E216" s="1165"/>
      <c r="F216" s="1227"/>
      <c r="G216" s="952" t="s">
        <v>1</v>
      </c>
      <c r="H216" s="952" t="s">
        <v>5202</v>
      </c>
      <c r="I216" s="952" t="s">
        <v>5081</v>
      </c>
      <c r="J216" s="230" t="s">
        <v>2492</v>
      </c>
      <c r="K216" s="952">
        <v>1</v>
      </c>
      <c r="L216" s="231" t="s">
        <v>5844</v>
      </c>
      <c r="M216" s="194"/>
      <c r="N216" s="1167"/>
      <c r="O216" s="1116"/>
      <c r="P216" s="1117"/>
      <c r="Q216" s="586" t="str">
        <f t="shared" si="29"/>
        <v>SX5-3506250</v>
      </c>
      <c r="R216" s="585" t="str">
        <f t="shared" si="26"/>
        <v>بخش جلویی لوله ترمز عقب - چپ</v>
      </c>
      <c r="S216" s="586">
        <f t="shared" si="26"/>
        <v>1</v>
      </c>
      <c r="T216" s="589"/>
      <c r="U216" s="589"/>
      <c r="V216" s="589"/>
      <c r="W216" s="589"/>
      <c r="X216" s="590"/>
      <c r="Y216" s="590"/>
      <c r="Z216" s="589"/>
      <c r="AA216" s="724"/>
    </row>
    <row r="217" spans="1:34" ht="48.75" customHeight="1">
      <c r="A217" s="1176"/>
      <c r="B217" s="1227"/>
      <c r="C217" s="1201"/>
      <c r="D217" s="1202"/>
      <c r="E217" s="1165"/>
      <c r="F217" s="1227"/>
      <c r="G217" s="952" t="s">
        <v>2</v>
      </c>
      <c r="H217" s="952" t="s">
        <v>5082</v>
      </c>
      <c r="I217" s="952"/>
      <c r="J217" s="230" t="s">
        <v>2491</v>
      </c>
      <c r="K217" s="952">
        <v>1</v>
      </c>
      <c r="L217" s="231" t="s">
        <v>5844</v>
      </c>
      <c r="M217" s="194"/>
      <c r="N217" s="1167"/>
      <c r="O217" s="1116"/>
      <c r="P217" s="1117"/>
      <c r="Q217" s="586" t="str">
        <f t="shared" si="29"/>
        <v>SX7-3506020A</v>
      </c>
      <c r="R217" s="585" t="str">
        <f t="shared" si="26"/>
        <v>لوله ترمز ESP  جلو - راست</v>
      </c>
      <c r="S217" s="586">
        <f t="shared" si="26"/>
        <v>1</v>
      </c>
      <c r="T217" s="592">
        <v>15</v>
      </c>
      <c r="U217" s="592">
        <v>16</v>
      </c>
      <c r="V217" s="592">
        <v>17</v>
      </c>
      <c r="W217" s="638" t="s">
        <v>5513</v>
      </c>
      <c r="X217" s="592" t="s">
        <v>5514</v>
      </c>
      <c r="Y217" s="592" t="s">
        <v>5515</v>
      </c>
      <c r="Z217" s="589"/>
      <c r="AA217" s="724"/>
    </row>
    <row r="218" spans="1:34" ht="48.75" customHeight="1">
      <c r="A218" s="1176"/>
      <c r="B218" s="1227"/>
      <c r="C218" s="1201"/>
      <c r="D218" s="1202"/>
      <c r="E218" s="1165"/>
      <c r="F218" s="1227"/>
      <c r="G218" s="952" t="s">
        <v>7</v>
      </c>
      <c r="H218" s="952" t="s">
        <v>31</v>
      </c>
      <c r="I218" s="952"/>
      <c r="J218" s="230" t="s">
        <v>2490</v>
      </c>
      <c r="K218" s="952">
        <v>1</v>
      </c>
      <c r="L218" s="231" t="s">
        <v>5830</v>
      </c>
      <c r="M218" s="194"/>
      <c r="N218" s="1167"/>
      <c r="O218" s="1116"/>
      <c r="P218" s="1117"/>
      <c r="Q218" s="586" t="str">
        <f t="shared" si="29"/>
        <v>SX5-3506210</v>
      </c>
      <c r="R218" s="585" t="str">
        <f t="shared" si="26"/>
        <v>لوله ترمز ESP  جلو - چپ</v>
      </c>
      <c r="S218" s="586">
        <f t="shared" si="26"/>
        <v>1</v>
      </c>
      <c r="T218" s="592">
        <v>15</v>
      </c>
      <c r="U218" s="592">
        <v>16</v>
      </c>
      <c r="V218" s="592">
        <v>17</v>
      </c>
      <c r="W218" s="638" t="s">
        <v>5513</v>
      </c>
      <c r="X218" s="592" t="s">
        <v>5514</v>
      </c>
      <c r="Y218" s="592" t="s">
        <v>5515</v>
      </c>
      <c r="Z218" s="589"/>
      <c r="AA218" s="724"/>
    </row>
    <row r="219" spans="1:34" ht="48.75" customHeight="1">
      <c r="A219" s="1176"/>
      <c r="B219" s="1227"/>
      <c r="C219" s="1201"/>
      <c r="D219" s="1202"/>
      <c r="E219" s="1165"/>
      <c r="F219" s="1227"/>
      <c r="G219" s="952" t="s">
        <v>9</v>
      </c>
      <c r="H219" s="952" t="s">
        <v>5203</v>
      </c>
      <c r="I219" s="952" t="s">
        <v>5143</v>
      </c>
      <c r="J219" s="230" t="s">
        <v>2489</v>
      </c>
      <c r="K219" s="952">
        <v>1</v>
      </c>
      <c r="L219" s="231" t="s">
        <v>5844</v>
      </c>
      <c r="M219" s="194"/>
      <c r="N219" s="1167"/>
      <c r="O219" s="1116"/>
      <c r="P219" s="1117"/>
      <c r="Q219" s="586" t="str">
        <f t="shared" si="29"/>
        <v>SX5-3506260</v>
      </c>
      <c r="R219" s="585" t="str">
        <f t="shared" si="26"/>
        <v>بخش جلویی لوله ترمز عقب - راست</v>
      </c>
      <c r="S219" s="586">
        <f t="shared" si="26"/>
        <v>1</v>
      </c>
      <c r="T219" s="589"/>
      <c r="U219" s="589"/>
      <c r="V219" s="589"/>
      <c r="W219" s="589"/>
      <c r="X219" s="590"/>
      <c r="Y219" s="590"/>
      <c r="Z219" s="589"/>
      <c r="AA219" s="724"/>
    </row>
    <row r="220" spans="1:34" ht="48.75" customHeight="1">
      <c r="A220" s="1176"/>
      <c r="B220" s="1227"/>
      <c r="C220" s="1201"/>
      <c r="D220" s="1202"/>
      <c r="E220" s="1165"/>
      <c r="F220" s="1227"/>
      <c r="G220" s="952" t="s">
        <v>10</v>
      </c>
      <c r="H220" s="952" t="s">
        <v>2488</v>
      </c>
      <c r="I220" s="952"/>
      <c r="J220" s="230" t="s">
        <v>1984</v>
      </c>
      <c r="K220" s="952">
        <v>4</v>
      </c>
      <c r="L220" s="231" t="s">
        <v>5839</v>
      </c>
      <c r="M220" s="194"/>
      <c r="N220" s="1167"/>
      <c r="O220" s="1116"/>
      <c r="P220" s="1117"/>
      <c r="Q220" s="586" t="str">
        <f t="shared" si="29"/>
        <v>35MA-06086</v>
      </c>
      <c r="R220" s="585" t="str">
        <f t="shared" si="26"/>
        <v>بست لوله سه خانه</v>
      </c>
      <c r="S220" s="586">
        <f t="shared" si="26"/>
        <v>4</v>
      </c>
      <c r="T220" s="589"/>
      <c r="U220" s="589"/>
      <c r="V220" s="589"/>
      <c r="W220" s="589"/>
      <c r="X220" s="590"/>
      <c r="Y220" s="590"/>
      <c r="Z220" s="589"/>
      <c r="AA220" s="724"/>
    </row>
    <row r="221" spans="1:34" ht="48.75" customHeight="1">
      <c r="A221" s="1176"/>
      <c r="B221" s="1227"/>
      <c r="C221" s="1201"/>
      <c r="D221" s="1202"/>
      <c r="E221" s="1165"/>
      <c r="F221" s="1227"/>
      <c r="G221" s="952" t="s">
        <v>24</v>
      </c>
      <c r="H221" s="952" t="s">
        <v>33</v>
      </c>
      <c r="I221" s="952"/>
      <c r="J221" s="230" t="s">
        <v>2487</v>
      </c>
      <c r="K221" s="952">
        <v>1</v>
      </c>
      <c r="L221" s="231" t="s">
        <v>5839</v>
      </c>
      <c r="M221" s="194"/>
      <c r="N221" s="1167"/>
      <c r="O221" s="1116"/>
      <c r="P221" s="1117"/>
      <c r="Q221" s="586" t="str">
        <f t="shared" si="29"/>
        <v>BL686</v>
      </c>
      <c r="R221" s="585" t="str">
        <f t="shared" si="26"/>
        <v xml:space="preserve">بست لوله پیچی چهار خانه </v>
      </c>
      <c r="S221" s="586">
        <f t="shared" si="26"/>
        <v>1</v>
      </c>
      <c r="T221" s="589"/>
      <c r="U221" s="589"/>
      <c r="V221" s="589"/>
      <c r="W221" s="589"/>
      <c r="X221" s="590"/>
      <c r="Y221" s="590"/>
      <c r="Z221" s="589"/>
      <c r="AA221" s="724"/>
    </row>
    <row r="222" spans="1:34" ht="48.75" customHeight="1">
      <c r="A222" s="1176"/>
      <c r="B222" s="1227"/>
      <c r="C222" s="1201"/>
      <c r="D222" s="1202"/>
      <c r="E222" s="1165"/>
      <c r="F222" s="1227"/>
      <c r="G222" s="952" t="s">
        <v>25</v>
      </c>
      <c r="H222" s="952" t="s">
        <v>34</v>
      </c>
      <c r="I222" s="952"/>
      <c r="J222" s="230" t="s">
        <v>2486</v>
      </c>
      <c r="K222" s="952">
        <v>1</v>
      </c>
      <c r="L222" s="231" t="s">
        <v>5839</v>
      </c>
      <c r="M222" s="194"/>
      <c r="N222" s="1167"/>
      <c r="O222" s="1116"/>
      <c r="P222" s="1117"/>
      <c r="Q222" s="586" t="str">
        <f t="shared" si="29"/>
        <v>B-3506103</v>
      </c>
      <c r="R222" s="585" t="str">
        <f t="shared" si="26"/>
        <v>بست لوله پیچی سه خانه</v>
      </c>
      <c r="S222" s="586">
        <f t="shared" si="26"/>
        <v>1</v>
      </c>
      <c r="T222" s="589"/>
      <c r="U222" s="589"/>
      <c r="V222" s="589"/>
      <c r="W222" s="589"/>
      <c r="X222" s="590"/>
      <c r="Y222" s="590"/>
      <c r="Z222" s="589"/>
      <c r="AA222" s="724"/>
    </row>
    <row r="223" spans="1:34" ht="48.75" customHeight="1">
      <c r="A223" s="1176"/>
      <c r="B223" s="1227"/>
      <c r="C223" s="1201"/>
      <c r="D223" s="1202"/>
      <c r="E223" s="1165"/>
      <c r="F223" s="1227"/>
      <c r="G223" s="952" t="s">
        <v>35</v>
      </c>
      <c r="H223" s="952" t="s">
        <v>5080</v>
      </c>
      <c r="I223" s="933"/>
      <c r="J223" s="230" t="s">
        <v>2485</v>
      </c>
      <c r="K223" s="952">
        <v>2</v>
      </c>
      <c r="L223" s="231" t="s">
        <v>5841</v>
      </c>
      <c r="M223" s="194"/>
      <c r="N223" s="1167"/>
      <c r="O223" s="1116"/>
      <c r="P223" s="1117"/>
      <c r="Q223" s="586" t="str">
        <f t="shared" si="29"/>
        <v>SX5H-1104621B</v>
      </c>
      <c r="R223" s="585" t="str">
        <f t="shared" si="26"/>
        <v xml:space="preserve">بست لوله دوطرفه - پنج خانه  </v>
      </c>
      <c r="S223" s="586">
        <f t="shared" si="26"/>
        <v>2</v>
      </c>
      <c r="T223" s="589"/>
      <c r="U223" s="589"/>
      <c r="V223" s="589"/>
      <c r="W223" s="589"/>
      <c r="X223" s="590"/>
      <c r="Y223" s="590"/>
      <c r="Z223" s="589"/>
      <c r="AA223" s="724"/>
    </row>
    <row r="224" spans="1:34" ht="48.75" customHeight="1">
      <c r="A224" s="1176"/>
      <c r="B224" s="1227"/>
      <c r="C224" s="1201"/>
      <c r="D224" s="1202"/>
      <c r="E224" s="1165"/>
      <c r="F224" s="1227"/>
      <c r="G224" s="952" t="s">
        <v>36</v>
      </c>
      <c r="H224" s="952" t="s">
        <v>14</v>
      </c>
      <c r="I224" s="952"/>
      <c r="J224" s="230" t="s">
        <v>2484</v>
      </c>
      <c r="K224" s="952">
        <v>1</v>
      </c>
      <c r="L224" s="231" t="s">
        <v>5839</v>
      </c>
      <c r="M224" s="194"/>
      <c r="N224" s="1167"/>
      <c r="O224" s="1116"/>
      <c r="P224" s="1117"/>
      <c r="Q224" s="586" t="str">
        <f t="shared" si="29"/>
        <v>A13-3506711</v>
      </c>
      <c r="R224" s="585" t="str">
        <f t="shared" si="26"/>
        <v xml:space="preserve">بست لوله دو خانه  </v>
      </c>
      <c r="S224" s="586">
        <f t="shared" si="26"/>
        <v>1</v>
      </c>
      <c r="T224" s="589"/>
      <c r="U224" s="589"/>
      <c r="V224" s="589"/>
      <c r="W224" s="589"/>
      <c r="X224" s="590"/>
      <c r="Y224" s="590"/>
      <c r="Z224" s="589"/>
      <c r="AA224" s="724"/>
    </row>
    <row r="225" spans="1:27" ht="48.75" customHeight="1">
      <c r="A225" s="1176"/>
      <c r="B225" s="1227"/>
      <c r="C225" s="1201"/>
      <c r="D225" s="1202"/>
      <c r="E225" s="1165"/>
      <c r="F225" s="1227"/>
      <c r="G225" s="952" t="s">
        <v>37</v>
      </c>
      <c r="H225" s="952" t="s">
        <v>38</v>
      </c>
      <c r="I225" s="952"/>
      <c r="J225" s="230" t="s">
        <v>2483</v>
      </c>
      <c r="K225" s="952">
        <v>1</v>
      </c>
      <c r="L225" s="231" t="s">
        <v>5830</v>
      </c>
      <c r="M225" s="194"/>
      <c r="N225" s="1167"/>
      <c r="O225" s="1116"/>
      <c r="P225" s="1117"/>
      <c r="Q225" s="586" t="str">
        <f t="shared" si="29"/>
        <v>SX5-3506240</v>
      </c>
      <c r="R225" s="585" t="str">
        <f t="shared" si="26"/>
        <v xml:space="preserve"> ESP لوله ترمز MS</v>
      </c>
      <c r="S225" s="586">
        <f t="shared" si="26"/>
        <v>1</v>
      </c>
      <c r="T225" s="592">
        <v>15</v>
      </c>
      <c r="U225" s="592">
        <v>16</v>
      </c>
      <c r="V225" s="592">
        <v>17</v>
      </c>
      <c r="W225" s="638" t="s">
        <v>5513</v>
      </c>
      <c r="X225" s="592" t="s">
        <v>5514</v>
      </c>
      <c r="Y225" s="592" t="s">
        <v>5515</v>
      </c>
      <c r="Z225" s="589"/>
      <c r="AA225" s="724"/>
    </row>
    <row r="226" spans="1:27" ht="48.75" customHeight="1">
      <c r="A226" s="1176"/>
      <c r="B226" s="1161"/>
      <c r="C226" s="1153"/>
      <c r="D226" s="1121"/>
      <c r="E226" s="1123"/>
      <c r="F226" s="1161"/>
      <c r="G226" s="952" t="s">
        <v>39</v>
      </c>
      <c r="H226" s="952" t="s">
        <v>40</v>
      </c>
      <c r="I226" s="952"/>
      <c r="J226" s="230" t="s">
        <v>2482</v>
      </c>
      <c r="K226" s="952">
        <v>1</v>
      </c>
      <c r="L226" s="231" t="s">
        <v>5830</v>
      </c>
      <c r="M226" s="194"/>
      <c r="N226" s="1167"/>
      <c r="O226" s="1116"/>
      <c r="P226" s="1117"/>
      <c r="Q226" s="586" t="str">
        <f t="shared" si="29"/>
        <v>SX5-3506230</v>
      </c>
      <c r="R226" s="585" t="str">
        <f t="shared" si="26"/>
        <v xml:space="preserve"> ESP لوله ترمز MP</v>
      </c>
      <c r="S226" s="586">
        <f t="shared" si="26"/>
        <v>1</v>
      </c>
      <c r="T226" s="592">
        <v>15</v>
      </c>
      <c r="U226" s="592">
        <v>16</v>
      </c>
      <c r="V226" s="592">
        <v>17</v>
      </c>
      <c r="W226" s="638" t="s">
        <v>5513</v>
      </c>
      <c r="X226" s="592" t="s">
        <v>5514</v>
      </c>
      <c r="Y226" s="592" t="s">
        <v>5515</v>
      </c>
      <c r="Z226" s="589"/>
      <c r="AA226" s="724"/>
    </row>
    <row r="227" spans="1:27" ht="48.75" customHeight="1">
      <c r="A227" s="1176"/>
      <c r="B227" s="933" t="s">
        <v>2351</v>
      </c>
      <c r="C227" s="982" t="s">
        <v>2481</v>
      </c>
      <c r="D227" s="995" t="s">
        <v>2480</v>
      </c>
      <c r="E227" s="939"/>
      <c r="F227" s="935">
        <v>1.77033333333333</v>
      </c>
      <c r="G227" s="952" t="s">
        <v>0</v>
      </c>
      <c r="H227" s="243" t="s">
        <v>533</v>
      </c>
      <c r="I227" s="243"/>
      <c r="J227" s="230" t="s">
        <v>2479</v>
      </c>
      <c r="K227" s="952">
        <v>1</v>
      </c>
      <c r="L227" s="231" t="s">
        <v>5841</v>
      </c>
      <c r="M227" s="194"/>
      <c r="N227" s="1167"/>
      <c r="O227" s="964" t="str">
        <f t="shared" ref="O227:P228" si="30">C227</f>
        <v xml:space="preserve"> مونتاژ دسته سیم درب جلو راست</v>
      </c>
      <c r="P227" s="965" t="str">
        <f t="shared" si="30"/>
        <v>SX5-4002-2R</v>
      </c>
      <c r="Q227" s="599" t="str">
        <f t="shared" si="29"/>
        <v>SX5F-4002630B1</v>
      </c>
      <c r="R227" s="585" t="str">
        <f t="shared" si="26"/>
        <v>مجموعه دسته سیم درب جلو - راست</v>
      </c>
      <c r="S227" s="586">
        <f t="shared" si="26"/>
        <v>1</v>
      </c>
      <c r="T227" s="589"/>
      <c r="U227" s="589"/>
      <c r="V227" s="589"/>
      <c r="W227" s="589"/>
      <c r="X227" s="590"/>
      <c r="Y227" s="590"/>
      <c r="Z227" s="589"/>
      <c r="AA227" s="724"/>
    </row>
    <row r="228" spans="1:27" ht="48.75" customHeight="1" thickBot="1">
      <c r="A228" s="1236"/>
      <c r="B228" s="934" t="s">
        <v>2351</v>
      </c>
      <c r="C228" s="754" t="s">
        <v>2478</v>
      </c>
      <c r="D228" s="755" t="s">
        <v>2477</v>
      </c>
      <c r="E228" s="942"/>
      <c r="F228" s="936">
        <v>1.7703709999999999</v>
      </c>
      <c r="G228" s="953" t="s">
        <v>0</v>
      </c>
      <c r="H228" s="359" t="s">
        <v>532</v>
      </c>
      <c r="I228" s="359"/>
      <c r="J228" s="272" t="s">
        <v>2476</v>
      </c>
      <c r="K228" s="953">
        <v>1</v>
      </c>
      <c r="L228" s="250" t="s">
        <v>5841</v>
      </c>
      <c r="M228" s="194"/>
      <c r="N228" s="1168"/>
      <c r="O228" s="754" t="str">
        <f t="shared" si="30"/>
        <v xml:space="preserve"> مونتاژ دسته سیم درب جلو چپ</v>
      </c>
      <c r="P228" s="755" t="str">
        <f t="shared" si="30"/>
        <v>SX5-4002-2L</v>
      </c>
      <c r="Q228" s="744" t="str">
        <f t="shared" si="29"/>
        <v>SX5F-4002530B1</v>
      </c>
      <c r="R228" s="274" t="str">
        <f t="shared" si="26"/>
        <v>مجموعه دسته سیم درب جلو - چپ</v>
      </c>
      <c r="S228" s="251">
        <f t="shared" si="26"/>
        <v>1</v>
      </c>
      <c r="T228" s="283"/>
      <c r="U228" s="283"/>
      <c r="V228" s="283"/>
      <c r="W228" s="283"/>
      <c r="X228" s="284"/>
      <c r="Y228" s="284"/>
      <c r="Z228" s="283"/>
      <c r="AA228" s="285"/>
    </row>
    <row r="229" spans="1:27" ht="42.75" customHeight="1">
      <c r="A229" s="1166" t="s">
        <v>2417</v>
      </c>
      <c r="B229" s="946" t="s">
        <v>2380</v>
      </c>
      <c r="C229" s="966" t="s">
        <v>2376</v>
      </c>
      <c r="D229" s="967"/>
      <c r="E229" s="1000"/>
      <c r="F229" s="946">
        <v>4.1900000000000004</v>
      </c>
      <c r="G229" s="255" t="s">
        <v>1371</v>
      </c>
      <c r="H229" s="360" t="s">
        <v>1828</v>
      </c>
      <c r="I229" s="360"/>
      <c r="J229" s="256" t="s">
        <v>1372</v>
      </c>
      <c r="K229" s="255" t="s">
        <v>1371</v>
      </c>
      <c r="L229" s="257"/>
      <c r="M229" s="194"/>
      <c r="N229" s="1166" t="str">
        <f t="shared" si="28"/>
        <v>P19</v>
      </c>
      <c r="O229" s="966" t="str">
        <f t="shared" si="27"/>
        <v>کمک به حمل و نصب داشبورد</v>
      </c>
      <c r="P229" s="967">
        <f t="shared" si="27"/>
        <v>0</v>
      </c>
      <c r="Q229" s="721" t="str">
        <f t="shared" si="29"/>
        <v>----------</v>
      </c>
      <c r="R229" s="345" t="str">
        <f t="shared" si="26"/>
        <v>--------</v>
      </c>
      <c r="S229" s="346" t="str">
        <f t="shared" si="26"/>
        <v>---</v>
      </c>
      <c r="T229" s="226"/>
      <c r="U229" s="226"/>
      <c r="V229" s="226"/>
      <c r="W229" s="226"/>
      <c r="X229" s="227"/>
      <c r="Y229" s="227"/>
      <c r="Z229" s="226"/>
      <c r="AA229" s="228"/>
    </row>
    <row r="230" spans="1:27" ht="42.75" customHeight="1">
      <c r="A230" s="1167"/>
      <c r="B230" s="1138" t="s">
        <v>2380</v>
      </c>
      <c r="C230" s="1152" t="s">
        <v>2397</v>
      </c>
      <c r="D230" s="1120" t="s">
        <v>2319</v>
      </c>
      <c r="E230" s="1122"/>
      <c r="F230" s="1160">
        <v>1.81741666666667</v>
      </c>
      <c r="G230" s="952" t="s">
        <v>0</v>
      </c>
      <c r="H230" s="952" t="s">
        <v>16</v>
      </c>
      <c r="I230" s="952"/>
      <c r="J230" s="230" t="s">
        <v>2312</v>
      </c>
      <c r="K230" s="952">
        <v>2</v>
      </c>
      <c r="L230" s="231" t="s">
        <v>5815</v>
      </c>
      <c r="M230" s="194"/>
      <c r="N230" s="1167">
        <f t="shared" si="28"/>
        <v>0</v>
      </c>
      <c r="O230" s="1116" t="str">
        <f t="shared" si="27"/>
        <v xml:space="preserve">مونتاژ دسته سيم داشبورد راست </v>
      </c>
      <c r="P230" s="1117" t="str">
        <f t="shared" si="27"/>
        <v>SX7E-5306-1R</v>
      </c>
      <c r="Q230" s="586" t="str">
        <f t="shared" si="29"/>
        <v>A13-4016201</v>
      </c>
      <c r="R230" s="585" t="str">
        <f t="shared" si="26"/>
        <v>پیچ  سر شش گوش واشردار</v>
      </c>
      <c r="S230" s="586">
        <f t="shared" si="26"/>
        <v>2</v>
      </c>
      <c r="T230" s="606">
        <v>6</v>
      </c>
      <c r="U230" s="606">
        <v>7</v>
      </c>
      <c r="V230" s="606">
        <v>8</v>
      </c>
      <c r="W230" s="588" t="s">
        <v>5431</v>
      </c>
      <c r="X230" s="587" t="s">
        <v>5451</v>
      </c>
      <c r="Y230" s="587" t="s">
        <v>5516</v>
      </c>
      <c r="Z230" s="587"/>
      <c r="AA230" s="728"/>
    </row>
    <row r="231" spans="1:27" ht="42.75" customHeight="1">
      <c r="A231" s="1167"/>
      <c r="B231" s="1139"/>
      <c r="C231" s="1153"/>
      <c r="D231" s="1121"/>
      <c r="E231" s="1123"/>
      <c r="F231" s="1161"/>
      <c r="G231" s="952" t="s">
        <v>1</v>
      </c>
      <c r="H231" s="952" t="s">
        <v>26</v>
      </c>
      <c r="I231" s="952"/>
      <c r="J231" s="230" t="s">
        <v>1761</v>
      </c>
      <c r="K231" s="952">
        <v>1</v>
      </c>
      <c r="L231" s="231" t="s">
        <v>5806</v>
      </c>
      <c r="M231" s="194"/>
      <c r="N231" s="1167">
        <f t="shared" si="28"/>
        <v>0</v>
      </c>
      <c r="O231" s="1116"/>
      <c r="P231" s="1117"/>
      <c r="Q231" s="586" t="str">
        <f t="shared" si="29"/>
        <v>Q32006F36</v>
      </c>
      <c r="R231" s="585" t="str">
        <f t="shared" si="26"/>
        <v>مهره</v>
      </c>
      <c r="S231" s="586">
        <f t="shared" si="26"/>
        <v>1</v>
      </c>
      <c r="T231" s="606">
        <v>6</v>
      </c>
      <c r="U231" s="606">
        <v>7</v>
      </c>
      <c r="V231" s="606">
        <v>8</v>
      </c>
      <c r="W231" s="588" t="s">
        <v>5431</v>
      </c>
      <c r="X231" s="587" t="s">
        <v>5451</v>
      </c>
      <c r="Y231" s="587" t="s">
        <v>5516</v>
      </c>
      <c r="Z231" s="587"/>
      <c r="AA231" s="728"/>
    </row>
    <row r="232" spans="1:27" ht="42.75" customHeight="1">
      <c r="A232" s="1167"/>
      <c r="B232" s="1151" t="s">
        <v>2380</v>
      </c>
      <c r="C232" s="1154" t="s">
        <v>2396</v>
      </c>
      <c r="D232" s="1209" t="s">
        <v>205</v>
      </c>
      <c r="E232" s="1126"/>
      <c r="F232" s="1151">
        <v>0.58274999999999999</v>
      </c>
      <c r="G232" s="952" t="s">
        <v>0</v>
      </c>
      <c r="H232" s="952" t="s">
        <v>206</v>
      </c>
      <c r="I232" s="952"/>
      <c r="J232" s="230" t="s">
        <v>2395</v>
      </c>
      <c r="K232" s="952">
        <v>1</v>
      </c>
      <c r="L232" s="231" t="s">
        <v>5834</v>
      </c>
      <c r="M232" s="194"/>
      <c r="N232" s="1167">
        <f t="shared" si="28"/>
        <v>0</v>
      </c>
      <c r="O232" s="1116" t="str">
        <f t="shared" si="27"/>
        <v>نصب براکت پایه داشبورد راست</v>
      </c>
      <c r="P232" s="1117" t="str">
        <f t="shared" si="27"/>
        <v>SX5F-5306-2</v>
      </c>
      <c r="Q232" s="586" t="str">
        <f t="shared" si="29"/>
        <v>SX5K-5306-0002C</v>
      </c>
      <c r="R232" s="585" t="str">
        <f t="shared" si="26"/>
        <v>براکت وسط راست (پایه داشبورد)</v>
      </c>
      <c r="S232" s="586">
        <f t="shared" si="26"/>
        <v>1</v>
      </c>
      <c r="T232" s="589"/>
      <c r="U232" s="589"/>
      <c r="V232" s="589"/>
      <c r="W232" s="589"/>
      <c r="X232" s="590"/>
      <c r="Y232" s="590"/>
      <c r="Z232" s="589"/>
      <c r="AA232" s="724"/>
    </row>
    <row r="233" spans="1:27" ht="42.75" customHeight="1">
      <c r="A233" s="1167"/>
      <c r="B233" s="1151"/>
      <c r="C233" s="1154" t="s">
        <v>1248</v>
      </c>
      <c r="D233" s="1209"/>
      <c r="E233" s="1126"/>
      <c r="F233" s="1151"/>
      <c r="G233" s="952" t="s">
        <v>1</v>
      </c>
      <c r="H233" s="952" t="s">
        <v>1043</v>
      </c>
      <c r="I233" s="952" t="s">
        <v>18</v>
      </c>
      <c r="J233" s="230" t="s">
        <v>2317</v>
      </c>
      <c r="K233" s="952">
        <v>4</v>
      </c>
      <c r="L233" s="231" t="s">
        <v>5822</v>
      </c>
      <c r="M233" s="194"/>
      <c r="N233" s="1167">
        <f t="shared" si="28"/>
        <v>0</v>
      </c>
      <c r="O233" s="1116"/>
      <c r="P233" s="1117"/>
      <c r="Q233" s="586" t="str">
        <f t="shared" si="29"/>
        <v>Q32008F38</v>
      </c>
      <c r="R233" s="585" t="str">
        <f t="shared" si="26"/>
        <v>مهره نصب درب ها به بدنه</v>
      </c>
      <c r="S233" s="586">
        <f t="shared" si="26"/>
        <v>4</v>
      </c>
      <c r="T233" s="587">
        <v>22</v>
      </c>
      <c r="U233" s="587">
        <v>25</v>
      </c>
      <c r="V233" s="587">
        <v>28</v>
      </c>
      <c r="W233" s="588" t="s">
        <v>5445</v>
      </c>
      <c r="X233" s="587" t="s">
        <v>5435</v>
      </c>
      <c r="Y233" s="587" t="s">
        <v>5517</v>
      </c>
      <c r="Z233" s="587" t="s">
        <v>5442</v>
      </c>
      <c r="AA233" s="727" t="s">
        <v>5518</v>
      </c>
    </row>
    <row r="234" spans="1:27" ht="42.75" customHeight="1">
      <c r="A234" s="1167"/>
      <c r="B234" s="935" t="s">
        <v>2380</v>
      </c>
      <c r="C234" s="929" t="s">
        <v>2394</v>
      </c>
      <c r="D234" s="931" t="s">
        <v>241</v>
      </c>
      <c r="E234" s="939"/>
      <c r="F234" s="935">
        <v>0.35612500000000002</v>
      </c>
      <c r="G234" s="952" t="s">
        <v>0</v>
      </c>
      <c r="H234" s="952" t="s">
        <v>5062</v>
      </c>
      <c r="I234" s="952" t="s">
        <v>5189</v>
      </c>
      <c r="J234" s="230" t="s">
        <v>2393</v>
      </c>
      <c r="K234" s="952">
        <v>1</v>
      </c>
      <c r="L234" s="231" t="s">
        <v>5841</v>
      </c>
      <c r="M234" s="194"/>
      <c r="N234" s="1167">
        <f t="shared" si="28"/>
        <v>0</v>
      </c>
      <c r="O234" s="914" t="str">
        <f t="shared" si="27"/>
        <v xml:space="preserve">نصب واشر آب بندی شیلنگ تخلیه بخاری  </v>
      </c>
      <c r="P234" s="915" t="str">
        <f t="shared" si="27"/>
        <v>SX5-5306-3</v>
      </c>
      <c r="Q234" s="586" t="str">
        <f t="shared" si="29"/>
        <v>SX7-8100011</v>
      </c>
      <c r="R234" s="585" t="str">
        <f t="shared" si="26"/>
        <v>واشر آب بندی شیلنگ تخلیه بخاری</v>
      </c>
      <c r="S234" s="586">
        <f t="shared" si="26"/>
        <v>1</v>
      </c>
      <c r="T234" s="589"/>
      <c r="U234" s="589"/>
      <c r="V234" s="589"/>
      <c r="W234" s="589"/>
      <c r="X234" s="590"/>
      <c r="Y234" s="590"/>
      <c r="Z234" s="589"/>
      <c r="AA234" s="724"/>
    </row>
    <row r="235" spans="1:27" ht="42.75" customHeight="1">
      <c r="A235" s="1167"/>
      <c r="B235" s="933" t="s">
        <v>2380</v>
      </c>
      <c r="C235" s="982" t="s">
        <v>2392</v>
      </c>
      <c r="D235" s="995"/>
      <c r="E235" s="939"/>
      <c r="F235" s="935">
        <v>0.32096999999999998</v>
      </c>
      <c r="G235" s="292" t="s">
        <v>1371</v>
      </c>
      <c r="H235" s="292" t="s">
        <v>1411</v>
      </c>
      <c r="I235" s="952"/>
      <c r="J235" s="291" t="s">
        <v>1464</v>
      </c>
      <c r="K235" s="292" t="s">
        <v>2347</v>
      </c>
      <c r="L235" s="299"/>
      <c r="M235" s="194"/>
      <c r="N235" s="1167">
        <f t="shared" si="28"/>
        <v>0</v>
      </c>
      <c r="O235" s="964" t="str">
        <f t="shared" si="27"/>
        <v>کمک به باز و بست کردن دربها</v>
      </c>
      <c r="P235" s="965">
        <f t="shared" si="27"/>
        <v>0</v>
      </c>
      <c r="Q235" s="611" t="str">
        <f t="shared" si="29"/>
        <v>-------</v>
      </c>
      <c r="R235" s="610" t="str">
        <f t="shared" si="26"/>
        <v>---------</v>
      </c>
      <c r="S235" s="611" t="str">
        <f t="shared" si="26"/>
        <v>--</v>
      </c>
      <c r="T235" s="589"/>
      <c r="U235" s="589"/>
      <c r="V235" s="589"/>
      <c r="W235" s="589"/>
      <c r="X235" s="590"/>
      <c r="Y235" s="590"/>
      <c r="Z235" s="589"/>
      <c r="AA235" s="724"/>
    </row>
    <row r="236" spans="1:27" ht="42.75" customHeight="1">
      <c r="A236" s="1167"/>
      <c r="B236" s="1220" t="s">
        <v>2380</v>
      </c>
      <c r="C236" s="1154" t="s">
        <v>2391</v>
      </c>
      <c r="D236" s="1209" t="s">
        <v>5025</v>
      </c>
      <c r="E236" s="1126"/>
      <c r="F236" s="1151">
        <v>0.50578999999999996</v>
      </c>
      <c r="G236" s="952" t="s">
        <v>0</v>
      </c>
      <c r="H236" s="952" t="s">
        <v>5169</v>
      </c>
      <c r="I236" s="952" t="s">
        <v>5123</v>
      </c>
      <c r="J236" s="230" t="s">
        <v>2390</v>
      </c>
      <c r="K236" s="952">
        <v>1</v>
      </c>
      <c r="L236" s="231" t="s">
        <v>5843</v>
      </c>
      <c r="M236" s="194"/>
      <c r="N236" s="1167">
        <f t="shared" si="28"/>
        <v>0</v>
      </c>
      <c r="O236" s="1116" t="str">
        <f t="shared" si="27"/>
        <v xml:space="preserve">مونتاژ آنتن داخل خودرو </v>
      </c>
      <c r="P236" s="1117" t="str">
        <f t="shared" si="27"/>
        <v>SX7H-1257-1</v>
      </c>
      <c r="Q236" s="586" t="str">
        <f t="shared" si="29"/>
        <v>SX5F-3791320</v>
      </c>
      <c r="R236" s="585" t="str">
        <f t="shared" si="26"/>
        <v>آنتن داخلی</v>
      </c>
      <c r="S236" s="586">
        <f t="shared" si="26"/>
        <v>1</v>
      </c>
      <c r="T236" s="589"/>
      <c r="U236" s="589"/>
      <c r="V236" s="589"/>
      <c r="W236" s="589"/>
      <c r="X236" s="590"/>
      <c r="Y236" s="590"/>
      <c r="Z236" s="589"/>
      <c r="AA236" s="724"/>
    </row>
    <row r="237" spans="1:27" ht="42.75" customHeight="1" thickBot="1">
      <c r="A237" s="1168"/>
      <c r="B237" s="1239"/>
      <c r="C237" s="1186" t="s">
        <v>1248</v>
      </c>
      <c r="D237" s="1159"/>
      <c r="E237" s="1214"/>
      <c r="F237" s="1232"/>
      <c r="G237" s="953" t="s">
        <v>1</v>
      </c>
      <c r="H237" s="953" t="s">
        <v>5</v>
      </c>
      <c r="I237" s="953"/>
      <c r="J237" s="272" t="s">
        <v>1455</v>
      </c>
      <c r="K237" s="953">
        <v>2</v>
      </c>
      <c r="L237" s="250" t="s">
        <v>5817</v>
      </c>
      <c r="M237" s="194"/>
      <c r="N237" s="1168">
        <f t="shared" si="28"/>
        <v>0</v>
      </c>
      <c r="O237" s="1186"/>
      <c r="P237" s="1159"/>
      <c r="Q237" s="251" t="str">
        <f t="shared" si="29"/>
        <v>Q32006F38</v>
      </c>
      <c r="R237" s="274" t="str">
        <f t="shared" si="26"/>
        <v>مهره فلنجی</v>
      </c>
      <c r="S237" s="251">
        <f t="shared" si="26"/>
        <v>2</v>
      </c>
      <c r="T237" s="350">
        <v>2.5</v>
      </c>
      <c r="U237" s="350">
        <v>3</v>
      </c>
      <c r="V237" s="350">
        <v>3.5</v>
      </c>
      <c r="W237" s="253" t="s">
        <v>5431</v>
      </c>
      <c r="X237" s="252" t="s">
        <v>5451</v>
      </c>
      <c r="Y237" s="252" t="s">
        <v>5519</v>
      </c>
      <c r="Z237" s="252"/>
      <c r="AA237" s="285"/>
    </row>
    <row r="238" spans="1:27" ht="42.75" customHeight="1">
      <c r="A238" s="1176" t="s">
        <v>6123</v>
      </c>
      <c r="B238" s="1139" t="s">
        <v>2380</v>
      </c>
      <c r="C238" s="1153" t="s">
        <v>2388</v>
      </c>
      <c r="D238" s="1121" t="s">
        <v>605</v>
      </c>
      <c r="E238" s="1123" t="s">
        <v>37</v>
      </c>
      <c r="F238" s="1161">
        <v>4.6500000000000004</v>
      </c>
      <c r="G238" s="977" t="s">
        <v>0</v>
      </c>
      <c r="H238" s="361" t="s">
        <v>5227</v>
      </c>
      <c r="I238" s="361"/>
      <c r="J238" s="298" t="s">
        <v>2387</v>
      </c>
      <c r="K238" s="977">
        <v>1</v>
      </c>
      <c r="L238" s="231" t="s">
        <v>5846</v>
      </c>
      <c r="M238" s="194"/>
      <c r="N238" s="1167" t="str">
        <f>A238</f>
        <v>P20</v>
      </c>
      <c r="O238" s="1116" t="str">
        <f t="shared" si="27"/>
        <v>مونتاژ داشبورد</v>
      </c>
      <c r="P238" s="1117" t="str">
        <f t="shared" si="27"/>
        <v>SX5-5306-2</v>
      </c>
      <c r="Q238" s="703" t="str">
        <f t="shared" si="29"/>
        <v>SX5KCT-5306-0010A2</v>
      </c>
      <c r="R238" s="585" t="str">
        <f t="shared" si="26"/>
        <v>مجموعه داشبورد</v>
      </c>
      <c r="S238" s="586">
        <f t="shared" si="26"/>
        <v>1</v>
      </c>
      <c r="T238" s="589"/>
      <c r="U238" s="589"/>
      <c r="V238" s="589"/>
      <c r="W238" s="589"/>
      <c r="X238" s="590"/>
      <c r="Y238" s="590"/>
      <c r="Z238" s="589"/>
      <c r="AA238" s="724"/>
    </row>
    <row r="239" spans="1:27" ht="42.75" customHeight="1">
      <c r="A239" s="1176"/>
      <c r="B239" s="1228"/>
      <c r="C239" s="1154" t="s">
        <v>1248</v>
      </c>
      <c r="D239" s="1209"/>
      <c r="E239" s="1126"/>
      <c r="F239" s="1151"/>
      <c r="G239" s="952" t="s">
        <v>1</v>
      </c>
      <c r="H239" s="952" t="s">
        <v>606</v>
      </c>
      <c r="I239" s="952" t="s">
        <v>5393</v>
      </c>
      <c r="J239" s="230" t="s">
        <v>1587</v>
      </c>
      <c r="K239" s="952">
        <v>2</v>
      </c>
      <c r="L239" s="231" t="s">
        <v>5838</v>
      </c>
      <c r="M239" s="194"/>
      <c r="N239" s="1167"/>
      <c r="O239" s="1116"/>
      <c r="P239" s="1117"/>
      <c r="Q239" s="586" t="str">
        <f t="shared" si="29"/>
        <v>Q18608110F38</v>
      </c>
      <c r="R239" s="585" t="str">
        <f t="shared" si="26"/>
        <v xml:space="preserve">پیچ فلنجی سر شش گوش </v>
      </c>
      <c r="S239" s="586">
        <f t="shared" si="26"/>
        <v>2</v>
      </c>
      <c r="T239" s="587">
        <v>22</v>
      </c>
      <c r="U239" s="587">
        <v>25</v>
      </c>
      <c r="V239" s="587">
        <v>28</v>
      </c>
      <c r="W239" s="588" t="s">
        <v>5445</v>
      </c>
      <c r="X239" s="587" t="s">
        <v>5435</v>
      </c>
      <c r="Y239" s="587" t="s">
        <v>5521</v>
      </c>
      <c r="Z239" s="587"/>
      <c r="AA239" s="727"/>
    </row>
    <row r="240" spans="1:27" ht="42.75" customHeight="1">
      <c r="A240" s="1176"/>
      <c r="B240" s="1228"/>
      <c r="C240" s="1154" t="s">
        <v>1248</v>
      </c>
      <c r="D240" s="1209"/>
      <c r="E240" s="1126"/>
      <c r="F240" s="1151"/>
      <c r="G240" s="952" t="s">
        <v>2</v>
      </c>
      <c r="H240" s="952" t="s">
        <v>2386</v>
      </c>
      <c r="I240" s="952"/>
      <c r="J240" s="230" t="s">
        <v>1587</v>
      </c>
      <c r="K240" s="952">
        <v>4</v>
      </c>
      <c r="L240" s="231" t="s">
        <v>5838</v>
      </c>
      <c r="M240" s="194"/>
      <c r="N240" s="1167"/>
      <c r="O240" s="1116"/>
      <c r="P240" s="1117"/>
      <c r="Q240" s="586" t="str">
        <f t="shared" si="29"/>
        <v>Q1860820F38</v>
      </c>
      <c r="R240" s="585" t="str">
        <f t="shared" si="26"/>
        <v xml:space="preserve">پیچ فلنجی سر شش گوش </v>
      </c>
      <c r="S240" s="586">
        <f t="shared" si="26"/>
        <v>4</v>
      </c>
      <c r="T240" s="587">
        <v>22</v>
      </c>
      <c r="U240" s="587">
        <v>25</v>
      </c>
      <c r="V240" s="587">
        <v>28</v>
      </c>
      <c r="W240" s="588" t="s">
        <v>5445</v>
      </c>
      <c r="X240" s="587" t="s">
        <v>5435</v>
      </c>
      <c r="Y240" s="587" t="s">
        <v>5521</v>
      </c>
      <c r="Z240" s="587"/>
      <c r="AA240" s="727"/>
    </row>
    <row r="241" spans="1:27" ht="42.75" customHeight="1">
      <c r="A241" s="1176"/>
      <c r="B241" s="1228"/>
      <c r="C241" s="1154" t="s">
        <v>1248</v>
      </c>
      <c r="D241" s="1209"/>
      <c r="E241" s="1126"/>
      <c r="F241" s="1151"/>
      <c r="G241" s="952" t="s">
        <v>7</v>
      </c>
      <c r="H241" s="952" t="s">
        <v>5076</v>
      </c>
      <c r="I241" s="952" t="s">
        <v>5171</v>
      </c>
      <c r="J241" s="230" t="s">
        <v>2315</v>
      </c>
      <c r="K241" s="952">
        <v>1</v>
      </c>
      <c r="L241" s="231" t="s">
        <v>5838</v>
      </c>
      <c r="M241" s="194"/>
      <c r="N241" s="1167"/>
      <c r="O241" s="1116"/>
      <c r="P241" s="1117"/>
      <c r="Q241" s="586" t="str">
        <f t="shared" si="29"/>
        <v>Q146B0825F38LD</v>
      </c>
      <c r="R241" s="585" t="str">
        <f t="shared" si="26"/>
        <v>پیچ و واشر ترکیبی M8</v>
      </c>
      <c r="S241" s="586">
        <f t="shared" si="26"/>
        <v>1</v>
      </c>
      <c r="T241" s="589"/>
      <c r="U241" s="589"/>
      <c r="V241" s="589"/>
      <c r="W241" s="589"/>
      <c r="X241" s="590"/>
      <c r="Y241" s="590"/>
      <c r="Z241" s="589"/>
      <c r="AA241" s="724"/>
    </row>
    <row r="242" spans="1:27" ht="42.75" customHeight="1">
      <c r="A242" s="1176"/>
      <c r="B242" s="1228"/>
      <c r="C242" s="1154" t="s">
        <v>1248</v>
      </c>
      <c r="D242" s="1209"/>
      <c r="E242" s="1126"/>
      <c r="F242" s="1151"/>
      <c r="G242" s="952" t="s">
        <v>9</v>
      </c>
      <c r="H242" s="952" t="s">
        <v>2385</v>
      </c>
      <c r="I242" s="952"/>
      <c r="J242" s="230" t="s">
        <v>1503</v>
      </c>
      <c r="K242" s="952">
        <v>2</v>
      </c>
      <c r="L242" s="231" t="s">
        <v>5838</v>
      </c>
      <c r="M242" s="194"/>
      <c r="N242" s="1167"/>
      <c r="O242" s="1116"/>
      <c r="P242" s="1117"/>
      <c r="Q242" s="586" t="str">
        <f t="shared" si="29"/>
        <v>Q18608150F38</v>
      </c>
      <c r="R242" s="585" t="str">
        <f t="shared" si="26"/>
        <v xml:space="preserve">پیچ فلنجی شش گوش </v>
      </c>
      <c r="S242" s="586">
        <f t="shared" si="26"/>
        <v>2</v>
      </c>
      <c r="T242" s="589"/>
      <c r="U242" s="589"/>
      <c r="V242" s="589"/>
      <c r="W242" s="589"/>
      <c r="X242" s="590"/>
      <c r="Y242" s="590"/>
      <c r="Z242" s="589"/>
      <c r="AA242" s="724"/>
    </row>
    <row r="243" spans="1:27" ht="42.75" customHeight="1">
      <c r="A243" s="1176"/>
      <c r="B243" s="1228"/>
      <c r="C243" s="1154" t="s">
        <v>1248</v>
      </c>
      <c r="D243" s="1209"/>
      <c r="E243" s="1126"/>
      <c r="F243" s="1151"/>
      <c r="G243" s="952" t="s">
        <v>10</v>
      </c>
      <c r="H243" s="952" t="s">
        <v>609</v>
      </c>
      <c r="I243" s="952"/>
      <c r="J243" s="230" t="s">
        <v>1839</v>
      </c>
      <c r="K243" s="952">
        <v>4</v>
      </c>
      <c r="L243" s="231" t="s">
        <v>5838</v>
      </c>
      <c r="M243" s="194"/>
      <c r="N243" s="1167"/>
      <c r="O243" s="1116"/>
      <c r="P243" s="1117"/>
      <c r="Q243" s="586" t="str">
        <f t="shared" si="29"/>
        <v>Q40208F36</v>
      </c>
      <c r="R243" s="585" t="str">
        <f t="shared" si="26"/>
        <v>واشر تخت</v>
      </c>
      <c r="S243" s="586">
        <f t="shared" si="26"/>
        <v>4</v>
      </c>
      <c r="T243" s="589"/>
      <c r="U243" s="589"/>
      <c r="V243" s="589"/>
      <c r="W243" s="589"/>
      <c r="X243" s="590"/>
      <c r="Y243" s="590"/>
      <c r="Z243" s="589"/>
      <c r="AA243" s="724"/>
    </row>
    <row r="244" spans="1:27" ht="42.75" customHeight="1">
      <c r="A244" s="1176"/>
      <c r="B244" s="1228" t="s">
        <v>2380</v>
      </c>
      <c r="C244" s="1154" t="s">
        <v>2384</v>
      </c>
      <c r="D244" s="1209" t="s">
        <v>2313</v>
      </c>
      <c r="E244" s="1126"/>
      <c r="F244" s="1151">
        <v>1.81741666666667</v>
      </c>
      <c r="G244" s="952" t="s">
        <v>0</v>
      </c>
      <c r="H244" s="952" t="s">
        <v>16</v>
      </c>
      <c r="I244" s="952"/>
      <c r="J244" s="230" t="s">
        <v>2312</v>
      </c>
      <c r="K244" s="952">
        <v>2</v>
      </c>
      <c r="L244" s="231" t="s">
        <v>5815</v>
      </c>
      <c r="M244" s="194"/>
      <c r="N244" s="1167"/>
      <c r="O244" s="1116" t="str">
        <f t="shared" si="27"/>
        <v xml:space="preserve">مونتاژ دسته سيم داشبورد چپ </v>
      </c>
      <c r="P244" s="1117" t="str">
        <f t="shared" si="27"/>
        <v>SX7E-5306-1L</v>
      </c>
      <c r="Q244" s="586" t="str">
        <f t="shared" si="29"/>
        <v>A13-4016201</v>
      </c>
      <c r="R244" s="585" t="str">
        <f t="shared" si="26"/>
        <v>پیچ  سر شش گوش واشردار</v>
      </c>
      <c r="S244" s="586">
        <f t="shared" si="26"/>
        <v>2</v>
      </c>
      <c r="T244" s="606">
        <v>6</v>
      </c>
      <c r="U244" s="606">
        <v>7</v>
      </c>
      <c r="V244" s="606">
        <v>8</v>
      </c>
      <c r="W244" s="588" t="s">
        <v>5431</v>
      </c>
      <c r="X244" s="587" t="s">
        <v>5451</v>
      </c>
      <c r="Y244" s="587" t="s">
        <v>5520</v>
      </c>
      <c r="Z244" s="587"/>
      <c r="AA244" s="727"/>
    </row>
    <row r="245" spans="1:27" ht="42.75" customHeight="1">
      <c r="A245" s="1176"/>
      <c r="B245" s="1228"/>
      <c r="C245" s="1154"/>
      <c r="D245" s="1209"/>
      <c r="E245" s="1126"/>
      <c r="F245" s="1151"/>
      <c r="G245" s="952" t="s">
        <v>1</v>
      </c>
      <c r="H245" s="952" t="s">
        <v>26</v>
      </c>
      <c r="I245" s="952"/>
      <c r="J245" s="230" t="s">
        <v>1761</v>
      </c>
      <c r="K245" s="952">
        <v>2</v>
      </c>
      <c r="L245" s="231" t="s">
        <v>5806</v>
      </c>
      <c r="M245" s="194"/>
      <c r="N245" s="1167"/>
      <c r="O245" s="1116"/>
      <c r="P245" s="1117"/>
      <c r="Q245" s="586" t="str">
        <f t="shared" si="29"/>
        <v>Q32006F36</v>
      </c>
      <c r="R245" s="585" t="str">
        <f t="shared" si="26"/>
        <v>مهره</v>
      </c>
      <c r="S245" s="586">
        <f t="shared" si="26"/>
        <v>2</v>
      </c>
      <c r="T245" s="606">
        <v>6</v>
      </c>
      <c r="U245" s="606">
        <v>7</v>
      </c>
      <c r="V245" s="606">
        <v>8</v>
      </c>
      <c r="W245" s="588" t="s">
        <v>5431</v>
      </c>
      <c r="X245" s="587" t="s">
        <v>5451</v>
      </c>
      <c r="Y245" s="587" t="s">
        <v>5520</v>
      </c>
      <c r="Z245" s="587"/>
      <c r="AA245" s="727"/>
    </row>
    <row r="246" spans="1:27" ht="42.75" customHeight="1">
      <c r="A246" s="1176"/>
      <c r="B246" s="1151" t="s">
        <v>2380</v>
      </c>
      <c r="C246" s="1154" t="s">
        <v>2382</v>
      </c>
      <c r="D246" s="1209" t="s">
        <v>2310</v>
      </c>
      <c r="E246" s="1126"/>
      <c r="F246" s="1220">
        <v>0.58274999999999999</v>
      </c>
      <c r="G246" s="952" t="s">
        <v>0</v>
      </c>
      <c r="H246" s="952" t="s">
        <v>208</v>
      </c>
      <c r="I246" s="952"/>
      <c r="J246" s="230" t="s">
        <v>2381</v>
      </c>
      <c r="K246" s="952">
        <v>1</v>
      </c>
      <c r="L246" s="231" t="s">
        <v>5841</v>
      </c>
      <c r="M246" s="194"/>
      <c r="N246" s="1167"/>
      <c r="O246" s="1116" t="str">
        <f t="shared" si="27"/>
        <v>نصب براکت پایه داشبورد چپ</v>
      </c>
      <c r="P246" s="1117" t="str">
        <f t="shared" si="27"/>
        <v>SX5F-5306-1L</v>
      </c>
      <c r="Q246" s="586" t="str">
        <f t="shared" si="29"/>
        <v>SX5F-5306670B</v>
      </c>
      <c r="R246" s="585" t="str">
        <f t="shared" si="26"/>
        <v>براکت وسط چپ (پایه داشبورد)</v>
      </c>
      <c r="S246" s="586">
        <f t="shared" si="26"/>
        <v>1</v>
      </c>
      <c r="T246" s="589"/>
      <c r="U246" s="589"/>
      <c r="V246" s="589"/>
      <c r="W246" s="589"/>
      <c r="X246" s="590"/>
      <c r="Y246" s="590"/>
      <c r="Z246" s="587"/>
      <c r="AA246" s="727"/>
    </row>
    <row r="247" spans="1:27" ht="42.75" customHeight="1">
      <c r="A247" s="1176"/>
      <c r="B247" s="1151"/>
      <c r="C247" s="1154" t="s">
        <v>1248</v>
      </c>
      <c r="D247" s="1209"/>
      <c r="E247" s="1126"/>
      <c r="F247" s="1220"/>
      <c r="G247" s="952" t="s">
        <v>1</v>
      </c>
      <c r="H247" s="952" t="s">
        <v>1043</v>
      </c>
      <c r="I247" s="952" t="s">
        <v>18</v>
      </c>
      <c r="J247" s="230" t="s">
        <v>2325</v>
      </c>
      <c r="K247" s="952">
        <v>4</v>
      </c>
      <c r="L247" s="231" t="s">
        <v>5822</v>
      </c>
      <c r="M247" s="194"/>
      <c r="N247" s="1167"/>
      <c r="O247" s="1116"/>
      <c r="P247" s="1117"/>
      <c r="Q247" s="586" t="str">
        <f t="shared" si="29"/>
        <v>Q32008F38</v>
      </c>
      <c r="R247" s="585" t="str">
        <f t="shared" si="26"/>
        <v>مهره فلنجی شش گوش</v>
      </c>
      <c r="S247" s="586">
        <f t="shared" si="26"/>
        <v>4</v>
      </c>
      <c r="T247" s="587">
        <v>22</v>
      </c>
      <c r="U247" s="587">
        <v>25</v>
      </c>
      <c r="V247" s="587">
        <v>28</v>
      </c>
      <c r="W247" s="588" t="s">
        <v>5445</v>
      </c>
      <c r="X247" s="587" t="s">
        <v>5435</v>
      </c>
      <c r="Y247" s="587" t="s">
        <v>5521</v>
      </c>
      <c r="Z247" s="587"/>
      <c r="AA247" s="728"/>
    </row>
    <row r="248" spans="1:27" ht="42.75" customHeight="1">
      <c r="A248" s="1176"/>
      <c r="B248" s="1228" t="s">
        <v>2380</v>
      </c>
      <c r="C248" s="1154" t="s">
        <v>2379</v>
      </c>
      <c r="D248" s="1209" t="s">
        <v>637</v>
      </c>
      <c r="E248" s="1126"/>
      <c r="F248" s="1151">
        <v>0.77700000000000002</v>
      </c>
      <c r="G248" s="952" t="s">
        <v>0</v>
      </c>
      <c r="H248" s="336" t="s">
        <v>634</v>
      </c>
      <c r="I248" s="336" t="s">
        <v>5075</v>
      </c>
      <c r="J248" s="230" t="s">
        <v>1941</v>
      </c>
      <c r="K248" s="952">
        <v>8</v>
      </c>
      <c r="L248" s="231" t="s">
        <v>5815</v>
      </c>
      <c r="M248" s="194"/>
      <c r="N248" s="1167"/>
      <c r="O248" s="1116" t="str">
        <f t="shared" si="27"/>
        <v>نصب کورکن های داخل رکاب</v>
      </c>
      <c r="P248" s="1117" t="str">
        <f t="shared" si="27"/>
        <v>SX5-8200-4</v>
      </c>
      <c r="Q248" s="627" t="str">
        <f t="shared" si="29"/>
        <v>SX5G-8263101</v>
      </c>
      <c r="R248" s="585" t="str">
        <f t="shared" si="26"/>
        <v>کورکن لاستیکی</v>
      </c>
      <c r="S248" s="586">
        <f t="shared" si="26"/>
        <v>8</v>
      </c>
      <c r="T248" s="589"/>
      <c r="U248" s="589"/>
      <c r="V248" s="589"/>
      <c r="W248" s="589"/>
      <c r="X248" s="590"/>
      <c r="Y248" s="590"/>
      <c r="Z248" s="589"/>
      <c r="AA248" s="724"/>
    </row>
    <row r="249" spans="1:27" ht="42.75" customHeight="1" thickBot="1">
      <c r="A249" s="1236"/>
      <c r="B249" s="1237"/>
      <c r="C249" s="1186" t="s">
        <v>1248</v>
      </c>
      <c r="D249" s="1159"/>
      <c r="E249" s="1214"/>
      <c r="F249" s="1232"/>
      <c r="G249" s="953" t="s">
        <v>1</v>
      </c>
      <c r="H249" s="362" t="s">
        <v>2378</v>
      </c>
      <c r="I249" s="362"/>
      <c r="J249" s="272" t="s">
        <v>1945</v>
      </c>
      <c r="K249" s="953">
        <v>8</v>
      </c>
      <c r="L249" s="250" t="s">
        <v>5837</v>
      </c>
      <c r="M249" s="194"/>
      <c r="N249" s="1168"/>
      <c r="O249" s="1186"/>
      <c r="P249" s="1159"/>
      <c r="Q249" s="363" t="str">
        <f t="shared" si="29"/>
        <v>SX5G-8263121</v>
      </c>
      <c r="R249" s="274" t="str">
        <f t="shared" si="26"/>
        <v>کورکن آلومینیومی کوچک ¢20</v>
      </c>
      <c r="S249" s="251">
        <f t="shared" si="26"/>
        <v>8</v>
      </c>
      <c r="T249" s="283"/>
      <c r="U249" s="283"/>
      <c r="V249" s="283"/>
      <c r="W249" s="283"/>
      <c r="X249" s="284"/>
      <c r="Y249" s="284"/>
      <c r="Z249" s="283"/>
      <c r="AA249" s="285"/>
    </row>
    <row r="250" spans="1:27" ht="42.75" customHeight="1">
      <c r="A250" s="1175" t="s">
        <v>2389</v>
      </c>
      <c r="B250" s="946" t="s">
        <v>2453</v>
      </c>
      <c r="C250" s="966" t="s">
        <v>2376</v>
      </c>
      <c r="D250" s="967"/>
      <c r="E250" s="945"/>
      <c r="F250" s="946">
        <v>1.01</v>
      </c>
      <c r="G250" s="255" t="s">
        <v>1371</v>
      </c>
      <c r="H250" s="255" t="s">
        <v>1411</v>
      </c>
      <c r="I250" s="360"/>
      <c r="J250" s="256" t="s">
        <v>1372</v>
      </c>
      <c r="K250" s="255" t="s">
        <v>1371</v>
      </c>
      <c r="L250" s="257"/>
      <c r="M250" s="194"/>
      <c r="N250" s="1166" t="str">
        <f>A250</f>
        <v>P21</v>
      </c>
      <c r="O250" s="966" t="str">
        <f t="shared" si="27"/>
        <v>کمک به حمل و نصب داشبورد</v>
      </c>
      <c r="P250" s="967">
        <f t="shared" si="27"/>
        <v>0</v>
      </c>
      <c r="Q250" s="346" t="str">
        <f t="shared" si="29"/>
        <v>-------</v>
      </c>
      <c r="R250" s="345" t="str">
        <f t="shared" si="26"/>
        <v>--------</v>
      </c>
      <c r="S250" s="346" t="str">
        <f t="shared" si="26"/>
        <v>---</v>
      </c>
      <c r="T250" s="226"/>
      <c r="U250" s="226"/>
      <c r="V250" s="226"/>
      <c r="W250" s="226"/>
      <c r="X250" s="227"/>
      <c r="Y250" s="227"/>
      <c r="Z250" s="226"/>
      <c r="AA250" s="228"/>
    </row>
    <row r="251" spans="1:27" ht="42.75" customHeight="1">
      <c r="A251" s="1176"/>
      <c r="B251" s="1115" t="s">
        <v>2453</v>
      </c>
      <c r="C251" s="1116" t="s">
        <v>2375</v>
      </c>
      <c r="D251" s="1117" t="s">
        <v>179</v>
      </c>
      <c r="E251" s="1118" t="s">
        <v>4973</v>
      </c>
      <c r="F251" s="1115">
        <v>4.22</v>
      </c>
      <c r="G251" s="941" t="s">
        <v>0</v>
      </c>
      <c r="H251" s="941" t="s">
        <v>180</v>
      </c>
      <c r="I251" s="941"/>
      <c r="J251" s="647" t="s">
        <v>2374</v>
      </c>
      <c r="K251" s="941">
        <v>1</v>
      </c>
      <c r="L251" s="802" t="s">
        <v>5807</v>
      </c>
      <c r="M251" s="194"/>
      <c r="N251" s="1167"/>
      <c r="O251" s="1116" t="str">
        <f t="shared" si="27"/>
        <v>مونتاژ مجموعه ایربگ پرده اي</v>
      </c>
      <c r="P251" s="1117" t="str">
        <f t="shared" si="27"/>
        <v>SX5-5820-1</v>
      </c>
      <c r="Q251" s="586" t="str">
        <f t="shared" si="29"/>
        <v>SX5-5820610</v>
      </c>
      <c r="R251" s="585" t="str">
        <f t="shared" si="26"/>
        <v>مجموعه ایربگ جانبی - سمت راننده</v>
      </c>
      <c r="S251" s="586">
        <f t="shared" si="26"/>
        <v>1</v>
      </c>
      <c r="T251" s="589"/>
      <c r="U251" s="589"/>
      <c r="V251" s="589"/>
      <c r="W251" s="589"/>
      <c r="X251" s="590"/>
      <c r="Y251" s="590"/>
      <c r="Z251" s="589"/>
      <c r="AA251" s="724"/>
    </row>
    <row r="252" spans="1:27" ht="42.75" customHeight="1">
      <c r="A252" s="1176"/>
      <c r="B252" s="1115"/>
      <c r="C252" s="1116" t="s">
        <v>1248</v>
      </c>
      <c r="D252" s="1117"/>
      <c r="E252" s="1118"/>
      <c r="F252" s="1115"/>
      <c r="G252" s="941" t="s">
        <v>0</v>
      </c>
      <c r="H252" s="941" t="s">
        <v>181</v>
      </c>
      <c r="I252" s="941"/>
      <c r="J252" s="647" t="s">
        <v>2373</v>
      </c>
      <c r="K252" s="941">
        <v>1</v>
      </c>
      <c r="L252" s="802" t="s">
        <v>5807</v>
      </c>
      <c r="M252" s="194"/>
      <c r="N252" s="1167"/>
      <c r="O252" s="1116"/>
      <c r="P252" s="1117"/>
      <c r="Q252" s="586" t="str">
        <f t="shared" si="29"/>
        <v>SX5-5820620</v>
      </c>
      <c r="R252" s="585" t="str">
        <f t="shared" ref="R252:S313" si="31">J252</f>
        <v>مجموعه ایربگ جانبی - سمت شاگرد</v>
      </c>
      <c r="S252" s="586">
        <f t="shared" si="31"/>
        <v>1</v>
      </c>
      <c r="T252" s="589"/>
      <c r="U252" s="589"/>
      <c r="V252" s="589"/>
      <c r="W252" s="589"/>
      <c r="X252" s="590"/>
      <c r="Y252" s="590"/>
      <c r="Z252" s="589"/>
      <c r="AA252" s="724"/>
    </row>
    <row r="253" spans="1:27" ht="42.75" customHeight="1">
      <c r="A253" s="1176"/>
      <c r="B253" s="1115"/>
      <c r="C253" s="1116" t="s">
        <v>1248</v>
      </c>
      <c r="D253" s="1117"/>
      <c r="E253" s="1118"/>
      <c r="F253" s="1115"/>
      <c r="G253" s="941" t="s">
        <v>1</v>
      </c>
      <c r="H253" s="900" t="s">
        <v>15</v>
      </c>
      <c r="I253" s="900"/>
      <c r="J253" s="647" t="s">
        <v>1247</v>
      </c>
      <c r="K253" s="941">
        <v>6</v>
      </c>
      <c r="L253" s="802" t="s">
        <v>5834</v>
      </c>
      <c r="M253" s="194"/>
      <c r="N253" s="1167"/>
      <c r="O253" s="1116"/>
      <c r="P253" s="1117"/>
      <c r="Q253" s="621" t="str">
        <f t="shared" si="29"/>
        <v>Q1860612F36</v>
      </c>
      <c r="R253" s="585" t="str">
        <f t="shared" si="31"/>
        <v>پیچ فلنجی سر شش گوش</v>
      </c>
      <c r="S253" s="586">
        <f t="shared" si="31"/>
        <v>6</v>
      </c>
      <c r="T253" s="587">
        <v>8</v>
      </c>
      <c r="U253" s="587">
        <v>9</v>
      </c>
      <c r="V253" s="587">
        <v>10</v>
      </c>
      <c r="W253" s="588" t="s">
        <v>5431</v>
      </c>
      <c r="X253" s="587" t="s">
        <v>5432</v>
      </c>
      <c r="Y253" s="587" t="s">
        <v>5522</v>
      </c>
      <c r="Z253" s="587"/>
      <c r="AA253" s="728"/>
    </row>
    <row r="254" spans="1:27" ht="42.75" customHeight="1">
      <c r="A254" s="1176"/>
      <c r="B254" s="1115" t="s">
        <v>2453</v>
      </c>
      <c r="C254" s="1116" t="s">
        <v>2372</v>
      </c>
      <c r="D254" s="1117" t="s">
        <v>299</v>
      </c>
      <c r="E254" s="1118"/>
      <c r="F254" s="1115">
        <v>0.85914000000000001</v>
      </c>
      <c r="G254" s="941" t="s">
        <v>0</v>
      </c>
      <c r="H254" s="941" t="s">
        <v>300</v>
      </c>
      <c r="I254" s="941"/>
      <c r="J254" s="647" t="s">
        <v>2371</v>
      </c>
      <c r="K254" s="941">
        <v>1</v>
      </c>
      <c r="L254" s="802" t="s">
        <v>5807</v>
      </c>
      <c r="M254" s="194"/>
      <c r="N254" s="1167"/>
      <c r="O254" s="1116" t="str">
        <f>C254</f>
        <v>نصب براکت زیر مکانیزم تعویض دنده</v>
      </c>
      <c r="P254" s="1117" t="str">
        <f>D254</f>
        <v>SX5-1700-3</v>
      </c>
      <c r="Q254" s="586" t="str">
        <f t="shared" si="29"/>
        <v>SX5F-1703620</v>
      </c>
      <c r="R254" s="585" t="str">
        <f t="shared" si="31"/>
        <v xml:space="preserve">براکت اهرم تعویض دنده </v>
      </c>
      <c r="S254" s="586">
        <f t="shared" si="31"/>
        <v>1</v>
      </c>
      <c r="T254" s="589"/>
      <c r="U254" s="589"/>
      <c r="V254" s="589"/>
      <c r="W254" s="589"/>
      <c r="X254" s="590"/>
      <c r="Y254" s="590"/>
      <c r="Z254" s="589"/>
      <c r="AA254" s="724"/>
    </row>
    <row r="255" spans="1:27" ht="42.75" customHeight="1" thickBot="1">
      <c r="A255" s="1236"/>
      <c r="B255" s="1232"/>
      <c r="C255" s="1186" t="s">
        <v>1248</v>
      </c>
      <c r="D255" s="1159"/>
      <c r="E255" s="1214"/>
      <c r="F255" s="1232"/>
      <c r="G255" s="953" t="s">
        <v>1</v>
      </c>
      <c r="H255" s="953" t="s">
        <v>301</v>
      </c>
      <c r="I255" s="953"/>
      <c r="J255" s="272" t="s">
        <v>2370</v>
      </c>
      <c r="K255" s="953">
        <v>4</v>
      </c>
      <c r="L255" s="250" t="s">
        <v>5832</v>
      </c>
      <c r="M255" s="194"/>
      <c r="N255" s="1167"/>
      <c r="O255" s="1116"/>
      <c r="P255" s="1117"/>
      <c r="Q255" s="586" t="str">
        <f t="shared" si="29"/>
        <v>Q32206F38</v>
      </c>
      <c r="R255" s="585" t="str">
        <f t="shared" si="31"/>
        <v xml:space="preserve">مهره فلنجی شش گوش </v>
      </c>
      <c r="S255" s="586">
        <f t="shared" si="31"/>
        <v>4</v>
      </c>
      <c r="T255" s="587">
        <v>8</v>
      </c>
      <c r="U255" s="587">
        <v>9</v>
      </c>
      <c r="V255" s="587">
        <v>10</v>
      </c>
      <c r="W255" s="588" t="s">
        <v>5431</v>
      </c>
      <c r="X255" s="587" t="s">
        <v>5523</v>
      </c>
      <c r="Y255" s="587" t="s">
        <v>5522</v>
      </c>
      <c r="Z255" s="589"/>
      <c r="AA255" s="724"/>
    </row>
    <row r="256" spans="1:27" ht="42.75" customHeight="1">
      <c r="A256" s="1210" t="s">
        <v>2377</v>
      </c>
      <c r="B256" s="918" t="s">
        <v>2333</v>
      </c>
      <c r="C256" s="920" t="s">
        <v>2416</v>
      </c>
      <c r="D256" s="922" t="s">
        <v>210</v>
      </c>
      <c r="E256" s="924"/>
      <c r="F256" s="918">
        <v>0.23938999999999999</v>
      </c>
      <c r="G256" s="977" t="s">
        <v>0</v>
      </c>
      <c r="H256" s="977" t="s">
        <v>211</v>
      </c>
      <c r="I256" s="977"/>
      <c r="J256" s="298" t="s">
        <v>2415</v>
      </c>
      <c r="K256" s="977">
        <v>2</v>
      </c>
      <c r="L256" s="435" t="s">
        <v>5838</v>
      </c>
      <c r="M256" s="194"/>
      <c r="N256" s="1166" t="str">
        <f t="shared" ref="N256:N263" si="32">A256</f>
        <v>P22</v>
      </c>
      <c r="O256" s="943" t="str">
        <f t="shared" ref="O256:P258" si="33">C256</f>
        <v>نصب ضربه گیر لاستیکی درب باک</v>
      </c>
      <c r="P256" s="944" t="str">
        <f t="shared" si="33"/>
        <v>SX5-8210-1</v>
      </c>
      <c r="Q256" s="803" t="str">
        <f t="shared" ref="Q256:Q279" si="34">H256</f>
        <v>BS3-8210060</v>
      </c>
      <c r="R256" s="224" t="str">
        <f t="shared" si="31"/>
        <v>ضربه گیر لاستیکی درب باک</v>
      </c>
      <c r="S256" s="225">
        <f t="shared" si="31"/>
        <v>2</v>
      </c>
      <c r="T256" s="226"/>
      <c r="U256" s="226"/>
      <c r="V256" s="226"/>
      <c r="W256" s="226"/>
      <c r="X256" s="227"/>
      <c r="Y256" s="227"/>
      <c r="Z256" s="226"/>
      <c r="AA256" s="228"/>
    </row>
    <row r="257" spans="1:34" ht="42.75" customHeight="1">
      <c r="A257" s="1167"/>
      <c r="B257" s="935" t="s">
        <v>2333</v>
      </c>
      <c r="C257" s="929" t="s">
        <v>2414</v>
      </c>
      <c r="D257" s="931" t="s">
        <v>212</v>
      </c>
      <c r="E257" s="939"/>
      <c r="F257" s="935">
        <v>0.10915</v>
      </c>
      <c r="G257" s="952" t="s">
        <v>0</v>
      </c>
      <c r="H257" s="952" t="s">
        <v>213</v>
      </c>
      <c r="I257" s="952"/>
      <c r="J257" s="230" t="s">
        <v>2413</v>
      </c>
      <c r="K257" s="952">
        <v>1</v>
      </c>
      <c r="L257" s="231" t="s">
        <v>5838</v>
      </c>
      <c r="M257" s="194"/>
      <c r="N257" s="1167">
        <f t="shared" si="32"/>
        <v>0</v>
      </c>
      <c r="O257" s="914" t="str">
        <f t="shared" si="33"/>
        <v>نصب صفحه فنری درب باک</v>
      </c>
      <c r="P257" s="915" t="str">
        <f t="shared" si="33"/>
        <v>SX5-8210-4</v>
      </c>
      <c r="Q257" s="586" t="str">
        <f t="shared" si="34"/>
        <v>SX5-8210080</v>
      </c>
      <c r="R257" s="585" t="str">
        <f t="shared" si="31"/>
        <v>صفحه فنری درب باک</v>
      </c>
      <c r="S257" s="586">
        <f t="shared" si="31"/>
        <v>1</v>
      </c>
      <c r="T257" s="589"/>
      <c r="U257" s="589"/>
      <c r="V257" s="589"/>
      <c r="W257" s="589"/>
      <c r="X257" s="590"/>
      <c r="Y257" s="590"/>
      <c r="Z257" s="589"/>
      <c r="AA257" s="724"/>
    </row>
    <row r="258" spans="1:34" ht="42.75" customHeight="1">
      <c r="A258" s="1167"/>
      <c r="B258" s="1151" t="s">
        <v>2333</v>
      </c>
      <c r="C258" s="1256" t="s">
        <v>2412</v>
      </c>
      <c r="D258" s="1158" t="s">
        <v>2411</v>
      </c>
      <c r="E258" s="1212" t="s">
        <v>4974</v>
      </c>
      <c r="F258" s="1151">
        <v>0.67710000000000004</v>
      </c>
      <c r="G258" s="952" t="s">
        <v>0</v>
      </c>
      <c r="H258" s="364" t="s">
        <v>2410</v>
      </c>
      <c r="I258" s="952"/>
      <c r="J258" s="260" t="s">
        <v>2409</v>
      </c>
      <c r="K258" s="336">
        <v>1</v>
      </c>
      <c r="L258" s="231" t="s">
        <v>5846</v>
      </c>
      <c r="M258" s="194"/>
      <c r="N258" s="1167">
        <f t="shared" si="32"/>
        <v>0</v>
      </c>
      <c r="O258" s="1192" t="str">
        <f t="shared" si="33"/>
        <v>مونتاژ درب باك</v>
      </c>
      <c r="P258" s="1194" t="str">
        <f t="shared" si="33"/>
        <v>SX5-5401-1</v>
      </c>
      <c r="Q258" s="640" t="str">
        <f t="shared" si="34"/>
        <v>SX5-5401090</v>
      </c>
      <c r="R258" s="605" t="str">
        <f t="shared" si="31"/>
        <v>براکت درب پرکن سوخت</v>
      </c>
      <c r="S258" s="627">
        <f t="shared" si="31"/>
        <v>1</v>
      </c>
      <c r="T258" s="589"/>
      <c r="U258" s="589"/>
      <c r="V258" s="589"/>
      <c r="W258" s="589"/>
      <c r="X258" s="590"/>
      <c r="Y258" s="590"/>
      <c r="Z258" s="589"/>
      <c r="AA258" s="724"/>
    </row>
    <row r="259" spans="1:34" ht="42.75" customHeight="1">
      <c r="A259" s="1167"/>
      <c r="B259" s="1151"/>
      <c r="C259" s="1256" t="s">
        <v>1248</v>
      </c>
      <c r="D259" s="1158"/>
      <c r="E259" s="1212"/>
      <c r="F259" s="1151"/>
      <c r="G259" s="952" t="s">
        <v>1</v>
      </c>
      <c r="H259" s="364" t="s">
        <v>2408</v>
      </c>
      <c r="I259" s="952"/>
      <c r="J259" s="260" t="s">
        <v>1279</v>
      </c>
      <c r="K259" s="336">
        <v>2</v>
      </c>
      <c r="L259" s="231" t="s">
        <v>5845</v>
      </c>
      <c r="M259" s="194"/>
      <c r="N259" s="1167">
        <f t="shared" si="32"/>
        <v>0</v>
      </c>
      <c r="O259" s="1192"/>
      <c r="P259" s="1194"/>
      <c r="Q259" s="640" t="str">
        <f t="shared" si="34"/>
        <v>Q2300512F38</v>
      </c>
      <c r="R259" s="605" t="str">
        <f t="shared" si="31"/>
        <v>پیچ چهارسو سر گرد</v>
      </c>
      <c r="S259" s="627">
        <f t="shared" si="31"/>
        <v>2</v>
      </c>
      <c r="T259" s="587">
        <v>3</v>
      </c>
      <c r="U259" s="587">
        <v>4</v>
      </c>
      <c r="V259" s="587">
        <v>5</v>
      </c>
      <c r="W259" s="588" t="s">
        <v>5524</v>
      </c>
      <c r="X259" s="587" t="s">
        <v>5451</v>
      </c>
      <c r="Y259" s="587" t="s">
        <v>5525</v>
      </c>
      <c r="Z259" s="589"/>
      <c r="AA259" s="724"/>
    </row>
    <row r="260" spans="1:34" ht="42.75" customHeight="1">
      <c r="A260" s="1167"/>
      <c r="B260" s="935" t="s">
        <v>2333</v>
      </c>
      <c r="C260" s="982" t="s">
        <v>2407</v>
      </c>
      <c r="D260" s="995" t="s">
        <v>2406</v>
      </c>
      <c r="E260" s="1017"/>
      <c r="F260" s="935">
        <v>1.8</v>
      </c>
      <c r="G260" s="292" t="s">
        <v>1371</v>
      </c>
      <c r="H260" s="348" t="s">
        <v>1464</v>
      </c>
      <c r="I260" s="348"/>
      <c r="J260" s="291" t="s">
        <v>1828</v>
      </c>
      <c r="K260" s="292" t="s">
        <v>1371</v>
      </c>
      <c r="L260" s="299"/>
      <c r="M260" s="194"/>
      <c r="N260" s="1167">
        <f t="shared" si="32"/>
        <v>0</v>
      </c>
      <c r="O260" s="964" t="str">
        <f t="shared" ref="O260:P263" si="35">C260</f>
        <v xml:space="preserve"> بازکردن درب جلو راست</v>
      </c>
      <c r="P260" s="965" t="str">
        <f t="shared" si="35"/>
        <v>SX5-6100-2A</v>
      </c>
      <c r="Q260" s="636" t="str">
        <f t="shared" si="34"/>
        <v>---------</v>
      </c>
      <c r="R260" s="610" t="str">
        <f t="shared" si="31"/>
        <v>----------</v>
      </c>
      <c r="S260" s="611" t="str">
        <f t="shared" si="31"/>
        <v>---</v>
      </c>
      <c r="T260" s="589"/>
      <c r="U260" s="589"/>
      <c r="V260" s="589"/>
      <c r="W260" s="589"/>
      <c r="X260" s="590"/>
      <c r="Y260" s="590"/>
      <c r="Z260" s="589"/>
      <c r="AA260" s="724"/>
    </row>
    <row r="261" spans="1:34" ht="42.75" customHeight="1">
      <c r="A261" s="1167"/>
      <c r="B261" s="935" t="s">
        <v>2333</v>
      </c>
      <c r="C261" s="929" t="s">
        <v>2405</v>
      </c>
      <c r="D261" s="931" t="s">
        <v>5797</v>
      </c>
      <c r="E261" s="939" t="s">
        <v>4973</v>
      </c>
      <c r="F261" s="935">
        <v>0.76199666666666699</v>
      </c>
      <c r="G261" s="952" t="s">
        <v>0</v>
      </c>
      <c r="H261" s="952" t="s">
        <v>5121</v>
      </c>
      <c r="I261" s="952"/>
      <c r="J261" s="230" t="s">
        <v>2404</v>
      </c>
      <c r="K261" s="952">
        <v>1</v>
      </c>
      <c r="L261" s="231" t="s">
        <v>5842</v>
      </c>
      <c r="M261" s="194"/>
      <c r="N261" s="1167">
        <f t="shared" si="32"/>
        <v>0</v>
      </c>
      <c r="O261" s="914" t="str">
        <f t="shared" si="35"/>
        <v>نصب مجموعه لوله سوخت</v>
      </c>
      <c r="P261" s="915" t="str">
        <f t="shared" si="35"/>
        <v>SX7H-1100-5</v>
      </c>
      <c r="Q261" s="586" t="str">
        <f t="shared" si="34"/>
        <v>SX7HCT-1104-0001CS</v>
      </c>
      <c r="R261" s="585" t="str">
        <f t="shared" si="31"/>
        <v>مجموعه لوله سوخت</v>
      </c>
      <c r="S261" s="586">
        <f t="shared" si="31"/>
        <v>1</v>
      </c>
      <c r="T261" s="589"/>
      <c r="U261" s="589"/>
      <c r="V261" s="589"/>
      <c r="W261" s="589"/>
      <c r="X261" s="590"/>
      <c r="Y261" s="590"/>
      <c r="Z261" s="589"/>
      <c r="AA261" s="724"/>
    </row>
    <row r="262" spans="1:34" ht="42.75" customHeight="1">
      <c r="A262" s="1167"/>
      <c r="B262" s="935" t="s">
        <v>2333</v>
      </c>
      <c r="C262" s="982" t="s">
        <v>2403</v>
      </c>
      <c r="D262" s="995" t="s">
        <v>2402</v>
      </c>
      <c r="E262" s="1001" t="s">
        <v>4973</v>
      </c>
      <c r="F262" s="935">
        <v>1.8</v>
      </c>
      <c r="G262" s="1021"/>
      <c r="H262" s="347" t="s">
        <v>2401</v>
      </c>
      <c r="I262" s="348" t="s">
        <v>1256</v>
      </c>
      <c r="J262" s="246" t="s">
        <v>2317</v>
      </c>
      <c r="K262" s="349">
        <v>4</v>
      </c>
      <c r="L262" s="231" t="s">
        <v>5841</v>
      </c>
      <c r="M262" s="194"/>
      <c r="N262" s="1167">
        <f t="shared" si="32"/>
        <v>0</v>
      </c>
      <c r="O262" s="964" t="str">
        <f t="shared" si="35"/>
        <v>مونتاژ مجدد درب جلو راست به بدنه</v>
      </c>
      <c r="P262" s="965" t="str">
        <f t="shared" si="35"/>
        <v>SX5-6100-2B</v>
      </c>
      <c r="Q262" s="631" t="str">
        <f t="shared" si="34"/>
        <v>B-6106056A1</v>
      </c>
      <c r="R262" s="607" t="str">
        <f t="shared" si="31"/>
        <v>مهره نصب درب ها به بدنه</v>
      </c>
      <c r="S262" s="632">
        <f t="shared" si="31"/>
        <v>4</v>
      </c>
      <c r="T262" s="587">
        <v>20</v>
      </c>
      <c r="U262" s="587">
        <v>23</v>
      </c>
      <c r="V262" s="587">
        <v>26</v>
      </c>
      <c r="W262" s="588"/>
      <c r="X262" s="587" t="s">
        <v>5497</v>
      </c>
      <c r="Y262" s="587" t="s">
        <v>5526</v>
      </c>
      <c r="Z262" s="587"/>
      <c r="AA262" s="727"/>
    </row>
    <row r="263" spans="1:34" ht="42.75" customHeight="1" thickBot="1">
      <c r="A263" s="1168"/>
      <c r="B263" s="934" t="s">
        <v>2333</v>
      </c>
      <c r="C263" s="754" t="s">
        <v>2400</v>
      </c>
      <c r="D263" s="755" t="s">
        <v>2399</v>
      </c>
      <c r="E263" s="942"/>
      <c r="F263" s="936">
        <v>2.72</v>
      </c>
      <c r="G263" s="303"/>
      <c r="H263" s="365" t="s">
        <v>2398</v>
      </c>
      <c r="I263" s="366" t="s">
        <v>1256</v>
      </c>
      <c r="J263" s="249" t="s">
        <v>2317</v>
      </c>
      <c r="K263" s="367">
        <v>4</v>
      </c>
      <c r="L263" s="250" t="s">
        <v>5841</v>
      </c>
      <c r="M263" s="194"/>
      <c r="N263" s="1168">
        <f t="shared" si="32"/>
        <v>0</v>
      </c>
      <c r="O263" s="754" t="str">
        <f t="shared" si="35"/>
        <v>تعویض مهره های درب عقب  راست</v>
      </c>
      <c r="P263" s="755" t="str">
        <f t="shared" si="35"/>
        <v>SX5-6100-2C</v>
      </c>
      <c r="Q263" s="745" t="str">
        <f t="shared" si="34"/>
        <v>B-6106056A1</v>
      </c>
      <c r="R263" s="368" t="str">
        <f t="shared" si="31"/>
        <v>مهره نصب درب ها به بدنه</v>
      </c>
      <c r="S263" s="746">
        <f t="shared" si="31"/>
        <v>4</v>
      </c>
      <c r="T263" s="252">
        <v>22</v>
      </c>
      <c r="U263" s="252">
        <v>25</v>
      </c>
      <c r="V263" s="252">
        <v>28</v>
      </c>
      <c r="W263" s="253" t="s">
        <v>5445</v>
      </c>
      <c r="X263" s="252" t="s">
        <v>5446</v>
      </c>
      <c r="Y263" s="252" t="s">
        <v>5527</v>
      </c>
      <c r="Z263" s="252"/>
      <c r="AA263" s="369"/>
    </row>
    <row r="264" spans="1:34" ht="42.75" customHeight="1">
      <c r="A264" s="1175" t="s">
        <v>5192</v>
      </c>
      <c r="B264" s="946" t="s">
        <v>2383</v>
      </c>
      <c r="C264" s="943" t="s">
        <v>2369</v>
      </c>
      <c r="D264" s="944" t="s">
        <v>2368</v>
      </c>
      <c r="E264" s="945"/>
      <c r="F264" s="370">
        <v>0.87</v>
      </c>
      <c r="G264" s="997" t="s">
        <v>0</v>
      </c>
      <c r="H264" s="997" t="s">
        <v>417</v>
      </c>
      <c r="I264" s="997"/>
      <c r="J264" s="339" t="s">
        <v>2367</v>
      </c>
      <c r="K264" s="997">
        <v>1</v>
      </c>
      <c r="L264" s="222" t="s">
        <v>5807</v>
      </c>
      <c r="M264" s="194"/>
      <c r="N264" s="1166" t="s">
        <v>5192</v>
      </c>
      <c r="O264" s="943" t="str">
        <f t="shared" ref="O264:P279" si="36">C264</f>
        <v>نصب زه بیرونی درب جلو چپ</v>
      </c>
      <c r="P264" s="944" t="str">
        <f t="shared" si="36"/>
        <v>SX5-6102-1L</v>
      </c>
      <c r="Q264" s="225" t="str">
        <f t="shared" si="34"/>
        <v>SX5F-6102410</v>
      </c>
      <c r="R264" s="371" t="str">
        <f t="shared" si="31"/>
        <v xml:space="preserve"> قاب بیرونی درب جلو چپ ساب شده</v>
      </c>
      <c r="S264" s="225">
        <f t="shared" si="31"/>
        <v>1</v>
      </c>
      <c r="T264" s="226"/>
      <c r="U264" s="226"/>
      <c r="V264" s="226"/>
      <c r="W264" s="226"/>
      <c r="X264" s="227"/>
      <c r="Y264" s="227"/>
      <c r="Z264" s="226"/>
      <c r="AA264" s="228"/>
    </row>
    <row r="265" spans="1:34" s="267" customFormat="1" ht="42" customHeight="1">
      <c r="A265" s="1176"/>
      <c r="B265" s="1238" t="s">
        <v>2383</v>
      </c>
      <c r="C265" s="1201" t="s">
        <v>5749</v>
      </c>
      <c r="D265" s="1202" t="s">
        <v>5024</v>
      </c>
      <c r="E265" s="1165"/>
      <c r="F265" s="1227"/>
      <c r="G265" s="913" t="s">
        <v>0</v>
      </c>
      <c r="H265" s="918" t="s">
        <v>20</v>
      </c>
      <c r="I265" s="977"/>
      <c r="J265" s="600" t="s">
        <v>5196</v>
      </c>
      <c r="K265" s="977">
        <v>1</v>
      </c>
      <c r="L265" s="435" t="s">
        <v>5832</v>
      </c>
      <c r="M265" s="194"/>
      <c r="N265" s="1210"/>
      <c r="O265" s="1152" t="s">
        <v>5261</v>
      </c>
      <c r="P265" s="1120" t="s">
        <v>5368</v>
      </c>
      <c r="Q265" s="918" t="s">
        <v>20</v>
      </c>
      <c r="R265" s="863" t="s">
        <v>5196</v>
      </c>
      <c r="S265" s="803">
        <v>1</v>
      </c>
      <c r="T265" s="805"/>
      <c r="U265" s="805"/>
      <c r="V265" s="805"/>
      <c r="W265" s="805"/>
      <c r="X265" s="806"/>
      <c r="Y265" s="806"/>
      <c r="Z265" s="805"/>
      <c r="AA265" s="807"/>
      <c r="AB265" s="194"/>
      <c r="AC265" s="194"/>
      <c r="AD265" s="194"/>
      <c r="AE265" s="194"/>
      <c r="AF265" s="194"/>
      <c r="AG265" s="194"/>
      <c r="AH265" s="194"/>
    </row>
    <row r="266" spans="1:34" s="673" customFormat="1" ht="42" customHeight="1">
      <c r="A266" s="1176"/>
      <c r="B266" s="1238"/>
      <c r="C266" s="1201"/>
      <c r="D266" s="1202"/>
      <c r="E266" s="1165"/>
      <c r="F266" s="1227"/>
      <c r="G266" s="913" t="s">
        <v>1</v>
      </c>
      <c r="H266" s="918" t="s">
        <v>6195</v>
      </c>
      <c r="I266" s="977"/>
      <c r="J266" s="600" t="s">
        <v>5752</v>
      </c>
      <c r="K266" s="977">
        <v>1</v>
      </c>
      <c r="L266" s="435"/>
      <c r="M266" s="194"/>
      <c r="N266" s="1210"/>
      <c r="O266" s="1201"/>
      <c r="P266" s="1202"/>
      <c r="Q266" s="918" t="str">
        <f>H266</f>
        <v>SX5KCT-1311-0001C1</v>
      </c>
      <c r="R266" s="863" t="str">
        <f>J266</f>
        <v>مجموعه مخزن انبساط</v>
      </c>
      <c r="S266" s="803">
        <v>1</v>
      </c>
      <c r="T266" s="805"/>
      <c r="U266" s="805"/>
      <c r="V266" s="805"/>
      <c r="W266" s="805"/>
      <c r="X266" s="806"/>
      <c r="Y266" s="806"/>
      <c r="Z266" s="805"/>
      <c r="AA266" s="807"/>
      <c r="AB266" s="194"/>
      <c r="AC266" s="194"/>
      <c r="AD266" s="194"/>
      <c r="AE266" s="194"/>
      <c r="AF266" s="194"/>
      <c r="AG266" s="194"/>
      <c r="AH266" s="194"/>
    </row>
    <row r="267" spans="1:34" s="267" customFormat="1" ht="42" customHeight="1">
      <c r="A267" s="1176"/>
      <c r="B267" s="1238"/>
      <c r="C267" s="1201"/>
      <c r="D267" s="1202"/>
      <c r="E267" s="1165"/>
      <c r="F267" s="1227"/>
      <c r="G267" s="913" t="s">
        <v>2</v>
      </c>
      <c r="H267" s="935" t="s">
        <v>5270</v>
      </c>
      <c r="I267" s="935" t="s">
        <v>3</v>
      </c>
      <c r="J267" s="600" t="s">
        <v>5263</v>
      </c>
      <c r="K267" s="952">
        <v>1</v>
      </c>
      <c r="L267" s="231" t="s">
        <v>5806</v>
      </c>
      <c r="M267" s="194"/>
      <c r="N267" s="1210"/>
      <c r="O267" s="1201"/>
      <c r="P267" s="1202"/>
      <c r="Q267" s="913" t="s">
        <v>5270</v>
      </c>
      <c r="R267" s="600" t="s">
        <v>5263</v>
      </c>
      <c r="S267" s="586">
        <v>1</v>
      </c>
      <c r="T267" s="590">
        <v>6</v>
      </c>
      <c r="U267" s="590">
        <v>8</v>
      </c>
      <c r="V267" s="590">
        <v>10</v>
      </c>
      <c r="W267" s="589"/>
      <c r="X267" s="590" t="s">
        <v>5485</v>
      </c>
      <c r="Y267" s="590" t="s">
        <v>5486</v>
      </c>
      <c r="Z267" s="589"/>
      <c r="AA267" s="724"/>
      <c r="AB267" s="194"/>
      <c r="AC267" s="194"/>
      <c r="AD267" s="194"/>
      <c r="AE267" s="194"/>
      <c r="AF267" s="194"/>
      <c r="AG267" s="194"/>
      <c r="AH267" s="194"/>
    </row>
    <row r="268" spans="1:34" s="267" customFormat="1" ht="42" customHeight="1">
      <c r="A268" s="1176"/>
      <c r="B268" s="1238"/>
      <c r="C268" s="1201"/>
      <c r="D268" s="1202"/>
      <c r="E268" s="1165"/>
      <c r="F268" s="1227"/>
      <c r="G268" s="913" t="s">
        <v>7</v>
      </c>
      <c r="H268" s="935" t="s">
        <v>301</v>
      </c>
      <c r="I268" s="952"/>
      <c r="J268" s="600" t="s">
        <v>5264</v>
      </c>
      <c r="K268" s="952">
        <v>3</v>
      </c>
      <c r="L268" s="231" t="s">
        <v>5832</v>
      </c>
      <c r="M268" s="194"/>
      <c r="N268" s="1210"/>
      <c r="O268" s="1201"/>
      <c r="P268" s="1202"/>
      <c r="Q268" s="913" t="s">
        <v>301</v>
      </c>
      <c r="R268" s="600" t="s">
        <v>5264</v>
      </c>
      <c r="S268" s="586">
        <v>3</v>
      </c>
      <c r="T268" s="590">
        <v>6</v>
      </c>
      <c r="U268" s="590">
        <v>8</v>
      </c>
      <c r="V268" s="590">
        <v>10</v>
      </c>
      <c r="W268" s="589"/>
      <c r="X268" s="590" t="s">
        <v>5485</v>
      </c>
      <c r="Y268" s="590" t="s">
        <v>5486</v>
      </c>
      <c r="Z268" s="589"/>
      <c r="AA268" s="724"/>
      <c r="AB268" s="194"/>
      <c r="AC268" s="194"/>
      <c r="AD268" s="194"/>
      <c r="AE268" s="194"/>
      <c r="AF268" s="194"/>
      <c r="AG268" s="194"/>
      <c r="AH268" s="194"/>
    </row>
    <row r="269" spans="1:34" s="267" customFormat="1" ht="42" customHeight="1">
      <c r="A269" s="1176"/>
      <c r="B269" s="1139"/>
      <c r="C269" s="1153"/>
      <c r="D269" s="1121"/>
      <c r="E269" s="1123"/>
      <c r="F269" s="1161"/>
      <c r="G269" s="913" t="s">
        <v>9</v>
      </c>
      <c r="H269" s="864" t="s">
        <v>12</v>
      </c>
      <c r="I269" s="975"/>
      <c r="J269" s="865" t="s">
        <v>5197</v>
      </c>
      <c r="K269" s="975">
        <v>1</v>
      </c>
      <c r="L269" s="231" t="s">
        <v>5849</v>
      </c>
      <c r="M269" s="194"/>
      <c r="N269" s="1210"/>
      <c r="O269" s="1153"/>
      <c r="P269" s="1121"/>
      <c r="Q269" s="913" t="str">
        <f>H269</f>
        <v>13MA-11011</v>
      </c>
      <c r="R269" s="865" t="s">
        <v>5197</v>
      </c>
      <c r="S269" s="586">
        <v>2</v>
      </c>
      <c r="T269" s="589"/>
      <c r="U269" s="589"/>
      <c r="V269" s="589"/>
      <c r="W269" s="589"/>
      <c r="X269" s="590" t="s">
        <v>6128</v>
      </c>
      <c r="Y269" s="590"/>
      <c r="Z269" s="589"/>
      <c r="AA269" s="724"/>
      <c r="AB269" s="194"/>
      <c r="AC269" s="194"/>
      <c r="AD269" s="194"/>
      <c r="AE269" s="194"/>
      <c r="AF269" s="194"/>
      <c r="AG269" s="194"/>
      <c r="AH269" s="194"/>
    </row>
    <row r="270" spans="1:34" ht="39.75" customHeight="1">
      <c r="A270" s="1176"/>
      <c r="B270" s="1138" t="s">
        <v>2383</v>
      </c>
      <c r="C270" s="1152" t="s">
        <v>5262</v>
      </c>
      <c r="D270" s="1120" t="s">
        <v>5252</v>
      </c>
      <c r="E270" s="1122"/>
      <c r="F270" s="1160"/>
      <c r="G270" s="952" t="s">
        <v>5256</v>
      </c>
      <c r="H270" s="337" t="s">
        <v>5253</v>
      </c>
      <c r="I270" s="952"/>
      <c r="J270" s="246" t="s">
        <v>5030</v>
      </c>
      <c r="K270" s="952">
        <v>1</v>
      </c>
      <c r="L270" s="231" t="s">
        <v>5807</v>
      </c>
      <c r="M270" s="194"/>
      <c r="N270" s="1210"/>
      <c r="O270" s="1152" t="s">
        <v>5483</v>
      </c>
      <c r="P270" s="1120" t="s">
        <v>5252</v>
      </c>
      <c r="Q270" s="628" t="s">
        <v>5253</v>
      </c>
      <c r="R270" s="600" t="s">
        <v>5030</v>
      </c>
      <c r="S270" s="866">
        <f t="shared" ref="S270:S272" si="37">K270</f>
        <v>1</v>
      </c>
      <c r="T270" s="915"/>
      <c r="U270" s="915"/>
      <c r="V270" s="915"/>
      <c r="W270" s="915"/>
      <c r="X270" s="915"/>
      <c r="Y270" s="590"/>
      <c r="Z270" s="589"/>
      <c r="AA270" s="724"/>
    </row>
    <row r="271" spans="1:34" ht="39.75" customHeight="1">
      <c r="A271" s="1176"/>
      <c r="B271" s="1238"/>
      <c r="C271" s="1201"/>
      <c r="D271" s="1202"/>
      <c r="E271" s="1165"/>
      <c r="F271" s="1227"/>
      <c r="G271" s="952" t="s">
        <v>1</v>
      </c>
      <c r="H271" s="337" t="s">
        <v>5254</v>
      </c>
      <c r="I271" s="952"/>
      <c r="J271" s="246" t="s">
        <v>5403</v>
      </c>
      <c r="K271" s="952">
        <v>1</v>
      </c>
      <c r="L271" s="231" t="s">
        <v>5807</v>
      </c>
      <c r="M271" s="194"/>
      <c r="N271" s="1210"/>
      <c r="O271" s="1201"/>
      <c r="P271" s="1202"/>
      <c r="Q271" s="628" t="s">
        <v>5254</v>
      </c>
      <c r="R271" s="600" t="s">
        <v>5484</v>
      </c>
      <c r="S271" s="866">
        <f t="shared" si="37"/>
        <v>1</v>
      </c>
      <c r="T271" s="915"/>
      <c r="U271" s="915"/>
      <c r="V271" s="915"/>
      <c r="W271" s="915"/>
      <c r="X271" s="915"/>
      <c r="Y271" s="590"/>
      <c r="Z271" s="589"/>
      <c r="AA271" s="724"/>
    </row>
    <row r="272" spans="1:34" ht="39.75" customHeight="1">
      <c r="A272" s="1176"/>
      <c r="B272" s="1238"/>
      <c r="C272" s="1201"/>
      <c r="D272" s="1202"/>
      <c r="E272" s="1165"/>
      <c r="F272" s="1227"/>
      <c r="G272" s="952" t="s">
        <v>2</v>
      </c>
      <c r="H272" s="867" t="s">
        <v>5255</v>
      </c>
      <c r="I272" s="952"/>
      <c r="J272" s="246" t="s">
        <v>5402</v>
      </c>
      <c r="K272" s="952">
        <v>1</v>
      </c>
      <c r="L272" s="231" t="s">
        <v>5807</v>
      </c>
      <c r="M272" s="194"/>
      <c r="N272" s="1210"/>
      <c r="O272" s="1201"/>
      <c r="P272" s="1202"/>
      <c r="Q272" s="868" t="s">
        <v>5255</v>
      </c>
      <c r="R272" s="600" t="s">
        <v>5402</v>
      </c>
      <c r="S272" s="866">
        <f t="shared" si="37"/>
        <v>1</v>
      </c>
      <c r="T272" s="915"/>
      <c r="U272" s="915"/>
      <c r="V272" s="915"/>
      <c r="W272" s="915"/>
      <c r="X272" s="915"/>
      <c r="Y272" s="590"/>
      <c r="Z272" s="589"/>
      <c r="AA272" s="724"/>
    </row>
    <row r="273" spans="1:27" ht="39.75" customHeight="1">
      <c r="A273" s="1176"/>
      <c r="B273" s="1238"/>
      <c r="C273" s="1201"/>
      <c r="D273" s="1202"/>
      <c r="E273" s="1165"/>
      <c r="F273" s="1227"/>
      <c r="G273" s="941" t="s">
        <v>7</v>
      </c>
      <c r="H273" s="869" t="s">
        <v>6188</v>
      </c>
      <c r="I273" s="941"/>
      <c r="J273" s="870" t="s">
        <v>5402</v>
      </c>
      <c r="K273" s="941">
        <v>1</v>
      </c>
      <c r="L273" s="231" t="s">
        <v>5807</v>
      </c>
      <c r="M273" s="194"/>
      <c r="N273" s="1210"/>
      <c r="O273" s="1201"/>
      <c r="P273" s="1202"/>
      <c r="Q273" s="868" t="str">
        <f>H273</f>
        <v>SX7H-1303090</v>
      </c>
      <c r="R273" s="871" t="str">
        <f>J273</f>
        <v>لوله خروجی سیستم تهویه مطبوع</v>
      </c>
      <c r="S273" s="868">
        <f>K273</f>
        <v>1</v>
      </c>
      <c r="T273" s="915"/>
      <c r="U273" s="915"/>
      <c r="V273" s="915"/>
      <c r="W273" s="915"/>
      <c r="X273" s="915"/>
      <c r="Y273" s="590"/>
      <c r="Z273" s="589"/>
      <c r="AA273" s="724"/>
    </row>
    <row r="274" spans="1:27" s="541" customFormat="1" ht="42" customHeight="1">
      <c r="A274" s="1176"/>
      <c r="B274" s="1238"/>
      <c r="C274" s="1201"/>
      <c r="D274" s="1202"/>
      <c r="E274" s="1165"/>
      <c r="F274" s="1227"/>
      <c r="G274" s="941" t="s">
        <v>9</v>
      </c>
      <c r="H274" s="872" t="s">
        <v>6189</v>
      </c>
      <c r="I274" s="941"/>
      <c r="J274" s="870" t="s">
        <v>5257</v>
      </c>
      <c r="K274" s="941">
        <v>1</v>
      </c>
      <c r="L274" s="1057" t="s">
        <v>5837</v>
      </c>
      <c r="M274" s="808"/>
      <c r="N274" s="1210"/>
      <c r="O274" s="1201"/>
      <c r="P274" s="1202"/>
      <c r="Q274" s="868" t="str">
        <f t="shared" ref="Q274:Q276" si="38">H274</f>
        <v>Q673C24F62</v>
      </c>
      <c r="R274" s="871" t="str">
        <f t="shared" ref="R274:R276" si="39">J274</f>
        <v>بست نگه دارنده لوله</v>
      </c>
      <c r="S274" s="586">
        <f t="shared" ref="S274:S276" si="40">K274</f>
        <v>1</v>
      </c>
      <c r="T274" s="589"/>
      <c r="U274" s="589"/>
      <c r="V274" s="589"/>
      <c r="W274" s="589"/>
      <c r="X274" s="590" t="s">
        <v>6128</v>
      </c>
      <c r="Y274" s="590"/>
      <c r="Z274" s="589"/>
      <c r="AA274" s="724"/>
    </row>
    <row r="275" spans="1:27" s="851" customFormat="1" ht="42" customHeight="1">
      <c r="A275" s="1176"/>
      <c r="B275" s="1238"/>
      <c r="C275" s="1201"/>
      <c r="D275" s="1202"/>
      <c r="E275" s="1165"/>
      <c r="F275" s="1227"/>
      <c r="G275" s="977" t="s">
        <v>10</v>
      </c>
      <c r="H275" s="872" t="s">
        <v>5751</v>
      </c>
      <c r="I275" s="977"/>
      <c r="J275" s="870" t="s">
        <v>5257</v>
      </c>
      <c r="K275" s="977">
        <v>1</v>
      </c>
      <c r="L275" s="1058" t="s">
        <v>5837</v>
      </c>
      <c r="M275" s="808"/>
      <c r="N275" s="1210"/>
      <c r="O275" s="1201"/>
      <c r="P275" s="1202"/>
      <c r="Q275" s="868" t="str">
        <f t="shared" si="38"/>
        <v>Q673C25F62</v>
      </c>
      <c r="R275" s="871" t="str">
        <f t="shared" si="39"/>
        <v>بست نگه دارنده لوله</v>
      </c>
      <c r="S275" s="803">
        <f t="shared" si="40"/>
        <v>1</v>
      </c>
      <c r="T275" s="805"/>
      <c r="U275" s="805"/>
      <c r="V275" s="805"/>
      <c r="W275" s="805"/>
      <c r="X275" s="590" t="s">
        <v>6128</v>
      </c>
      <c r="Y275" s="806"/>
      <c r="Z275" s="805"/>
      <c r="AA275" s="807"/>
    </row>
    <row r="276" spans="1:27" s="851" customFormat="1" ht="42" customHeight="1">
      <c r="A276" s="1176"/>
      <c r="B276" s="1139"/>
      <c r="C276" s="1153"/>
      <c r="D276" s="1121"/>
      <c r="E276" s="1123"/>
      <c r="F276" s="1161"/>
      <c r="G276" s="977" t="s">
        <v>24</v>
      </c>
      <c r="H276" s="872" t="s">
        <v>5277</v>
      </c>
      <c r="I276" s="977"/>
      <c r="J276" s="870" t="s">
        <v>5257</v>
      </c>
      <c r="K276" s="977">
        <v>1</v>
      </c>
      <c r="L276" s="1057" t="s">
        <v>5849</v>
      </c>
      <c r="M276" s="808"/>
      <c r="N276" s="1210"/>
      <c r="O276" s="1153"/>
      <c r="P276" s="1121"/>
      <c r="Q276" s="868" t="str">
        <f t="shared" si="38"/>
        <v>Q673C26F62</v>
      </c>
      <c r="R276" s="871" t="str">
        <f t="shared" si="39"/>
        <v>بست نگه دارنده لوله</v>
      </c>
      <c r="S276" s="803">
        <f t="shared" si="40"/>
        <v>1</v>
      </c>
      <c r="T276" s="805"/>
      <c r="U276" s="805"/>
      <c r="V276" s="805"/>
      <c r="W276" s="805"/>
      <c r="X276" s="590" t="s">
        <v>6128</v>
      </c>
      <c r="Y276" s="806"/>
      <c r="Z276" s="805"/>
      <c r="AA276" s="807"/>
    </row>
    <row r="277" spans="1:27" ht="42.75" customHeight="1">
      <c r="A277" s="1176"/>
      <c r="B277" s="918" t="s">
        <v>2383</v>
      </c>
      <c r="C277" s="920" t="s">
        <v>2366</v>
      </c>
      <c r="D277" s="922" t="s">
        <v>2365</v>
      </c>
      <c r="E277" s="924"/>
      <c r="F277" s="789">
        <v>0.87</v>
      </c>
      <c r="G277" s="977" t="s">
        <v>0</v>
      </c>
      <c r="H277" s="977" t="s">
        <v>5413</v>
      </c>
      <c r="I277" s="977"/>
      <c r="J277" s="268" t="s">
        <v>2364</v>
      </c>
      <c r="K277" s="977">
        <v>1</v>
      </c>
      <c r="L277" s="435" t="s">
        <v>5807</v>
      </c>
      <c r="M277" s="808"/>
      <c r="N277" s="1167"/>
      <c r="O277" s="920" t="str">
        <f t="shared" si="36"/>
        <v>نصب زه بیرونی درب عقب چپ</v>
      </c>
      <c r="P277" s="922" t="str">
        <f t="shared" si="36"/>
        <v>SX5-6202-1L</v>
      </c>
      <c r="Q277" s="803" t="str">
        <f t="shared" si="34"/>
        <v>SX5F-6202410</v>
      </c>
      <c r="R277" s="804" t="str">
        <f t="shared" si="31"/>
        <v xml:space="preserve"> قاب بیرونی درب عقب چپ ساب شده</v>
      </c>
      <c r="S277" s="803">
        <f t="shared" si="31"/>
        <v>1</v>
      </c>
      <c r="T277" s="805"/>
      <c r="U277" s="805"/>
      <c r="V277" s="805"/>
      <c r="W277" s="805"/>
      <c r="X277" s="806"/>
      <c r="Y277" s="806"/>
      <c r="Z277" s="805"/>
      <c r="AA277" s="807"/>
    </row>
    <row r="278" spans="1:27" ht="42.75" customHeight="1">
      <c r="A278" s="1176"/>
      <c r="B278" s="935" t="s">
        <v>2383</v>
      </c>
      <c r="C278" s="929" t="s">
        <v>2363</v>
      </c>
      <c r="D278" s="931" t="s">
        <v>2362</v>
      </c>
      <c r="E278" s="939"/>
      <c r="F278" s="1021">
        <v>0.87</v>
      </c>
      <c r="G278" s="952" t="s">
        <v>0</v>
      </c>
      <c r="H278" s="952" t="s">
        <v>2361</v>
      </c>
      <c r="I278" s="952"/>
      <c r="J278" s="246" t="s">
        <v>2360</v>
      </c>
      <c r="K278" s="952">
        <v>1</v>
      </c>
      <c r="L278" s="231" t="s">
        <v>5807</v>
      </c>
      <c r="M278" s="194"/>
      <c r="N278" s="1167"/>
      <c r="O278" s="914" t="str">
        <f t="shared" si="36"/>
        <v>نصب زه بیرونی درب جلو راست</v>
      </c>
      <c r="P278" s="915" t="str">
        <f t="shared" si="36"/>
        <v>SX5-6102-1R</v>
      </c>
      <c r="Q278" s="586" t="str">
        <f t="shared" si="34"/>
        <v>SX5F-6102420</v>
      </c>
      <c r="R278" s="607" t="str">
        <f t="shared" si="31"/>
        <v xml:space="preserve"> قاب بیرونی درب جلو راست</v>
      </c>
      <c r="S278" s="586">
        <f t="shared" si="31"/>
        <v>1</v>
      </c>
      <c r="T278" s="589"/>
      <c r="U278" s="589"/>
      <c r="V278" s="589"/>
      <c r="W278" s="589"/>
      <c r="X278" s="590"/>
      <c r="Y278" s="590"/>
      <c r="Z278" s="589"/>
      <c r="AA278" s="724"/>
    </row>
    <row r="279" spans="1:27" ht="42.75" customHeight="1">
      <c r="A279" s="1176"/>
      <c r="B279" s="917" t="s">
        <v>2383</v>
      </c>
      <c r="C279" s="926" t="s">
        <v>2359</v>
      </c>
      <c r="D279" s="927" t="s">
        <v>2358</v>
      </c>
      <c r="E279" s="928"/>
      <c r="F279" s="1009">
        <v>0.87</v>
      </c>
      <c r="G279" s="975" t="s">
        <v>0</v>
      </c>
      <c r="H279" s="975" t="s">
        <v>419</v>
      </c>
      <c r="I279" s="975"/>
      <c r="J279" s="372" t="s">
        <v>2357</v>
      </c>
      <c r="K279" s="975">
        <v>1</v>
      </c>
      <c r="L279" s="231" t="s">
        <v>5807</v>
      </c>
      <c r="M279" s="194"/>
      <c r="N279" s="1167"/>
      <c r="O279" s="914" t="str">
        <f t="shared" si="36"/>
        <v>نصب زه بیرونی درب عقب راست</v>
      </c>
      <c r="P279" s="915" t="str">
        <f t="shared" si="36"/>
        <v>SX5-6202-1R</v>
      </c>
      <c r="Q279" s="586" t="str">
        <f t="shared" si="34"/>
        <v>SX5F-6202420</v>
      </c>
      <c r="R279" s="607" t="str">
        <f t="shared" si="31"/>
        <v xml:space="preserve"> قاب بیرونی درب عقب راست</v>
      </c>
      <c r="S279" s="586">
        <f t="shared" si="31"/>
        <v>1</v>
      </c>
      <c r="T279" s="589"/>
      <c r="U279" s="589"/>
      <c r="V279" s="589"/>
      <c r="W279" s="589"/>
      <c r="X279" s="590"/>
      <c r="Y279" s="590"/>
      <c r="Z279" s="589"/>
      <c r="AA279" s="724"/>
    </row>
    <row r="280" spans="1:27" ht="42.75" customHeight="1">
      <c r="A280" s="1176"/>
      <c r="B280" s="1151" t="s">
        <v>2383</v>
      </c>
      <c r="C280" s="1154" t="s">
        <v>2356</v>
      </c>
      <c r="D280" s="1209" t="s">
        <v>2355</v>
      </c>
      <c r="E280" s="1126"/>
      <c r="F280" s="1151"/>
      <c r="G280" s="952" t="s">
        <v>0</v>
      </c>
      <c r="H280" s="234" t="s">
        <v>2354</v>
      </c>
      <c r="I280" s="234"/>
      <c r="J280" s="232" t="s">
        <v>2353</v>
      </c>
      <c r="K280" s="952">
        <v>2</v>
      </c>
      <c r="L280" s="231" t="s">
        <v>5847</v>
      </c>
      <c r="M280" s="194"/>
      <c r="N280" s="1167"/>
      <c r="O280" s="1116" t="s">
        <v>2356</v>
      </c>
      <c r="P280" s="1117" t="s">
        <v>2355</v>
      </c>
      <c r="Q280" s="593" t="s">
        <v>2354</v>
      </c>
      <c r="R280" s="591" t="s">
        <v>2353</v>
      </c>
      <c r="S280" s="586">
        <v>2</v>
      </c>
      <c r="T280" s="589"/>
      <c r="U280" s="589"/>
      <c r="V280" s="589"/>
      <c r="W280" s="589"/>
      <c r="X280" s="590"/>
      <c r="Y280" s="590"/>
      <c r="Z280" s="589"/>
      <c r="AA280" s="724"/>
    </row>
    <row r="281" spans="1:27" ht="42.75" customHeight="1" thickBot="1">
      <c r="A281" s="1236"/>
      <c r="B281" s="1232"/>
      <c r="C281" s="1186"/>
      <c r="D281" s="1159"/>
      <c r="E281" s="1214"/>
      <c r="F281" s="1232"/>
      <c r="G281" s="953" t="s">
        <v>1</v>
      </c>
      <c r="H281" s="373" t="s">
        <v>1322</v>
      </c>
      <c r="I281" s="373"/>
      <c r="J281" s="374" t="s">
        <v>1321</v>
      </c>
      <c r="K281" s="375" t="s">
        <v>5158</v>
      </c>
      <c r="L281" s="250" t="s">
        <v>5843</v>
      </c>
      <c r="M281" s="194"/>
      <c r="N281" s="1168"/>
      <c r="O281" s="1186"/>
      <c r="P281" s="1159"/>
      <c r="Q281" s="376" t="s">
        <v>1322</v>
      </c>
      <c r="R281" s="377" t="s">
        <v>1321</v>
      </c>
      <c r="S281" s="378" t="s">
        <v>5158</v>
      </c>
      <c r="T281" s="283"/>
      <c r="U281" s="283"/>
      <c r="V281" s="283"/>
      <c r="W281" s="283"/>
      <c r="X281" s="284"/>
      <c r="Y281" s="284"/>
      <c r="Z281" s="283"/>
      <c r="AA281" s="285"/>
    </row>
    <row r="282" spans="1:27" ht="42.75" customHeight="1">
      <c r="A282" s="1166" t="s">
        <v>2352</v>
      </c>
      <c r="B282" s="946" t="s">
        <v>2344</v>
      </c>
      <c r="C282" s="943" t="s">
        <v>2350</v>
      </c>
      <c r="D282" s="944" t="s">
        <v>2349</v>
      </c>
      <c r="E282" s="945" t="s">
        <v>0</v>
      </c>
      <c r="F282" s="946">
        <v>1.073925</v>
      </c>
      <c r="G282" s="255" t="s">
        <v>1371</v>
      </c>
      <c r="H282" s="379" t="s">
        <v>1412</v>
      </c>
      <c r="I282" s="379" t="s">
        <v>1412</v>
      </c>
      <c r="J282" s="256" t="s">
        <v>1464</v>
      </c>
      <c r="K282" s="997"/>
      <c r="L282" s="324"/>
      <c r="M282" s="194"/>
      <c r="N282" s="1166" t="str">
        <f>A282</f>
        <v>P24</v>
      </c>
      <c r="O282" s="943" t="str">
        <f t="shared" ref="O282:P284" si="41">C282</f>
        <v xml:space="preserve">  چك و مارك سوكت هاي ايربگ پرده اي</v>
      </c>
      <c r="P282" s="944" t="str">
        <f t="shared" si="41"/>
        <v>SX5-5820-2</v>
      </c>
      <c r="Q282" s="747" t="str">
        <f t="shared" ref="Q282:Q338" si="42">H282</f>
        <v>------</v>
      </c>
      <c r="R282" s="345" t="str">
        <f t="shared" si="31"/>
        <v>---------</v>
      </c>
      <c r="S282" s="225">
        <f t="shared" si="31"/>
        <v>0</v>
      </c>
      <c r="T282" s="226"/>
      <c r="U282" s="226"/>
      <c r="V282" s="226"/>
      <c r="W282" s="226"/>
      <c r="X282" s="227"/>
      <c r="Y282" s="227"/>
      <c r="Z282" s="226"/>
      <c r="AA282" s="228"/>
    </row>
    <row r="283" spans="1:27" ht="42.75" customHeight="1">
      <c r="A283" s="1167"/>
      <c r="B283" s="933" t="s">
        <v>2344</v>
      </c>
      <c r="C283" s="982" t="s">
        <v>2348</v>
      </c>
      <c r="D283" s="995"/>
      <c r="E283" s="939"/>
      <c r="F283" s="935">
        <v>0.99839166666666701</v>
      </c>
      <c r="G283" s="292" t="s">
        <v>1371</v>
      </c>
      <c r="H283" s="292" t="s">
        <v>1411</v>
      </c>
      <c r="I283" s="292"/>
      <c r="J283" s="291" t="s">
        <v>1464</v>
      </c>
      <c r="K283" s="292" t="s">
        <v>2347</v>
      </c>
      <c r="L283" s="299"/>
      <c r="M283" s="194"/>
      <c r="N283" s="1167">
        <f t="shared" ref="N283:N335" si="43">A283</f>
        <v>0</v>
      </c>
      <c r="O283" s="964" t="str">
        <f t="shared" si="41"/>
        <v>کمک به حمل و نصب عایق سقف</v>
      </c>
      <c r="P283" s="965">
        <f t="shared" si="41"/>
        <v>0</v>
      </c>
      <c r="Q283" s="611" t="str">
        <f t="shared" si="42"/>
        <v>-------</v>
      </c>
      <c r="R283" s="610" t="str">
        <f t="shared" si="31"/>
        <v>---------</v>
      </c>
      <c r="S283" s="611" t="str">
        <f t="shared" si="31"/>
        <v>--</v>
      </c>
      <c r="T283" s="589"/>
      <c r="U283" s="589"/>
      <c r="V283" s="589"/>
      <c r="W283" s="589"/>
      <c r="X283" s="590"/>
      <c r="Y283" s="590"/>
      <c r="Z283" s="589"/>
      <c r="AA283" s="724"/>
    </row>
    <row r="284" spans="1:27" ht="42.75" customHeight="1">
      <c r="A284" s="1167"/>
      <c r="B284" s="1228" t="s">
        <v>2344</v>
      </c>
      <c r="C284" s="1154" t="s">
        <v>2346</v>
      </c>
      <c r="D284" s="1209" t="s">
        <v>656</v>
      </c>
      <c r="E284" s="1126"/>
      <c r="F284" s="1151">
        <v>0.67617499999999997</v>
      </c>
      <c r="G284" s="952" t="s">
        <v>0</v>
      </c>
      <c r="H284" s="952" t="s">
        <v>634</v>
      </c>
      <c r="I284" s="952" t="s">
        <v>5075</v>
      </c>
      <c r="J284" s="230" t="s">
        <v>1941</v>
      </c>
      <c r="K284" s="952">
        <v>2</v>
      </c>
      <c r="L284" s="231" t="s">
        <v>5815</v>
      </c>
      <c r="M284" s="194"/>
      <c r="N284" s="1167">
        <f t="shared" si="43"/>
        <v>0</v>
      </c>
      <c r="O284" s="1116" t="str">
        <f t="shared" si="41"/>
        <v>نصب کورکن های داخل صندوق</v>
      </c>
      <c r="P284" s="1117" t="str">
        <f t="shared" si="41"/>
        <v>SX5F-8200-1</v>
      </c>
      <c r="Q284" s="586" t="str">
        <f t="shared" si="42"/>
        <v>SX5G-8263101</v>
      </c>
      <c r="R284" s="585" t="str">
        <f t="shared" si="31"/>
        <v>کورکن لاستیکی</v>
      </c>
      <c r="S284" s="586">
        <f t="shared" si="31"/>
        <v>2</v>
      </c>
      <c r="T284" s="589"/>
      <c r="U284" s="589"/>
      <c r="V284" s="589"/>
      <c r="W284" s="589"/>
      <c r="X284" s="590"/>
      <c r="Y284" s="590"/>
      <c r="Z284" s="589"/>
      <c r="AA284" s="724"/>
    </row>
    <row r="285" spans="1:27" ht="42.75" customHeight="1">
      <c r="A285" s="1167"/>
      <c r="B285" s="1228"/>
      <c r="C285" s="1154" t="s">
        <v>1248</v>
      </c>
      <c r="D285" s="1209"/>
      <c r="E285" s="1126"/>
      <c r="F285" s="1151"/>
      <c r="G285" s="952" t="s">
        <v>1</v>
      </c>
      <c r="H285" s="952" t="s">
        <v>1946</v>
      </c>
      <c r="I285" s="952"/>
      <c r="J285" s="230" t="s">
        <v>1945</v>
      </c>
      <c r="K285" s="952">
        <v>4</v>
      </c>
      <c r="L285" s="231" t="s">
        <v>5837</v>
      </c>
      <c r="M285" s="194"/>
      <c r="N285" s="1167">
        <f t="shared" si="43"/>
        <v>0</v>
      </c>
      <c r="O285" s="1116"/>
      <c r="P285" s="1117"/>
      <c r="Q285" s="586" t="str">
        <f t="shared" si="42"/>
        <v>SX5G-8263121</v>
      </c>
      <c r="R285" s="585" t="str">
        <f t="shared" si="31"/>
        <v>کورکن آلومینیومی کوچک ¢20</v>
      </c>
      <c r="S285" s="586">
        <f t="shared" si="31"/>
        <v>4</v>
      </c>
      <c r="T285" s="589"/>
      <c r="U285" s="589"/>
      <c r="V285" s="589"/>
      <c r="W285" s="589"/>
      <c r="X285" s="590"/>
      <c r="Y285" s="590"/>
      <c r="Z285" s="589"/>
      <c r="AA285" s="724"/>
    </row>
    <row r="286" spans="1:27" ht="42.75" customHeight="1">
      <c r="A286" s="1167"/>
      <c r="B286" s="1228"/>
      <c r="C286" s="1154" t="s">
        <v>1248</v>
      </c>
      <c r="D286" s="1209"/>
      <c r="E286" s="1126"/>
      <c r="F286" s="1151"/>
      <c r="G286" s="952" t="s">
        <v>2</v>
      </c>
      <c r="H286" s="952" t="s">
        <v>636</v>
      </c>
      <c r="I286" s="952"/>
      <c r="J286" s="230" t="s">
        <v>1943</v>
      </c>
      <c r="K286" s="952">
        <v>2</v>
      </c>
      <c r="L286" s="231" t="s">
        <v>5815</v>
      </c>
      <c r="M286" s="194"/>
      <c r="N286" s="1167">
        <f t="shared" si="43"/>
        <v>0</v>
      </c>
      <c r="O286" s="1116"/>
      <c r="P286" s="1117"/>
      <c r="Q286" s="586" t="str">
        <f t="shared" si="42"/>
        <v>BS3-8263111</v>
      </c>
      <c r="R286" s="585" t="str">
        <f t="shared" si="31"/>
        <v>درپوش</v>
      </c>
      <c r="S286" s="586">
        <f t="shared" si="31"/>
        <v>2</v>
      </c>
      <c r="T286" s="589"/>
      <c r="U286" s="589"/>
      <c r="V286" s="589"/>
      <c r="W286" s="589"/>
      <c r="X286" s="590"/>
      <c r="Y286" s="590"/>
      <c r="Z286" s="589"/>
      <c r="AA286" s="724"/>
    </row>
    <row r="287" spans="1:27" ht="42.75" customHeight="1" thickBot="1">
      <c r="A287" s="1168"/>
      <c r="B287" s="1237"/>
      <c r="C287" s="1186" t="s">
        <v>1248</v>
      </c>
      <c r="D287" s="1159"/>
      <c r="E287" s="1214"/>
      <c r="F287" s="1232"/>
      <c r="G287" s="953" t="s">
        <v>7</v>
      </c>
      <c r="H287" s="953" t="s">
        <v>1347</v>
      </c>
      <c r="I287" s="953"/>
      <c r="J287" s="272" t="s">
        <v>1939</v>
      </c>
      <c r="K287" s="953">
        <v>12</v>
      </c>
      <c r="L287" s="250" t="s">
        <v>5837</v>
      </c>
      <c r="M287" s="194"/>
      <c r="N287" s="1168">
        <f t="shared" si="43"/>
        <v>0</v>
      </c>
      <c r="O287" s="1186"/>
      <c r="P287" s="1159"/>
      <c r="Q287" s="251" t="str">
        <f t="shared" si="42"/>
        <v>SX5G-8263122</v>
      </c>
      <c r="R287" s="274" t="str">
        <f t="shared" si="31"/>
        <v>کورکن آلومینیومی بزرگ ¢30</v>
      </c>
      <c r="S287" s="251">
        <f t="shared" si="31"/>
        <v>12</v>
      </c>
      <c r="T287" s="283"/>
      <c r="U287" s="283"/>
      <c r="V287" s="283"/>
      <c r="W287" s="283"/>
      <c r="X287" s="284"/>
      <c r="Y287" s="284"/>
      <c r="Z287" s="283"/>
      <c r="AA287" s="285"/>
    </row>
    <row r="288" spans="1:27" ht="42.75" customHeight="1">
      <c r="A288" s="1166" t="s">
        <v>2345</v>
      </c>
      <c r="B288" s="946" t="s">
        <v>2344</v>
      </c>
      <c r="C288" s="943" t="s">
        <v>2343</v>
      </c>
      <c r="D288" s="944" t="s">
        <v>2342</v>
      </c>
      <c r="E288" s="945"/>
      <c r="F288" s="946">
        <v>2.1017999999999999</v>
      </c>
      <c r="G288" s="997" t="s">
        <v>0</v>
      </c>
      <c r="H288" s="380" t="s">
        <v>2341</v>
      </c>
      <c r="I288" s="380"/>
      <c r="J288" s="221" t="s">
        <v>5147</v>
      </c>
      <c r="K288" s="997">
        <v>1</v>
      </c>
      <c r="L288" s="324"/>
      <c r="M288" s="194"/>
      <c r="N288" s="1166" t="str">
        <f t="shared" si="43"/>
        <v>P25</v>
      </c>
      <c r="O288" s="943" t="str">
        <f>C288</f>
        <v xml:space="preserve"> مونتاژ سیم آنتن به بدنه  </v>
      </c>
      <c r="P288" s="944" t="str">
        <f>D288</f>
        <v>SX5-7903-2</v>
      </c>
      <c r="Q288" s="720" t="str">
        <f t="shared" si="42"/>
        <v>SX5F-7903320L1</v>
      </c>
      <c r="R288" s="224" t="str">
        <f t="shared" si="31"/>
        <v>سیم آنتن (همراه داشبورد میاد)</v>
      </c>
      <c r="S288" s="225">
        <f t="shared" si="31"/>
        <v>1</v>
      </c>
      <c r="T288" s="226"/>
      <c r="U288" s="226"/>
      <c r="V288" s="226"/>
      <c r="W288" s="226"/>
      <c r="X288" s="227"/>
      <c r="Y288" s="227"/>
      <c r="Z288" s="226"/>
      <c r="AA288" s="228"/>
    </row>
    <row r="289" spans="1:27" ht="42.75" customHeight="1">
      <c r="A289" s="1167"/>
      <c r="B289" s="1227" t="s">
        <v>2344</v>
      </c>
      <c r="C289" s="1201" t="s">
        <v>2340</v>
      </c>
      <c r="D289" s="1202" t="s">
        <v>657</v>
      </c>
      <c r="E289" s="1165"/>
      <c r="F289" s="1227"/>
      <c r="G289" s="952" t="s">
        <v>0</v>
      </c>
      <c r="H289" s="952" t="s">
        <v>5228</v>
      </c>
      <c r="I289" s="952"/>
      <c r="J289" s="230" t="s">
        <v>2339</v>
      </c>
      <c r="K289" s="952">
        <v>1</v>
      </c>
      <c r="L289" s="231" t="s">
        <v>5822</v>
      </c>
      <c r="M289" s="194"/>
      <c r="N289" s="1167">
        <f t="shared" si="43"/>
        <v>0</v>
      </c>
      <c r="O289" s="1116" t="str">
        <f>C289</f>
        <v>نصب مجموعه عایق سقف</v>
      </c>
      <c r="P289" s="1117"/>
      <c r="Q289" s="586" t="str">
        <f t="shared" si="42"/>
        <v>SX5KCT-5702-0006</v>
      </c>
      <c r="R289" s="585" t="str">
        <f t="shared" si="31"/>
        <v>مجموعه عایق سقف</v>
      </c>
      <c r="S289" s="586">
        <f t="shared" si="31"/>
        <v>1</v>
      </c>
      <c r="T289" s="589"/>
      <c r="U289" s="589"/>
      <c r="V289" s="589"/>
      <c r="W289" s="589"/>
      <c r="X289" s="590"/>
      <c r="Y289" s="590"/>
      <c r="Z289" s="589"/>
      <c r="AA289" s="724"/>
    </row>
    <row r="290" spans="1:27" ht="42.75" customHeight="1">
      <c r="A290" s="1167"/>
      <c r="B290" s="1227"/>
      <c r="C290" s="1201"/>
      <c r="D290" s="1202"/>
      <c r="E290" s="1165"/>
      <c r="F290" s="1227"/>
      <c r="G290" s="952" t="s">
        <v>1</v>
      </c>
      <c r="H290" s="952" t="s">
        <v>250</v>
      </c>
      <c r="I290" s="230"/>
      <c r="J290" s="230" t="s">
        <v>1250</v>
      </c>
      <c r="K290" s="952">
        <v>1</v>
      </c>
      <c r="L290" s="231" t="s">
        <v>5822</v>
      </c>
      <c r="M290" s="194"/>
      <c r="N290" s="1167">
        <f t="shared" si="43"/>
        <v>0</v>
      </c>
      <c r="O290" s="1116"/>
      <c r="P290" s="1117"/>
      <c r="Q290" s="586" t="str">
        <f t="shared" si="42"/>
        <v>BL164</v>
      </c>
      <c r="R290" s="585" t="str">
        <f t="shared" si="31"/>
        <v>مهره پلاستیکی</v>
      </c>
      <c r="S290" s="586">
        <f t="shared" si="31"/>
        <v>1</v>
      </c>
      <c r="T290" s="589"/>
      <c r="U290" s="589"/>
      <c r="V290" s="589"/>
      <c r="W290" s="589"/>
      <c r="X290" s="590"/>
      <c r="Y290" s="590"/>
      <c r="Z290" s="589"/>
      <c r="AA290" s="724"/>
    </row>
    <row r="291" spans="1:27" ht="42.75" customHeight="1">
      <c r="A291" s="1167"/>
      <c r="B291" s="1227"/>
      <c r="C291" s="1201"/>
      <c r="D291" s="1202"/>
      <c r="E291" s="1165"/>
      <c r="F291" s="1227"/>
      <c r="G291" s="952" t="s">
        <v>2</v>
      </c>
      <c r="H291" s="952" t="s">
        <v>6</v>
      </c>
      <c r="J291" s="230" t="s">
        <v>2338</v>
      </c>
      <c r="K291" s="952">
        <v>5</v>
      </c>
      <c r="L291" s="231" t="s">
        <v>5838</v>
      </c>
      <c r="M291" s="194"/>
      <c r="N291" s="1167">
        <f t="shared" si="43"/>
        <v>0</v>
      </c>
      <c r="O291" s="1116"/>
      <c r="P291" s="1117"/>
      <c r="Q291" s="641" t="e">
        <f>#REF!</f>
        <v>#REF!</v>
      </c>
      <c r="R291" s="585" t="str">
        <f t="shared" si="31"/>
        <v>خار دکمه ای</v>
      </c>
      <c r="S291" s="586">
        <f t="shared" si="31"/>
        <v>5</v>
      </c>
      <c r="T291" s="587">
        <v>2.5</v>
      </c>
      <c r="U291" s="587">
        <v>3</v>
      </c>
      <c r="V291" s="587">
        <v>3.5</v>
      </c>
      <c r="W291" s="588" t="s">
        <v>5528</v>
      </c>
      <c r="X291" s="587" t="s">
        <v>5451</v>
      </c>
      <c r="Y291" s="587" t="s">
        <v>5529</v>
      </c>
      <c r="Z291" s="589"/>
      <c r="AA291" s="724"/>
    </row>
    <row r="292" spans="1:27" ht="42.75" customHeight="1">
      <c r="A292" s="1167"/>
      <c r="B292" s="1151" t="s">
        <v>2344</v>
      </c>
      <c r="C292" s="1154" t="s">
        <v>2337</v>
      </c>
      <c r="D292" s="1209" t="s">
        <v>222</v>
      </c>
      <c r="E292" s="1126"/>
      <c r="F292" s="1151">
        <v>1.98</v>
      </c>
      <c r="G292" s="952" t="s">
        <v>0</v>
      </c>
      <c r="H292" s="773" t="s">
        <v>5415</v>
      </c>
      <c r="I292" s="773" t="s">
        <v>5416</v>
      </c>
      <c r="J292" s="230" t="s">
        <v>2336</v>
      </c>
      <c r="K292" s="952">
        <v>2</v>
      </c>
      <c r="L292" s="231" t="s">
        <v>5845</v>
      </c>
      <c r="M292" s="194"/>
      <c r="N292" s="1167">
        <f t="shared" si="43"/>
        <v>0</v>
      </c>
      <c r="O292" s="1116" t="str">
        <f>C292</f>
        <v xml:space="preserve"> نصب آفتابگیرهای دو طرف</v>
      </c>
      <c r="P292" s="1117" t="str">
        <f>D292</f>
        <v>SX5-8204-1</v>
      </c>
      <c r="Q292" s="586" t="str">
        <f t="shared" si="42"/>
        <v>BM3-8204121-Y1</v>
      </c>
      <c r="R292" s="585" t="str">
        <f t="shared" si="31"/>
        <v>قلاب نگهدارنده آفتابگیر</v>
      </c>
      <c r="S292" s="586">
        <f t="shared" si="31"/>
        <v>2</v>
      </c>
      <c r="T292" s="589"/>
      <c r="U292" s="589"/>
      <c r="V292" s="589"/>
      <c r="W292" s="589"/>
      <c r="X292" s="590"/>
      <c r="Y292" s="590"/>
      <c r="Z292" s="589"/>
      <c r="AA292" s="724"/>
    </row>
    <row r="293" spans="1:27" ht="42.75" customHeight="1">
      <c r="A293" s="1167"/>
      <c r="B293" s="1151"/>
      <c r="C293" s="1154" t="s">
        <v>1248</v>
      </c>
      <c r="D293" s="1209"/>
      <c r="E293" s="1126"/>
      <c r="F293" s="1151"/>
      <c r="G293" s="952" t="s">
        <v>1</v>
      </c>
      <c r="H293" s="952" t="s">
        <v>5117</v>
      </c>
      <c r="I293" s="993" t="s">
        <v>6112</v>
      </c>
      <c r="J293" s="230" t="s">
        <v>2335</v>
      </c>
      <c r="K293" s="952">
        <v>1</v>
      </c>
      <c r="L293" s="231" t="s">
        <v>5807</v>
      </c>
      <c r="M293" s="194"/>
      <c r="N293" s="1167">
        <f t="shared" si="43"/>
        <v>0</v>
      </c>
      <c r="O293" s="1116"/>
      <c r="P293" s="1117"/>
      <c r="Q293" s="586" t="str">
        <f t="shared" si="42"/>
        <v>BM3-8204230A1-Y1</v>
      </c>
      <c r="R293" s="585" t="str">
        <f t="shared" si="31"/>
        <v>آفتابگیر سمت چپ</v>
      </c>
      <c r="S293" s="586">
        <f t="shared" si="31"/>
        <v>1</v>
      </c>
      <c r="T293" s="589"/>
      <c r="U293" s="589"/>
      <c r="V293" s="589"/>
      <c r="W293" s="589"/>
      <c r="X293" s="590"/>
      <c r="Y293" s="590"/>
      <c r="Z293" s="589"/>
      <c r="AA293" s="724"/>
    </row>
    <row r="294" spans="1:27" ht="42.75" customHeight="1">
      <c r="A294" s="1167"/>
      <c r="B294" s="1151"/>
      <c r="C294" s="1154" t="s">
        <v>1248</v>
      </c>
      <c r="D294" s="1209"/>
      <c r="E294" s="1126"/>
      <c r="F294" s="1151"/>
      <c r="G294" s="952" t="s">
        <v>1</v>
      </c>
      <c r="H294" s="753" t="s">
        <v>6107</v>
      </c>
      <c r="I294" s="952"/>
      <c r="J294" s="230" t="s">
        <v>2334</v>
      </c>
      <c r="K294" s="952">
        <v>1</v>
      </c>
      <c r="L294" s="231" t="s">
        <v>5807</v>
      </c>
      <c r="M294" s="194"/>
      <c r="N294" s="1167">
        <f t="shared" si="43"/>
        <v>0</v>
      </c>
      <c r="O294" s="1116"/>
      <c r="P294" s="1117"/>
      <c r="Q294" s="586" t="str">
        <f t="shared" si="42"/>
        <v>BM3-8204240-Y1</v>
      </c>
      <c r="R294" s="585" t="str">
        <f t="shared" si="31"/>
        <v>آفتابگیر سمت راست</v>
      </c>
      <c r="S294" s="586">
        <f t="shared" si="31"/>
        <v>1</v>
      </c>
      <c r="T294" s="589"/>
      <c r="U294" s="589"/>
      <c r="V294" s="589"/>
      <c r="W294" s="589"/>
      <c r="X294" s="590"/>
      <c r="Y294" s="590"/>
      <c r="Z294" s="589"/>
      <c r="AA294" s="724"/>
    </row>
    <row r="295" spans="1:27" ht="42.75" customHeight="1">
      <c r="A295" s="1167"/>
      <c r="B295" s="1151"/>
      <c r="C295" s="1154" t="s">
        <v>1248</v>
      </c>
      <c r="D295" s="1209"/>
      <c r="E295" s="1126"/>
      <c r="F295" s="1151"/>
      <c r="G295" s="952" t="s">
        <v>2</v>
      </c>
      <c r="H295" s="381" t="s">
        <v>223</v>
      </c>
      <c r="I295" s="381" t="s">
        <v>5397</v>
      </c>
      <c r="J295" s="230" t="s">
        <v>1252</v>
      </c>
      <c r="K295" s="952">
        <v>4</v>
      </c>
      <c r="L295" s="231" t="s">
        <v>5838</v>
      </c>
      <c r="M295" s="194"/>
      <c r="N295" s="1167">
        <f t="shared" si="43"/>
        <v>0</v>
      </c>
      <c r="O295" s="1116"/>
      <c r="P295" s="1117"/>
      <c r="Q295" s="642" t="str">
        <f t="shared" si="42"/>
        <v>Q2734816F39</v>
      </c>
      <c r="R295" s="585" t="str">
        <f t="shared" si="31"/>
        <v xml:space="preserve">پیچ خودکار چهارسو </v>
      </c>
      <c r="S295" s="586">
        <f t="shared" si="31"/>
        <v>4</v>
      </c>
      <c r="T295" s="587">
        <v>1</v>
      </c>
      <c r="U295" s="587">
        <v>1.5</v>
      </c>
      <c r="V295" s="587">
        <v>2</v>
      </c>
      <c r="W295" s="588" t="s">
        <v>5528</v>
      </c>
      <c r="X295" s="587" t="s">
        <v>5451</v>
      </c>
      <c r="Y295" s="587" t="s">
        <v>5530</v>
      </c>
      <c r="Z295" s="589"/>
      <c r="AA295" s="724"/>
    </row>
    <row r="296" spans="1:27" ht="42.75" customHeight="1">
      <c r="A296" s="1167"/>
      <c r="B296" s="1151" t="s">
        <v>2344</v>
      </c>
      <c r="C296" s="1154" t="s">
        <v>2332</v>
      </c>
      <c r="D296" s="1209" t="s">
        <v>224</v>
      </c>
      <c r="E296" s="1126"/>
      <c r="F296" s="1151">
        <v>2.2000000000000002</v>
      </c>
      <c r="G296" s="952" t="s">
        <v>0</v>
      </c>
      <c r="H296" s="952" t="s">
        <v>5167</v>
      </c>
      <c r="I296" s="952" t="s">
        <v>22</v>
      </c>
      <c r="J296" s="230" t="s">
        <v>2331</v>
      </c>
      <c r="K296" s="952">
        <v>1</v>
      </c>
      <c r="L296" s="231" t="s">
        <v>5845</v>
      </c>
      <c r="M296" s="194"/>
      <c r="N296" s="1167">
        <f t="shared" si="43"/>
        <v>0</v>
      </c>
      <c r="O296" s="1116" t="str">
        <f>C296</f>
        <v>نصب دستگیره های سقف</v>
      </c>
      <c r="P296" s="1117" t="str">
        <f>D296</f>
        <v>SX5-8215-1</v>
      </c>
      <c r="Q296" s="586" t="str">
        <f t="shared" si="42"/>
        <v>BM3-8215010A1</v>
      </c>
      <c r="R296" s="585" t="str">
        <f t="shared" si="31"/>
        <v>دستگیره سقف چپ</v>
      </c>
      <c r="S296" s="586">
        <f t="shared" si="31"/>
        <v>1</v>
      </c>
      <c r="T296" s="589"/>
      <c r="U296" s="589"/>
      <c r="V296" s="589"/>
      <c r="W296" s="589"/>
      <c r="X296" s="590"/>
      <c r="Y296" s="590"/>
      <c r="Z296" s="589"/>
      <c r="AA296" s="724"/>
    </row>
    <row r="297" spans="1:27" ht="42.75" customHeight="1" thickBot="1">
      <c r="A297" s="1168"/>
      <c r="B297" s="1232"/>
      <c r="C297" s="1186" t="s">
        <v>1248</v>
      </c>
      <c r="D297" s="1159"/>
      <c r="E297" s="1214"/>
      <c r="F297" s="1232"/>
      <c r="G297" s="953" t="s">
        <v>0</v>
      </c>
      <c r="H297" s="953" t="s">
        <v>5168</v>
      </c>
      <c r="I297" s="953" t="s">
        <v>225</v>
      </c>
      <c r="J297" s="272" t="s">
        <v>2330</v>
      </c>
      <c r="K297" s="953">
        <v>2</v>
      </c>
      <c r="L297" s="250" t="s">
        <v>5845</v>
      </c>
      <c r="M297" s="194"/>
      <c r="N297" s="1168">
        <f t="shared" si="43"/>
        <v>0</v>
      </c>
      <c r="O297" s="1186"/>
      <c r="P297" s="1159"/>
      <c r="Q297" s="251" t="str">
        <f t="shared" si="42"/>
        <v>BM3-8215020A1</v>
      </c>
      <c r="R297" s="274" t="str">
        <f t="shared" si="31"/>
        <v>دستگیره سقف راست</v>
      </c>
      <c r="S297" s="251">
        <f t="shared" si="31"/>
        <v>2</v>
      </c>
      <c r="T297" s="283"/>
      <c r="U297" s="283"/>
      <c r="V297" s="283"/>
      <c r="W297" s="283"/>
      <c r="X297" s="284"/>
      <c r="Y297" s="284"/>
      <c r="Z297" s="283"/>
      <c r="AA297" s="285"/>
    </row>
    <row r="298" spans="1:27" ht="35.25" customHeight="1">
      <c r="A298" s="1166" t="s">
        <v>2329</v>
      </c>
      <c r="B298" s="1222" t="s">
        <v>2302</v>
      </c>
      <c r="C298" s="1169" t="s">
        <v>2328</v>
      </c>
      <c r="D298" s="1142" t="s">
        <v>2327</v>
      </c>
      <c r="E298" s="1280"/>
      <c r="F298" s="1222">
        <v>0.46</v>
      </c>
      <c r="G298" s="382" t="s">
        <v>697</v>
      </c>
      <c r="H298" s="992" t="s">
        <v>610</v>
      </c>
      <c r="I298" s="992"/>
      <c r="J298" s="221" t="s">
        <v>2326</v>
      </c>
      <c r="K298" s="382">
        <v>1</v>
      </c>
      <c r="L298" s="222" t="s">
        <v>5807</v>
      </c>
      <c r="M298" s="194"/>
      <c r="N298" s="1166" t="str">
        <f t="shared" si="43"/>
        <v>P26</v>
      </c>
      <c r="O298" s="1169" t="str">
        <f>C298</f>
        <v>مونتاژ براکت نصب کانال هوای عقب</v>
      </c>
      <c r="P298" s="1142" t="str">
        <f>D298</f>
        <v>SX7E-5305-3</v>
      </c>
      <c r="Q298" s="383" t="str">
        <f t="shared" si="42"/>
        <v>SX5-5305200</v>
      </c>
      <c r="R298" s="224" t="str">
        <f t="shared" si="31"/>
        <v>براکت فلزی نصب کانال</v>
      </c>
      <c r="S298" s="748">
        <f t="shared" si="31"/>
        <v>1</v>
      </c>
      <c r="T298" s="226"/>
      <c r="U298" s="226"/>
      <c r="V298" s="226"/>
      <c r="W298" s="226"/>
      <c r="X298" s="227"/>
      <c r="Y298" s="227"/>
      <c r="Z298" s="226"/>
      <c r="AA298" s="228"/>
    </row>
    <row r="299" spans="1:27" ht="35.25" customHeight="1">
      <c r="A299" s="1167"/>
      <c r="B299" s="1151"/>
      <c r="C299" s="1154" t="s">
        <v>1248</v>
      </c>
      <c r="D299" s="1209"/>
      <c r="E299" s="1281"/>
      <c r="F299" s="1151"/>
      <c r="G299" s="949" t="s">
        <v>717</v>
      </c>
      <c r="H299" s="933" t="s">
        <v>1043</v>
      </c>
      <c r="I299" s="933" t="s">
        <v>18</v>
      </c>
      <c r="J299" s="230" t="s">
        <v>2325</v>
      </c>
      <c r="K299" s="949">
        <v>2</v>
      </c>
      <c r="L299" s="231" t="s">
        <v>5822</v>
      </c>
      <c r="M299" s="194"/>
      <c r="N299" s="1167">
        <f t="shared" si="43"/>
        <v>0</v>
      </c>
      <c r="O299" s="1116"/>
      <c r="P299" s="1117"/>
      <c r="Q299" s="643" t="str">
        <f t="shared" si="42"/>
        <v>Q32008F38</v>
      </c>
      <c r="R299" s="585" t="str">
        <f t="shared" si="31"/>
        <v>مهره فلنجی شش گوش</v>
      </c>
      <c r="S299" s="633">
        <f t="shared" si="31"/>
        <v>2</v>
      </c>
      <c r="T299" s="587">
        <v>20</v>
      </c>
      <c r="U299" s="587">
        <v>23</v>
      </c>
      <c r="V299" s="587">
        <v>26</v>
      </c>
      <c r="W299" s="588" t="s">
        <v>5531</v>
      </c>
      <c r="X299" s="587" t="s">
        <v>5446</v>
      </c>
      <c r="Y299" s="587" t="s">
        <v>5532</v>
      </c>
      <c r="Z299" s="589"/>
      <c r="AA299" s="724"/>
    </row>
    <row r="300" spans="1:27" ht="35.25" customHeight="1">
      <c r="A300" s="1167"/>
      <c r="B300" s="1226" t="s">
        <v>2302</v>
      </c>
      <c r="C300" s="1154" t="s">
        <v>6048</v>
      </c>
      <c r="D300" s="1209" t="s">
        <v>2324</v>
      </c>
      <c r="E300" s="1241"/>
      <c r="F300" s="1151">
        <v>0.70706999999999998</v>
      </c>
      <c r="G300" s="949" t="s">
        <v>697</v>
      </c>
      <c r="H300" s="933" t="s">
        <v>2323</v>
      </c>
      <c r="I300" s="933"/>
      <c r="J300" s="230" t="s">
        <v>2322</v>
      </c>
      <c r="K300" s="949">
        <v>1</v>
      </c>
      <c r="L300" s="231" t="s">
        <v>5848</v>
      </c>
      <c r="M300" s="194"/>
      <c r="N300" s="1167">
        <f t="shared" si="43"/>
        <v>0</v>
      </c>
      <c r="O300" s="1116" t="str">
        <f>C300</f>
        <v>نصب براکت دسته سیم</v>
      </c>
      <c r="P300" s="1117" t="str">
        <f>D300</f>
        <v>SX7E-5305-4</v>
      </c>
      <c r="Q300" s="643" t="str">
        <f t="shared" si="42"/>
        <v>SX5-3508016</v>
      </c>
      <c r="R300" s="585" t="str">
        <f t="shared" si="31"/>
        <v>براکت نگهدارنده دسته سیم</v>
      </c>
      <c r="S300" s="633">
        <f t="shared" si="31"/>
        <v>1</v>
      </c>
      <c r="T300" s="589"/>
      <c r="U300" s="589"/>
      <c r="V300" s="589"/>
      <c r="W300" s="589"/>
      <c r="X300" s="590"/>
      <c r="Y300" s="590"/>
      <c r="Z300" s="589"/>
      <c r="AA300" s="724"/>
    </row>
    <row r="301" spans="1:27" ht="35.25" customHeight="1">
      <c r="A301" s="1167"/>
      <c r="B301" s="1226"/>
      <c r="C301" s="1154" t="s">
        <v>1248</v>
      </c>
      <c r="D301" s="1209"/>
      <c r="E301" s="1241"/>
      <c r="F301" s="1151"/>
      <c r="G301" s="949" t="s">
        <v>717</v>
      </c>
      <c r="H301" s="933" t="s">
        <v>1043</v>
      </c>
      <c r="I301" s="933" t="s">
        <v>18</v>
      </c>
      <c r="J301" s="230" t="s">
        <v>2321</v>
      </c>
      <c r="K301" s="949">
        <v>1</v>
      </c>
      <c r="L301" s="231" t="s">
        <v>5822</v>
      </c>
      <c r="M301" s="194"/>
      <c r="N301" s="1167">
        <f t="shared" si="43"/>
        <v>0</v>
      </c>
      <c r="O301" s="1116"/>
      <c r="P301" s="1117"/>
      <c r="Q301" s="643" t="str">
        <f t="shared" si="42"/>
        <v>Q32008F38</v>
      </c>
      <c r="R301" s="585" t="str">
        <f t="shared" si="31"/>
        <v>مهره فلنچ دار</v>
      </c>
      <c r="S301" s="633">
        <f t="shared" si="31"/>
        <v>1</v>
      </c>
      <c r="T301" s="606">
        <v>20</v>
      </c>
      <c r="U301" s="606">
        <v>23</v>
      </c>
      <c r="V301" s="606">
        <v>26</v>
      </c>
      <c r="W301" s="644"/>
      <c r="X301" s="603" t="s">
        <v>5446</v>
      </c>
      <c r="Y301" s="606" t="s">
        <v>5532</v>
      </c>
      <c r="Z301" s="589"/>
      <c r="AA301" s="724"/>
    </row>
    <row r="302" spans="1:27" ht="35.25" customHeight="1">
      <c r="A302" s="1167"/>
      <c r="B302" s="1282" t="s">
        <v>1793</v>
      </c>
      <c r="C302" s="1154" t="s">
        <v>2320</v>
      </c>
      <c r="D302" s="1209" t="s">
        <v>6076</v>
      </c>
      <c r="E302" s="1126"/>
      <c r="F302" s="1151">
        <v>0.4</v>
      </c>
      <c r="G302" s="952" t="s">
        <v>0</v>
      </c>
      <c r="H302" s="952" t="s">
        <v>1393</v>
      </c>
      <c r="I302" s="952"/>
      <c r="J302" s="230" t="s">
        <v>2312</v>
      </c>
      <c r="K302" s="952">
        <v>2</v>
      </c>
      <c r="L302" s="236"/>
      <c r="M302" s="194"/>
      <c r="N302" s="1167">
        <f t="shared" si="43"/>
        <v>0</v>
      </c>
      <c r="O302" s="1116" t="str">
        <f>C302</f>
        <v xml:space="preserve">ترک و مارک اتصالات دسته سيم داشبورد راست </v>
      </c>
      <c r="P302" s="1117" t="str">
        <f>D302</f>
        <v>SX7E-5306-1RA</v>
      </c>
      <c r="Q302" s="586" t="str">
        <f t="shared" si="42"/>
        <v>-</v>
      </c>
      <c r="R302" s="585" t="str">
        <f t="shared" si="31"/>
        <v>پیچ  سر شش گوش واشردار</v>
      </c>
      <c r="S302" s="586">
        <f t="shared" si="31"/>
        <v>2</v>
      </c>
      <c r="T302" s="606">
        <v>6</v>
      </c>
      <c r="U302" s="606">
        <v>7</v>
      </c>
      <c r="V302" s="606">
        <v>8</v>
      </c>
      <c r="W302" s="588" t="s">
        <v>5431</v>
      </c>
      <c r="X302" s="587" t="s">
        <v>5442</v>
      </c>
      <c r="Y302" s="592" t="s">
        <v>5533</v>
      </c>
      <c r="Z302" s="589"/>
      <c r="AA302" s="724"/>
    </row>
    <row r="303" spans="1:27" ht="35.25" customHeight="1">
      <c r="A303" s="1167"/>
      <c r="B303" s="1238"/>
      <c r="C303" s="1154"/>
      <c r="D303" s="1209"/>
      <c r="E303" s="1126"/>
      <c r="F303" s="1151"/>
      <c r="G303" s="952" t="s">
        <v>1</v>
      </c>
      <c r="H303" s="952" t="s">
        <v>1393</v>
      </c>
      <c r="I303" s="952"/>
      <c r="J303" s="230" t="s">
        <v>1761</v>
      </c>
      <c r="K303" s="952">
        <v>1</v>
      </c>
      <c r="L303" s="236"/>
      <c r="M303" s="194"/>
      <c r="N303" s="1167">
        <f t="shared" si="43"/>
        <v>0</v>
      </c>
      <c r="O303" s="1116"/>
      <c r="P303" s="1117"/>
      <c r="Q303" s="586" t="str">
        <f t="shared" si="42"/>
        <v>-</v>
      </c>
      <c r="R303" s="585" t="str">
        <f t="shared" si="31"/>
        <v>مهره</v>
      </c>
      <c r="S303" s="586">
        <f t="shared" si="31"/>
        <v>1</v>
      </c>
      <c r="T303" s="606">
        <v>6</v>
      </c>
      <c r="U303" s="606">
        <v>7</v>
      </c>
      <c r="V303" s="606">
        <v>8</v>
      </c>
      <c r="W303" s="588" t="s">
        <v>5431</v>
      </c>
      <c r="X303" s="587" t="s">
        <v>5442</v>
      </c>
      <c r="Y303" s="592" t="s">
        <v>5533</v>
      </c>
      <c r="Z303" s="589"/>
      <c r="AA303" s="724"/>
    </row>
    <row r="304" spans="1:27" ht="35.25" customHeight="1">
      <c r="A304" s="1167"/>
      <c r="B304" s="1238"/>
      <c r="C304" s="929" t="s">
        <v>2318</v>
      </c>
      <c r="D304" s="931" t="s">
        <v>6077</v>
      </c>
      <c r="E304" s="939"/>
      <c r="F304" s="935">
        <v>0.3</v>
      </c>
      <c r="G304" s="952" t="s">
        <v>1</v>
      </c>
      <c r="H304" s="952" t="s">
        <v>1393</v>
      </c>
      <c r="I304" s="952"/>
      <c r="J304" s="230" t="s">
        <v>2317</v>
      </c>
      <c r="K304" s="952">
        <v>4</v>
      </c>
      <c r="L304" s="236"/>
      <c r="M304" s="194"/>
      <c r="N304" s="1167">
        <f t="shared" si="43"/>
        <v>0</v>
      </c>
      <c r="O304" s="914" t="str">
        <f>C304</f>
        <v>ترک و مارک براکت پایه داشبورد راست</v>
      </c>
      <c r="P304" s="915" t="str">
        <f>D304</f>
        <v>SX5F-5306-1RA</v>
      </c>
      <c r="Q304" s="586" t="str">
        <f t="shared" si="42"/>
        <v>-</v>
      </c>
      <c r="R304" s="585" t="str">
        <f t="shared" si="31"/>
        <v>مهره نصب درب ها به بدنه</v>
      </c>
      <c r="S304" s="586">
        <f t="shared" si="31"/>
        <v>4</v>
      </c>
      <c r="T304" s="587">
        <v>22</v>
      </c>
      <c r="U304" s="587">
        <v>25</v>
      </c>
      <c r="V304" s="587">
        <v>28</v>
      </c>
      <c r="W304" s="588" t="s">
        <v>5445</v>
      </c>
      <c r="X304" s="587" t="s">
        <v>5442</v>
      </c>
      <c r="Y304" s="606" t="s">
        <v>5534</v>
      </c>
      <c r="Z304" s="589"/>
      <c r="AA304" s="724"/>
    </row>
    <row r="305" spans="1:27" ht="35.25" customHeight="1">
      <c r="A305" s="1167"/>
      <c r="B305" s="1238"/>
      <c r="C305" s="1154" t="s">
        <v>2316</v>
      </c>
      <c r="D305" s="1209" t="s">
        <v>6075</v>
      </c>
      <c r="E305" s="1126"/>
      <c r="F305" s="1151">
        <v>0.4</v>
      </c>
      <c r="G305" s="952" t="s">
        <v>1</v>
      </c>
      <c r="H305" s="952" t="s">
        <v>1393</v>
      </c>
      <c r="I305" s="952"/>
      <c r="J305" s="230" t="s">
        <v>1587</v>
      </c>
      <c r="K305" s="952">
        <v>2</v>
      </c>
      <c r="L305" s="236"/>
      <c r="M305" s="194"/>
      <c r="N305" s="1167">
        <f t="shared" si="43"/>
        <v>0</v>
      </c>
      <c r="O305" s="1116" t="str">
        <f>C305</f>
        <v>ترک و مارک داشبورد</v>
      </c>
      <c r="P305" s="1117" t="str">
        <f>D305</f>
        <v>SX5-5306-2A</v>
      </c>
      <c r="Q305" s="586" t="str">
        <f t="shared" si="42"/>
        <v>-</v>
      </c>
      <c r="R305" s="585" t="str">
        <f t="shared" si="31"/>
        <v xml:space="preserve">پیچ فلنجی سر شش گوش </v>
      </c>
      <c r="S305" s="586">
        <f t="shared" si="31"/>
        <v>2</v>
      </c>
      <c r="T305" s="587">
        <v>22</v>
      </c>
      <c r="U305" s="587">
        <v>25</v>
      </c>
      <c r="V305" s="587">
        <v>28</v>
      </c>
      <c r="W305" s="588" t="s">
        <v>5445</v>
      </c>
      <c r="X305" s="587" t="s">
        <v>5442</v>
      </c>
      <c r="Y305" s="606" t="s">
        <v>5534</v>
      </c>
      <c r="Z305" s="589"/>
      <c r="AA305" s="724"/>
    </row>
    <row r="306" spans="1:27" ht="35.25" customHeight="1">
      <c r="A306" s="1167"/>
      <c r="B306" s="1238"/>
      <c r="C306" s="1154"/>
      <c r="D306" s="1209"/>
      <c r="E306" s="1126"/>
      <c r="F306" s="1151"/>
      <c r="G306" s="952" t="s">
        <v>2</v>
      </c>
      <c r="H306" s="952" t="s">
        <v>1393</v>
      </c>
      <c r="I306" s="952"/>
      <c r="J306" s="230" t="s">
        <v>1587</v>
      </c>
      <c r="K306" s="952">
        <v>4</v>
      </c>
      <c r="L306" s="236"/>
      <c r="M306" s="194"/>
      <c r="N306" s="1167">
        <f t="shared" si="43"/>
        <v>0</v>
      </c>
      <c r="O306" s="1116"/>
      <c r="P306" s="1117"/>
      <c r="Q306" s="586" t="str">
        <f t="shared" si="42"/>
        <v>-</v>
      </c>
      <c r="R306" s="585" t="str">
        <f t="shared" si="31"/>
        <v xml:space="preserve">پیچ فلنجی سر شش گوش </v>
      </c>
      <c r="S306" s="586">
        <f t="shared" si="31"/>
        <v>4</v>
      </c>
      <c r="T306" s="587">
        <v>22</v>
      </c>
      <c r="U306" s="587">
        <v>25</v>
      </c>
      <c r="V306" s="587">
        <v>28</v>
      </c>
      <c r="W306" s="588" t="s">
        <v>5445</v>
      </c>
      <c r="X306" s="587" t="s">
        <v>5442</v>
      </c>
      <c r="Y306" s="606" t="s">
        <v>5534</v>
      </c>
      <c r="Z306" s="589"/>
      <c r="AA306" s="724"/>
    </row>
    <row r="307" spans="1:27" ht="35.25" customHeight="1">
      <c r="A307" s="1167"/>
      <c r="B307" s="1238"/>
      <c r="C307" s="1154"/>
      <c r="D307" s="1209"/>
      <c r="E307" s="1126"/>
      <c r="F307" s="1151"/>
      <c r="G307" s="952" t="s">
        <v>7</v>
      </c>
      <c r="H307" s="952" t="s">
        <v>1393</v>
      </c>
      <c r="I307" s="952"/>
      <c r="J307" s="230" t="s">
        <v>2315</v>
      </c>
      <c r="K307" s="952">
        <v>1</v>
      </c>
      <c r="L307" s="236"/>
      <c r="M307" s="194"/>
      <c r="N307" s="1167">
        <f t="shared" si="43"/>
        <v>0</v>
      </c>
      <c r="O307" s="1116"/>
      <c r="P307" s="1117"/>
      <c r="Q307" s="586" t="str">
        <f t="shared" si="42"/>
        <v>-</v>
      </c>
      <c r="R307" s="585" t="str">
        <f t="shared" si="31"/>
        <v>پیچ و واشر ترکیبی M8</v>
      </c>
      <c r="S307" s="586">
        <f t="shared" si="31"/>
        <v>1</v>
      </c>
      <c r="T307" s="589"/>
      <c r="U307" s="589"/>
      <c r="V307" s="589"/>
      <c r="W307" s="589"/>
      <c r="X307" s="590"/>
      <c r="Y307" s="590"/>
      <c r="Z307" s="589"/>
      <c r="AA307" s="724"/>
    </row>
    <row r="308" spans="1:27" ht="35.25" customHeight="1">
      <c r="A308" s="1167"/>
      <c r="B308" s="1238"/>
      <c r="C308" s="1154"/>
      <c r="D308" s="1209"/>
      <c r="E308" s="1126"/>
      <c r="F308" s="1151"/>
      <c r="G308" s="952" t="s">
        <v>9</v>
      </c>
      <c r="H308" s="952" t="s">
        <v>1393</v>
      </c>
      <c r="I308" s="952"/>
      <c r="J308" s="230" t="s">
        <v>1503</v>
      </c>
      <c r="K308" s="952">
        <v>2</v>
      </c>
      <c r="L308" s="236"/>
      <c r="M308" s="194"/>
      <c r="N308" s="1167">
        <f t="shared" si="43"/>
        <v>0</v>
      </c>
      <c r="O308" s="1116"/>
      <c r="P308" s="1117"/>
      <c r="Q308" s="586" t="str">
        <f t="shared" si="42"/>
        <v>-</v>
      </c>
      <c r="R308" s="585" t="str">
        <f t="shared" si="31"/>
        <v xml:space="preserve">پیچ فلنجی شش گوش </v>
      </c>
      <c r="S308" s="586">
        <f t="shared" si="31"/>
        <v>2</v>
      </c>
      <c r="T308" s="587">
        <v>22</v>
      </c>
      <c r="U308" s="587">
        <v>25</v>
      </c>
      <c r="V308" s="587">
        <v>28</v>
      </c>
      <c r="W308" s="588" t="s">
        <v>5445</v>
      </c>
      <c r="X308" s="587" t="s">
        <v>5442</v>
      </c>
      <c r="Y308" s="606" t="s">
        <v>5534</v>
      </c>
      <c r="Z308" s="589"/>
      <c r="AA308" s="724"/>
    </row>
    <row r="309" spans="1:27" ht="35.25" customHeight="1">
      <c r="A309" s="1167"/>
      <c r="B309" s="1238"/>
      <c r="C309" s="1154" t="s">
        <v>2314</v>
      </c>
      <c r="D309" s="1209" t="s">
        <v>6078</v>
      </c>
      <c r="E309" s="1126"/>
      <c r="F309" s="1151">
        <v>0.5</v>
      </c>
      <c r="G309" s="952" t="s">
        <v>0</v>
      </c>
      <c r="H309" s="952" t="s">
        <v>1393</v>
      </c>
      <c r="I309" s="952"/>
      <c r="J309" s="230" t="s">
        <v>2312</v>
      </c>
      <c r="K309" s="952">
        <v>2</v>
      </c>
      <c r="L309" s="236"/>
      <c r="M309" s="194"/>
      <c r="N309" s="1167">
        <f t="shared" si="43"/>
        <v>0</v>
      </c>
      <c r="O309" s="1116" t="str">
        <f>C309</f>
        <v xml:space="preserve">ترک و مارک اتصالات دسته سيم داشبورد چپ </v>
      </c>
      <c r="P309" s="1117" t="str">
        <f>D309</f>
        <v>SX7E-5306-1LA</v>
      </c>
      <c r="Q309" s="586" t="str">
        <f t="shared" si="42"/>
        <v>-</v>
      </c>
      <c r="R309" s="585" t="str">
        <f t="shared" si="31"/>
        <v>پیچ  سر شش گوش واشردار</v>
      </c>
      <c r="S309" s="586">
        <f t="shared" si="31"/>
        <v>2</v>
      </c>
      <c r="T309" s="606">
        <v>6</v>
      </c>
      <c r="U309" s="606">
        <v>7</v>
      </c>
      <c r="V309" s="606">
        <v>8</v>
      </c>
      <c r="W309" s="588" t="s">
        <v>5431</v>
      </c>
      <c r="X309" s="587" t="s">
        <v>5442</v>
      </c>
      <c r="Y309" s="606" t="s">
        <v>5533</v>
      </c>
      <c r="Z309" s="589"/>
      <c r="AA309" s="724"/>
    </row>
    <row r="310" spans="1:27" ht="35.25" customHeight="1">
      <c r="A310" s="1167"/>
      <c r="B310" s="1238"/>
      <c r="C310" s="1154"/>
      <c r="D310" s="1209"/>
      <c r="E310" s="1126"/>
      <c r="F310" s="1151"/>
      <c r="G310" s="952" t="s">
        <v>1</v>
      </c>
      <c r="H310" s="952" t="s">
        <v>1393</v>
      </c>
      <c r="I310" s="952"/>
      <c r="J310" s="230" t="s">
        <v>1761</v>
      </c>
      <c r="K310" s="952">
        <v>2</v>
      </c>
      <c r="L310" s="236"/>
      <c r="M310" s="194"/>
      <c r="N310" s="1167">
        <f t="shared" si="43"/>
        <v>0</v>
      </c>
      <c r="O310" s="1116"/>
      <c r="P310" s="1117"/>
      <c r="Q310" s="586" t="str">
        <f t="shared" si="42"/>
        <v>-</v>
      </c>
      <c r="R310" s="585" t="str">
        <f t="shared" si="31"/>
        <v>مهره</v>
      </c>
      <c r="S310" s="586">
        <f t="shared" si="31"/>
        <v>2</v>
      </c>
      <c r="T310" s="606">
        <v>6</v>
      </c>
      <c r="U310" s="606">
        <v>7</v>
      </c>
      <c r="V310" s="606">
        <v>8</v>
      </c>
      <c r="W310" s="588" t="s">
        <v>5431</v>
      </c>
      <c r="X310" s="587" t="s">
        <v>5442</v>
      </c>
      <c r="Y310" s="606" t="s">
        <v>5533</v>
      </c>
      <c r="Z310" s="589"/>
      <c r="AA310" s="724"/>
    </row>
    <row r="311" spans="1:27" ht="35.25" customHeight="1">
      <c r="A311" s="1167"/>
      <c r="B311" s="1238"/>
      <c r="C311" s="929" t="s">
        <v>2311</v>
      </c>
      <c r="D311" s="931" t="s">
        <v>6079</v>
      </c>
      <c r="E311" s="939"/>
      <c r="F311" s="952">
        <v>0.4</v>
      </c>
      <c r="G311" s="952" t="s">
        <v>1</v>
      </c>
      <c r="H311" s="952" t="s">
        <v>1393</v>
      </c>
      <c r="I311" s="952"/>
      <c r="J311" s="230" t="s">
        <v>1498</v>
      </c>
      <c r="K311" s="952">
        <v>4</v>
      </c>
      <c r="L311" s="236"/>
      <c r="M311" s="194"/>
      <c r="N311" s="1167">
        <f t="shared" si="43"/>
        <v>0</v>
      </c>
      <c r="O311" s="914" t="str">
        <f t="shared" ref="O311:P323" si="44">C311</f>
        <v>ترک و مارک براکت پایه داشبورد چپ</v>
      </c>
      <c r="P311" s="915" t="str">
        <f t="shared" si="44"/>
        <v>SX5F-5306-1LA</v>
      </c>
      <c r="Q311" s="586" t="str">
        <f t="shared" si="42"/>
        <v>-</v>
      </c>
      <c r="R311" s="585" t="str">
        <f t="shared" si="31"/>
        <v xml:space="preserve">مهره فلنجی سر شش گوش </v>
      </c>
      <c r="S311" s="586">
        <f t="shared" si="31"/>
        <v>4</v>
      </c>
      <c r="T311" s="587">
        <v>22</v>
      </c>
      <c r="U311" s="587">
        <v>25</v>
      </c>
      <c r="V311" s="587">
        <v>28</v>
      </c>
      <c r="W311" s="588" t="s">
        <v>5445</v>
      </c>
      <c r="X311" s="587" t="s">
        <v>5442</v>
      </c>
      <c r="Y311" s="606" t="s">
        <v>5534</v>
      </c>
      <c r="Z311" s="589"/>
      <c r="AA311" s="724"/>
    </row>
    <row r="312" spans="1:27" ht="35.25" customHeight="1">
      <c r="A312" s="1167"/>
      <c r="B312" s="1238"/>
      <c r="C312" s="982" t="s">
        <v>2309</v>
      </c>
      <c r="D312" s="995"/>
      <c r="E312" s="939"/>
      <c r="F312" s="935">
        <v>0.3</v>
      </c>
      <c r="G312" s="292"/>
      <c r="H312" s="347" t="s">
        <v>1393</v>
      </c>
      <c r="I312" s="348"/>
      <c r="J312" s="246" t="s">
        <v>1498</v>
      </c>
      <c r="K312" s="349">
        <v>16</v>
      </c>
      <c r="L312" s="384"/>
      <c r="M312" s="194"/>
      <c r="N312" s="1167">
        <f t="shared" si="43"/>
        <v>0</v>
      </c>
      <c r="O312" s="964" t="str">
        <f t="shared" si="44"/>
        <v>کنترل گشتاور مهره درب ها</v>
      </c>
      <c r="P312" s="965">
        <f t="shared" si="44"/>
        <v>0</v>
      </c>
      <c r="Q312" s="631" t="str">
        <f t="shared" si="42"/>
        <v>-</v>
      </c>
      <c r="R312" s="607" t="str">
        <f t="shared" si="31"/>
        <v xml:space="preserve">مهره فلنجی سر شش گوش </v>
      </c>
      <c r="S312" s="632">
        <f t="shared" si="31"/>
        <v>16</v>
      </c>
      <c r="T312" s="587">
        <v>20</v>
      </c>
      <c r="U312" s="587">
        <v>23</v>
      </c>
      <c r="V312" s="587">
        <v>26</v>
      </c>
      <c r="W312" s="588" t="s">
        <v>5445</v>
      </c>
      <c r="X312" s="587" t="s">
        <v>5442</v>
      </c>
      <c r="Y312" s="606" t="s">
        <v>5534</v>
      </c>
      <c r="Z312" s="589"/>
      <c r="AA312" s="724"/>
    </row>
    <row r="313" spans="1:27" ht="35.25" customHeight="1">
      <c r="A313" s="1167"/>
      <c r="B313" s="1238"/>
      <c r="C313" s="929" t="s">
        <v>2308</v>
      </c>
      <c r="D313" s="931" t="s">
        <v>6080</v>
      </c>
      <c r="E313" s="939"/>
      <c r="F313" s="935">
        <v>0.5</v>
      </c>
      <c r="G313" s="952" t="s">
        <v>1</v>
      </c>
      <c r="H313" s="320" t="s">
        <v>1393</v>
      </c>
      <c r="I313" s="320"/>
      <c r="J313" s="230" t="s">
        <v>1247</v>
      </c>
      <c r="K313" s="952">
        <v>6</v>
      </c>
      <c r="L313" s="236"/>
      <c r="M313" s="194"/>
      <c r="N313" s="1167">
        <f t="shared" si="43"/>
        <v>0</v>
      </c>
      <c r="O313" s="914" t="str">
        <f t="shared" si="44"/>
        <v>ترک و مارک مجموعه ایربگ پرده اي</v>
      </c>
      <c r="P313" s="915" t="str">
        <f t="shared" si="44"/>
        <v>SX5-5820-1A</v>
      </c>
      <c r="Q313" s="621" t="str">
        <f t="shared" si="42"/>
        <v>-</v>
      </c>
      <c r="R313" s="585" t="str">
        <f t="shared" si="31"/>
        <v>پیچ فلنجی سر شش گوش</v>
      </c>
      <c r="S313" s="586">
        <f t="shared" si="31"/>
        <v>6</v>
      </c>
      <c r="T313" s="587">
        <v>8</v>
      </c>
      <c r="U313" s="587">
        <v>9</v>
      </c>
      <c r="V313" s="587">
        <v>10</v>
      </c>
      <c r="W313" s="588" t="s">
        <v>5431</v>
      </c>
      <c r="X313" s="587" t="s">
        <v>5442</v>
      </c>
      <c r="Y313" s="592" t="s">
        <v>5535</v>
      </c>
      <c r="Z313" s="589"/>
      <c r="AA313" s="724"/>
    </row>
    <row r="314" spans="1:27" ht="35.25" customHeight="1">
      <c r="A314" s="1167"/>
      <c r="B314" s="1139"/>
      <c r="C314" s="929" t="s">
        <v>2307</v>
      </c>
      <c r="D314" s="931" t="s">
        <v>6081</v>
      </c>
      <c r="E314" s="939"/>
      <c r="F314" s="935">
        <v>0.3</v>
      </c>
      <c r="G314" s="952" t="s">
        <v>1</v>
      </c>
      <c r="H314" s="354" t="s">
        <v>1393</v>
      </c>
      <c r="I314" s="354"/>
      <c r="J314" s="230" t="s">
        <v>1498</v>
      </c>
      <c r="K314" s="952">
        <v>4</v>
      </c>
      <c r="L314" s="236"/>
      <c r="M314" s="194"/>
      <c r="N314" s="1167">
        <f t="shared" si="43"/>
        <v>0</v>
      </c>
      <c r="O314" s="914" t="str">
        <f t="shared" si="44"/>
        <v>ترک و مارک مکانیزم تعویض دنده</v>
      </c>
      <c r="P314" s="915" t="str">
        <f t="shared" si="44"/>
        <v>SX5K-1700-2A</v>
      </c>
      <c r="Q314" s="635" t="str">
        <f t="shared" si="42"/>
        <v>-</v>
      </c>
      <c r="R314" s="585" t="str">
        <f t="shared" ref="R314:S381" si="45">J314</f>
        <v xml:space="preserve">مهره فلنجی سر شش گوش </v>
      </c>
      <c r="S314" s="586">
        <f t="shared" si="45"/>
        <v>4</v>
      </c>
      <c r="T314" s="606">
        <v>17</v>
      </c>
      <c r="U314" s="606">
        <v>22</v>
      </c>
      <c r="V314" s="606">
        <v>27</v>
      </c>
      <c r="W314" s="588" t="s">
        <v>5445</v>
      </c>
      <c r="X314" s="587" t="s">
        <v>5442</v>
      </c>
      <c r="Y314" s="645" t="s">
        <v>5534</v>
      </c>
      <c r="Z314" s="645"/>
      <c r="AA314" s="724"/>
    </row>
    <row r="315" spans="1:27" ht="35.25" customHeight="1">
      <c r="A315" s="1167"/>
      <c r="B315" s="952" t="s">
        <v>2302</v>
      </c>
      <c r="C315" s="929" t="s">
        <v>6046</v>
      </c>
      <c r="D315" s="931" t="s">
        <v>272</v>
      </c>
      <c r="E315" s="939"/>
      <c r="F315" s="935">
        <v>0.42</v>
      </c>
      <c r="G315" s="952" t="s">
        <v>697</v>
      </c>
      <c r="H315" s="952" t="s">
        <v>2306</v>
      </c>
      <c r="I315" s="952"/>
      <c r="J315" s="230" t="s">
        <v>2305</v>
      </c>
      <c r="K315" s="952">
        <v>1</v>
      </c>
      <c r="L315" s="231" t="s">
        <v>5848</v>
      </c>
      <c r="M315" s="194"/>
      <c r="N315" s="1167">
        <f t="shared" si="43"/>
        <v>0</v>
      </c>
      <c r="O315" s="914" t="str">
        <f t="shared" si="44"/>
        <v xml:space="preserve">نصب داکت واسط کانال هوا </v>
      </c>
      <c r="P315" s="915" t="str">
        <f t="shared" si="44"/>
        <v>SX5-5305-10</v>
      </c>
      <c r="Q315" s="586" t="str">
        <f t="shared" si="42"/>
        <v>SX5-5305110</v>
      </c>
      <c r="R315" s="585" t="str">
        <f t="shared" si="45"/>
        <v>واسطه داکت کانال هوای عقب</v>
      </c>
      <c r="S315" s="586">
        <f t="shared" si="45"/>
        <v>1</v>
      </c>
      <c r="T315" s="589"/>
      <c r="U315" s="589"/>
      <c r="V315" s="589"/>
      <c r="W315" s="589"/>
      <c r="X315" s="590"/>
      <c r="Y315" s="590"/>
      <c r="Z315" s="589"/>
      <c r="AA315" s="724"/>
    </row>
    <row r="316" spans="1:27" ht="35.25" customHeight="1">
      <c r="A316" s="1167"/>
      <c r="B316" s="1151" t="s">
        <v>2302</v>
      </c>
      <c r="C316" s="1154" t="s">
        <v>2304</v>
      </c>
      <c r="D316" s="1209" t="s">
        <v>266</v>
      </c>
      <c r="E316" s="1212"/>
      <c r="F316" s="1151">
        <v>0.51</v>
      </c>
      <c r="G316" s="952" t="s">
        <v>697</v>
      </c>
      <c r="H316" s="229" t="s">
        <v>267</v>
      </c>
      <c r="I316" s="229"/>
      <c r="J316" s="230" t="s">
        <v>2303</v>
      </c>
      <c r="K316" s="952">
        <v>1</v>
      </c>
      <c r="L316" s="231" t="s">
        <v>5807</v>
      </c>
      <c r="M316" s="194"/>
      <c r="N316" s="1167">
        <f t="shared" si="43"/>
        <v>0</v>
      </c>
      <c r="O316" s="1116" t="str">
        <f t="shared" si="44"/>
        <v>مونتاژ براکت پلاستیکی زیر کنسول</v>
      </c>
      <c r="P316" s="1117" t="str">
        <f t="shared" si="44"/>
        <v>SX5-5305-9</v>
      </c>
      <c r="Q316" s="584" t="str">
        <f t="shared" si="42"/>
        <v>SX5-5305016</v>
      </c>
      <c r="R316" s="585" t="str">
        <f t="shared" si="45"/>
        <v>براکت پلاستیکی نصب کنسول</v>
      </c>
      <c r="S316" s="586">
        <f t="shared" si="45"/>
        <v>1</v>
      </c>
      <c r="T316" s="589"/>
      <c r="U316" s="589"/>
      <c r="V316" s="589"/>
      <c r="W316" s="589"/>
      <c r="X316" s="590"/>
      <c r="Y316" s="590"/>
      <c r="Z316" s="589"/>
      <c r="AA316" s="724"/>
    </row>
    <row r="317" spans="1:27" ht="35.25" customHeight="1">
      <c r="A317" s="1167"/>
      <c r="B317" s="1151"/>
      <c r="C317" s="1154" t="s">
        <v>1248</v>
      </c>
      <c r="D317" s="1209"/>
      <c r="E317" s="1212"/>
      <c r="F317" s="1151"/>
      <c r="G317" s="952" t="s">
        <v>717</v>
      </c>
      <c r="H317" s="229" t="s">
        <v>13</v>
      </c>
      <c r="I317" s="229"/>
      <c r="J317" s="230" t="s">
        <v>1503</v>
      </c>
      <c r="K317" s="952">
        <v>4</v>
      </c>
      <c r="L317" s="231" t="s">
        <v>5837</v>
      </c>
      <c r="M317" s="194"/>
      <c r="N317" s="1167">
        <f t="shared" si="43"/>
        <v>0</v>
      </c>
      <c r="O317" s="1116"/>
      <c r="P317" s="1117"/>
      <c r="Q317" s="584" t="str">
        <f t="shared" si="42"/>
        <v>Q1840616F38</v>
      </c>
      <c r="R317" s="585" t="str">
        <f t="shared" si="45"/>
        <v xml:space="preserve">پیچ فلنجی شش گوش </v>
      </c>
      <c r="S317" s="586">
        <f t="shared" si="45"/>
        <v>4</v>
      </c>
      <c r="T317" s="639">
        <v>2.5</v>
      </c>
      <c r="U317" s="639">
        <v>3</v>
      </c>
      <c r="V317" s="639">
        <v>3.5</v>
      </c>
      <c r="W317" s="588" t="s">
        <v>5431</v>
      </c>
      <c r="X317" s="587" t="s">
        <v>5451</v>
      </c>
      <c r="Y317" s="587" t="s">
        <v>5536</v>
      </c>
      <c r="Z317" s="589"/>
      <c r="AA317" s="724"/>
    </row>
    <row r="318" spans="1:27" ht="35.25" customHeight="1">
      <c r="A318" s="1167"/>
      <c r="B318" s="1220" t="s">
        <v>2302</v>
      </c>
      <c r="C318" s="1154" t="s">
        <v>6047</v>
      </c>
      <c r="D318" s="1209" t="s">
        <v>268</v>
      </c>
      <c r="E318" s="1262"/>
      <c r="F318" s="1151">
        <v>0.67710000000000004</v>
      </c>
      <c r="G318" s="952" t="s">
        <v>697</v>
      </c>
      <c r="H318" s="952" t="s">
        <v>2301</v>
      </c>
      <c r="I318" s="952"/>
      <c r="J318" s="230" t="s">
        <v>2300</v>
      </c>
      <c r="K318" s="385">
        <v>1</v>
      </c>
      <c r="L318" s="231" t="s">
        <v>5807</v>
      </c>
      <c r="M318" s="194"/>
      <c r="N318" s="1167">
        <f t="shared" si="43"/>
        <v>0</v>
      </c>
      <c r="O318" s="1116" t="str">
        <f t="shared" si="44"/>
        <v xml:space="preserve"> نصب اواپراتور بخاری عقب</v>
      </c>
      <c r="P318" s="1117" t="str">
        <f t="shared" si="44"/>
        <v>SX5-5305-11</v>
      </c>
      <c r="Q318" s="586" t="str">
        <f t="shared" si="42"/>
        <v>SX5-5305120C</v>
      </c>
      <c r="R318" s="585" t="str">
        <f t="shared" si="45"/>
        <v>کانال هوای عقب</v>
      </c>
      <c r="S318" s="646">
        <f t="shared" si="45"/>
        <v>1</v>
      </c>
      <c r="T318" s="589"/>
      <c r="U318" s="589"/>
      <c r="V318" s="589"/>
      <c r="W318" s="589"/>
      <c r="X318" s="590"/>
      <c r="Y318" s="590"/>
      <c r="Z318" s="589"/>
      <c r="AA318" s="724"/>
    </row>
    <row r="319" spans="1:27" ht="35.25" customHeight="1">
      <c r="A319" s="1167"/>
      <c r="B319" s="1220"/>
      <c r="C319" s="1154" t="s">
        <v>1248</v>
      </c>
      <c r="D319" s="1209"/>
      <c r="E319" s="1262"/>
      <c r="F319" s="1151"/>
      <c r="G319" s="952" t="s">
        <v>717</v>
      </c>
      <c r="H319" s="952" t="s">
        <v>2299</v>
      </c>
      <c r="I319" s="952"/>
      <c r="J319" s="230" t="s">
        <v>1587</v>
      </c>
      <c r="K319" s="385">
        <v>3</v>
      </c>
      <c r="L319" s="231" t="s">
        <v>5849</v>
      </c>
      <c r="M319" s="194"/>
      <c r="N319" s="1167">
        <f t="shared" si="43"/>
        <v>0</v>
      </c>
      <c r="O319" s="1116"/>
      <c r="P319" s="1117"/>
      <c r="Q319" s="586" t="str">
        <f t="shared" si="42"/>
        <v>Q2204816F38</v>
      </c>
      <c r="R319" s="585" t="str">
        <f t="shared" si="45"/>
        <v xml:space="preserve">پیچ فلنجی سر شش گوش </v>
      </c>
      <c r="S319" s="646">
        <f t="shared" si="45"/>
        <v>3</v>
      </c>
      <c r="T319" s="639">
        <v>2.5</v>
      </c>
      <c r="U319" s="639">
        <v>3</v>
      </c>
      <c r="V319" s="639">
        <v>3.5</v>
      </c>
      <c r="W319" s="588" t="s">
        <v>5461</v>
      </c>
      <c r="X319" s="587" t="s">
        <v>5451</v>
      </c>
      <c r="Y319" s="587" t="s">
        <v>5536</v>
      </c>
      <c r="Z319" s="589"/>
      <c r="AA319" s="724"/>
    </row>
    <row r="320" spans="1:27" ht="35.25" customHeight="1" thickBot="1">
      <c r="A320" s="1168"/>
      <c r="B320" s="1239"/>
      <c r="C320" s="1186" t="s">
        <v>1248</v>
      </c>
      <c r="D320" s="1159"/>
      <c r="E320" s="1279"/>
      <c r="F320" s="1232"/>
      <c r="G320" s="953" t="s">
        <v>863</v>
      </c>
      <c r="H320" s="953" t="s">
        <v>2298</v>
      </c>
      <c r="I320" s="953"/>
      <c r="J320" s="272" t="s">
        <v>1503</v>
      </c>
      <c r="K320" s="375">
        <v>1</v>
      </c>
      <c r="L320" s="250" t="s">
        <v>5837</v>
      </c>
      <c r="M320" s="194"/>
      <c r="N320" s="1168">
        <f t="shared" si="43"/>
        <v>0</v>
      </c>
      <c r="O320" s="1186"/>
      <c r="P320" s="1159"/>
      <c r="Q320" s="251" t="str">
        <f t="shared" si="42"/>
        <v>Q1840616F38</v>
      </c>
      <c r="R320" s="274" t="str">
        <f t="shared" si="45"/>
        <v xml:space="preserve">پیچ فلنجی شش گوش </v>
      </c>
      <c r="S320" s="378">
        <f t="shared" si="45"/>
        <v>1</v>
      </c>
      <c r="T320" s="350">
        <v>2.5</v>
      </c>
      <c r="U320" s="350">
        <v>3</v>
      </c>
      <c r="V320" s="350">
        <v>3.5</v>
      </c>
      <c r="W320" s="253" t="s">
        <v>5431</v>
      </c>
      <c r="X320" s="252" t="s">
        <v>5451</v>
      </c>
      <c r="Y320" s="252" t="s">
        <v>5536</v>
      </c>
      <c r="Z320" s="283"/>
      <c r="AA320" s="285"/>
    </row>
    <row r="321" spans="1:27" ht="42.75" customHeight="1">
      <c r="A321" s="1166" t="s">
        <v>2297</v>
      </c>
      <c r="B321" s="1222" t="s">
        <v>5307</v>
      </c>
      <c r="C321" s="1169" t="s">
        <v>2296</v>
      </c>
      <c r="D321" s="1142" t="s">
        <v>2284</v>
      </c>
      <c r="E321" s="1221"/>
      <c r="F321" s="1222">
        <v>3.09</v>
      </c>
      <c r="G321" s="997" t="s">
        <v>0</v>
      </c>
      <c r="H321" s="997" t="s">
        <v>5089</v>
      </c>
      <c r="I321" s="997" t="s">
        <v>5179</v>
      </c>
      <c r="J321" s="221" t="s">
        <v>2295</v>
      </c>
      <c r="K321" s="997">
        <v>1</v>
      </c>
      <c r="L321" s="222" t="s">
        <v>5850</v>
      </c>
      <c r="M321" s="194"/>
      <c r="N321" s="1166" t="str">
        <f t="shared" si="43"/>
        <v>P27</v>
      </c>
      <c r="O321" s="1169" t="str">
        <f t="shared" si="44"/>
        <v xml:space="preserve">  مونتاژ نوار آب بندی درب جلو و عقب چپ</v>
      </c>
      <c r="P321" s="1142" t="str">
        <f t="shared" si="44"/>
        <v>SX5-6207-1
SX5-6107-2</v>
      </c>
      <c r="Q321" s="225" t="str">
        <f t="shared" si="42"/>
        <v>SX5-6107121C</v>
      </c>
      <c r="R321" s="224" t="str">
        <f t="shared" si="45"/>
        <v xml:space="preserve">نوار آب بند دور درب جلو چپ </v>
      </c>
      <c r="S321" s="225">
        <f t="shared" si="45"/>
        <v>1</v>
      </c>
      <c r="T321" s="226"/>
      <c r="U321" s="226"/>
      <c r="V321" s="226"/>
      <c r="W321" s="226"/>
      <c r="X321" s="227"/>
      <c r="Y321" s="227"/>
      <c r="Z321" s="226"/>
      <c r="AA321" s="228"/>
    </row>
    <row r="322" spans="1:27" ht="42.75" customHeight="1">
      <c r="A322" s="1167"/>
      <c r="B322" s="1151"/>
      <c r="C322" s="1154" t="s">
        <v>1248</v>
      </c>
      <c r="D322" s="1209"/>
      <c r="E322" s="1126"/>
      <c r="F322" s="1151"/>
      <c r="G322" s="952" t="s">
        <v>0</v>
      </c>
      <c r="H322" s="952" t="s">
        <v>5087</v>
      </c>
      <c r="I322" s="952"/>
      <c r="J322" s="230" t="s">
        <v>2294</v>
      </c>
      <c r="K322" s="952">
        <v>1</v>
      </c>
      <c r="L322" s="231" t="s">
        <v>5850</v>
      </c>
      <c r="M322" s="194"/>
      <c r="N322" s="1167">
        <f t="shared" si="43"/>
        <v>0</v>
      </c>
      <c r="O322" s="1116"/>
      <c r="P322" s="1117"/>
      <c r="Q322" s="586" t="str">
        <f t="shared" si="42"/>
        <v>SX5-6207121C</v>
      </c>
      <c r="R322" s="585" t="str">
        <f t="shared" si="45"/>
        <v xml:space="preserve">نوار آب بند دور درب عقب چپ </v>
      </c>
      <c r="S322" s="586">
        <f t="shared" si="45"/>
        <v>1</v>
      </c>
      <c r="T322" s="589"/>
      <c r="U322" s="589"/>
      <c r="V322" s="589"/>
      <c r="W322" s="589"/>
      <c r="X322" s="590"/>
      <c r="Y322" s="590"/>
      <c r="Z322" s="589"/>
      <c r="AA322" s="724"/>
    </row>
    <row r="323" spans="1:27" ht="42.75" customHeight="1">
      <c r="A323" s="1167"/>
      <c r="B323" s="1226" t="s">
        <v>5307</v>
      </c>
      <c r="C323" s="1152" t="s">
        <v>2293</v>
      </c>
      <c r="D323" s="1120" t="s">
        <v>2281</v>
      </c>
      <c r="E323" s="1126"/>
      <c r="F323" s="1151">
        <v>0.67100000000000004</v>
      </c>
      <c r="G323" s="952" t="s">
        <v>0</v>
      </c>
      <c r="H323" s="952" t="s">
        <v>500</v>
      </c>
      <c r="I323" s="952"/>
      <c r="J323" s="230" t="s">
        <v>2292</v>
      </c>
      <c r="K323" s="952">
        <v>1</v>
      </c>
      <c r="L323" s="231" t="s">
        <v>5852</v>
      </c>
      <c r="M323" s="194"/>
      <c r="N323" s="1167">
        <f t="shared" si="43"/>
        <v>0</v>
      </c>
      <c r="O323" s="1116" t="str">
        <f t="shared" si="44"/>
        <v xml:space="preserve"> نصب زه استیل بالای درب جلو و عقب چپ</v>
      </c>
      <c r="P323" s="1117" t="str">
        <f t="shared" si="44"/>
        <v>SX5-6103-3
SX5-6203-4</v>
      </c>
      <c r="Q323" s="941" t="s">
        <v>500</v>
      </c>
      <c r="R323" s="647" t="s">
        <v>2292</v>
      </c>
      <c r="S323" s="941">
        <v>1</v>
      </c>
      <c r="T323" s="589"/>
      <c r="U323" s="589"/>
      <c r="V323" s="589"/>
      <c r="W323" s="589"/>
      <c r="X323" s="590"/>
      <c r="Y323" s="590"/>
      <c r="Z323" s="589"/>
      <c r="AA323" s="724"/>
    </row>
    <row r="324" spans="1:27" ht="42.75" customHeight="1">
      <c r="A324" s="1167"/>
      <c r="B324" s="1226"/>
      <c r="C324" s="1201"/>
      <c r="D324" s="1202"/>
      <c r="E324" s="1126"/>
      <c r="F324" s="1151"/>
      <c r="G324" s="952" t="s">
        <v>1</v>
      </c>
      <c r="H324" s="952" t="s">
        <v>2277</v>
      </c>
      <c r="I324" s="952"/>
      <c r="J324" s="230" t="s">
        <v>1529</v>
      </c>
      <c r="K324" s="952">
        <v>2</v>
      </c>
      <c r="L324" s="231" t="s">
        <v>5853</v>
      </c>
      <c r="M324" s="194"/>
      <c r="N324" s="1167"/>
      <c r="O324" s="1116"/>
      <c r="P324" s="1117"/>
      <c r="Q324" s="941" t="s">
        <v>2277</v>
      </c>
      <c r="R324" s="647" t="s">
        <v>1529</v>
      </c>
      <c r="S324" s="941">
        <v>2</v>
      </c>
      <c r="T324" s="614">
        <v>2.5</v>
      </c>
      <c r="U324" s="614">
        <v>3</v>
      </c>
      <c r="V324" s="614">
        <v>3.5</v>
      </c>
      <c r="W324" s="615" t="s">
        <v>5461</v>
      </c>
      <c r="X324" s="614" t="s">
        <v>5451</v>
      </c>
      <c r="Y324" s="614" t="s">
        <v>5537</v>
      </c>
      <c r="Z324" s="589"/>
      <c r="AA324" s="724"/>
    </row>
    <row r="325" spans="1:27" ht="42.75" customHeight="1">
      <c r="A325" s="1167"/>
      <c r="B325" s="1226"/>
      <c r="C325" s="1201" t="s">
        <v>1248</v>
      </c>
      <c r="D325" s="1202"/>
      <c r="E325" s="1126"/>
      <c r="F325" s="1151"/>
      <c r="G325" s="952" t="s">
        <v>0</v>
      </c>
      <c r="H325" s="952" t="s">
        <v>2291</v>
      </c>
      <c r="I325" s="952"/>
      <c r="J325" s="230" t="s">
        <v>2290</v>
      </c>
      <c r="K325" s="952">
        <v>1</v>
      </c>
      <c r="L325" s="231" t="s">
        <v>5852</v>
      </c>
      <c r="M325" s="194"/>
      <c r="N325" s="1167">
        <f t="shared" si="43"/>
        <v>0</v>
      </c>
      <c r="O325" s="1116"/>
      <c r="P325" s="1117"/>
      <c r="Q325" s="941" t="s">
        <v>2291</v>
      </c>
      <c r="R325" s="647" t="s">
        <v>2290</v>
      </c>
      <c r="S325" s="941">
        <v>1</v>
      </c>
      <c r="T325" s="589"/>
      <c r="U325" s="589"/>
      <c r="V325" s="589"/>
      <c r="W325" s="589"/>
      <c r="X325" s="590"/>
      <c r="Y325" s="590"/>
      <c r="Z325" s="589"/>
      <c r="AA325" s="724"/>
    </row>
    <row r="326" spans="1:27" ht="42.75" customHeight="1">
      <c r="A326" s="1167"/>
      <c r="B326" s="1226"/>
      <c r="C326" s="1154" t="s">
        <v>1248</v>
      </c>
      <c r="D326" s="1209"/>
      <c r="E326" s="1126"/>
      <c r="F326" s="1151"/>
      <c r="G326" s="952" t="s">
        <v>1</v>
      </c>
      <c r="H326" s="952" t="s">
        <v>2277</v>
      </c>
      <c r="I326" s="952"/>
      <c r="J326" s="230" t="s">
        <v>1529</v>
      </c>
      <c r="K326" s="952">
        <v>1</v>
      </c>
      <c r="L326" s="231" t="s">
        <v>5853</v>
      </c>
      <c r="M326" s="194"/>
      <c r="N326" s="1167">
        <f t="shared" si="43"/>
        <v>0</v>
      </c>
      <c r="O326" s="1116"/>
      <c r="P326" s="1117"/>
      <c r="Q326" s="586" t="str">
        <f t="shared" si="42"/>
        <v>Q2540510F38</v>
      </c>
      <c r="R326" s="585" t="str">
        <f t="shared" si="45"/>
        <v xml:space="preserve">پیچ سر سوکتی شش گوش </v>
      </c>
      <c r="S326" s="586">
        <f>K326</f>
        <v>1</v>
      </c>
      <c r="T326" s="673"/>
      <c r="U326" s="673"/>
      <c r="V326" s="673"/>
      <c r="W326" s="673"/>
      <c r="X326" s="673"/>
      <c r="Y326" s="673"/>
      <c r="Z326" s="589"/>
      <c r="AA326" s="724"/>
    </row>
    <row r="327" spans="1:27" ht="42.75" customHeight="1">
      <c r="A327" s="1167"/>
      <c r="B327" s="933" t="s">
        <v>5307</v>
      </c>
      <c r="C327" s="929" t="s">
        <v>2289</v>
      </c>
      <c r="D327" s="931" t="s">
        <v>264</v>
      </c>
      <c r="E327" s="939"/>
      <c r="F327" s="935">
        <v>0.41</v>
      </c>
      <c r="G327" s="952" t="s">
        <v>0</v>
      </c>
      <c r="H327" s="952" t="s">
        <v>2288</v>
      </c>
      <c r="I327" s="952"/>
      <c r="J327" s="230" t="s">
        <v>2287</v>
      </c>
      <c r="K327" s="952">
        <v>1</v>
      </c>
      <c r="L327" s="231" t="s">
        <v>5854</v>
      </c>
      <c r="M327" s="194"/>
      <c r="N327" s="1167">
        <f t="shared" si="43"/>
        <v>0</v>
      </c>
      <c r="O327" s="914" t="str">
        <f t="shared" ref="O327:P382" si="46">C327</f>
        <v>نصب کاور سمت چپ داشبورد</v>
      </c>
      <c r="P327" s="915" t="str">
        <f t="shared" si="46"/>
        <v>SX5-5306-4</v>
      </c>
      <c r="Q327" s="586" t="str">
        <f t="shared" si="42"/>
        <v>SX5F-5306370B-Y1</v>
      </c>
      <c r="R327" s="585" t="str">
        <f t="shared" si="45"/>
        <v>مجموعه کاور سمت چپ داشبورد</v>
      </c>
      <c r="S327" s="586">
        <f t="shared" si="45"/>
        <v>1</v>
      </c>
      <c r="T327" s="589"/>
      <c r="U327" s="589"/>
      <c r="V327" s="589"/>
      <c r="W327" s="589"/>
      <c r="X327" s="590"/>
      <c r="Y327" s="590"/>
      <c r="Z327" s="589"/>
      <c r="AA327" s="724"/>
    </row>
    <row r="328" spans="1:27" ht="42.75" customHeight="1" thickBot="1">
      <c r="A328" s="1168"/>
      <c r="B328" s="936" t="s">
        <v>5307</v>
      </c>
      <c r="C328" s="930" t="s">
        <v>2274</v>
      </c>
      <c r="D328" s="932"/>
      <c r="E328" s="942"/>
      <c r="F328" s="936">
        <v>1.5</v>
      </c>
      <c r="G328" s="953"/>
      <c r="H328" s="953" t="s">
        <v>5420</v>
      </c>
      <c r="I328" s="953"/>
      <c r="J328" s="272"/>
      <c r="K328" s="953"/>
      <c r="L328" s="263"/>
      <c r="M328" s="194"/>
      <c r="N328" s="1168">
        <f t="shared" si="43"/>
        <v>0</v>
      </c>
      <c r="O328" s="930" t="str">
        <f t="shared" si="46"/>
        <v>باز کردن بسته بندی دستگیره های بیرونی</v>
      </c>
      <c r="P328" s="932" t="s">
        <v>1393</v>
      </c>
      <c r="Q328" s="251" t="str">
        <f t="shared" si="42"/>
        <v>....</v>
      </c>
      <c r="R328" s="274">
        <f t="shared" si="45"/>
        <v>0</v>
      </c>
      <c r="S328" s="251">
        <f t="shared" si="45"/>
        <v>0</v>
      </c>
      <c r="T328" s="283"/>
      <c r="U328" s="283"/>
      <c r="V328" s="283"/>
      <c r="W328" s="283"/>
      <c r="X328" s="284"/>
      <c r="Y328" s="284"/>
      <c r="Z328" s="283"/>
      <c r="AA328" s="285"/>
    </row>
    <row r="329" spans="1:27" ht="42.75" customHeight="1">
      <c r="A329" s="1166" t="s">
        <v>2286</v>
      </c>
      <c r="B329" s="1222" t="s">
        <v>2178</v>
      </c>
      <c r="C329" s="1169" t="s">
        <v>2285</v>
      </c>
      <c r="D329" s="1142" t="s">
        <v>2284</v>
      </c>
      <c r="E329" s="1221"/>
      <c r="F329" s="1222">
        <v>2.81</v>
      </c>
      <c r="G329" s="997" t="s">
        <v>0</v>
      </c>
      <c r="H329" s="997" t="s">
        <v>5178</v>
      </c>
      <c r="I329" s="997" t="s">
        <v>5088</v>
      </c>
      <c r="J329" s="221" t="s">
        <v>6208</v>
      </c>
      <c r="K329" s="997">
        <v>1</v>
      </c>
      <c r="L329" s="222" t="s">
        <v>5855</v>
      </c>
      <c r="M329" s="194"/>
      <c r="N329" s="1166" t="str">
        <f t="shared" si="43"/>
        <v>P28</v>
      </c>
      <c r="O329" s="1169" t="str">
        <f t="shared" si="46"/>
        <v xml:space="preserve">  مونتاژ نوار آب بندی درب جلو و عقب راست</v>
      </c>
      <c r="P329" s="1142" t="str">
        <f t="shared" si="46"/>
        <v>SX5-6207-1
SX5-6107-2</v>
      </c>
      <c r="Q329" s="225" t="str">
        <f t="shared" si="42"/>
        <v>SX5-6107120B</v>
      </c>
      <c r="R329" s="224" t="str">
        <f t="shared" si="45"/>
        <v xml:space="preserve">  نوار آب بند دور درب جلو راست </v>
      </c>
      <c r="S329" s="225">
        <f t="shared" si="45"/>
        <v>1</v>
      </c>
      <c r="T329" s="226"/>
      <c r="U329" s="226"/>
      <c r="V329" s="226"/>
      <c r="W329" s="226"/>
      <c r="X329" s="227"/>
      <c r="Y329" s="227"/>
      <c r="Z329" s="226"/>
      <c r="AA329" s="228"/>
    </row>
    <row r="330" spans="1:27" ht="42.75" customHeight="1">
      <c r="A330" s="1167"/>
      <c r="B330" s="1151"/>
      <c r="C330" s="1154" t="s">
        <v>1248</v>
      </c>
      <c r="D330" s="1209"/>
      <c r="E330" s="1126"/>
      <c r="F330" s="1151"/>
      <c r="G330" s="952" t="s">
        <v>0</v>
      </c>
      <c r="H330" s="952" t="s">
        <v>5184</v>
      </c>
      <c r="I330" s="952" t="s">
        <v>5086</v>
      </c>
      <c r="J330" s="230" t="s">
        <v>2283</v>
      </c>
      <c r="K330" s="952">
        <v>1</v>
      </c>
      <c r="L330" s="231" t="s">
        <v>5855</v>
      </c>
      <c r="M330" s="194"/>
      <c r="N330" s="1167">
        <f t="shared" si="43"/>
        <v>0</v>
      </c>
      <c r="O330" s="1116"/>
      <c r="P330" s="1117"/>
      <c r="Q330" s="586" t="str">
        <f t="shared" si="42"/>
        <v>SX5-6207120B1</v>
      </c>
      <c r="R330" s="585" t="str">
        <f t="shared" si="45"/>
        <v xml:space="preserve">نوار آب بند دور درب عقب راست </v>
      </c>
      <c r="S330" s="586">
        <f t="shared" si="45"/>
        <v>1</v>
      </c>
      <c r="T330" s="589"/>
      <c r="U330" s="589"/>
      <c r="V330" s="589"/>
      <c r="W330" s="589"/>
      <c r="X330" s="590"/>
      <c r="Y330" s="590"/>
      <c r="Z330" s="589"/>
      <c r="AA330" s="724"/>
    </row>
    <row r="331" spans="1:27" ht="42.75" customHeight="1">
      <c r="A331" s="1167"/>
      <c r="B331" s="1226" t="s">
        <v>2178</v>
      </c>
      <c r="C331" s="1154" t="s">
        <v>2282</v>
      </c>
      <c r="D331" s="1209" t="s">
        <v>2281</v>
      </c>
      <c r="E331" s="1126"/>
      <c r="F331" s="1151">
        <v>0.67100000000000004</v>
      </c>
      <c r="G331" s="952" t="s">
        <v>0</v>
      </c>
      <c r="H331" s="952" t="s">
        <v>501</v>
      </c>
      <c r="I331" s="952"/>
      <c r="J331" s="230" t="s">
        <v>2280</v>
      </c>
      <c r="K331" s="952">
        <v>1</v>
      </c>
      <c r="L331" s="231" t="s">
        <v>5856</v>
      </c>
      <c r="M331" s="194"/>
      <c r="N331" s="1167">
        <f t="shared" si="43"/>
        <v>0</v>
      </c>
      <c r="O331" s="1116" t="str">
        <f t="shared" si="46"/>
        <v xml:space="preserve"> نصب زه استیل بالای درب جلو و عقب راست</v>
      </c>
      <c r="P331" s="1117" t="str">
        <f t="shared" si="46"/>
        <v>SX5-6103-3
SX5-6203-4</v>
      </c>
      <c r="Q331" s="586" t="str">
        <f t="shared" si="42"/>
        <v>SX5-6103210B</v>
      </c>
      <c r="R331" s="585" t="str">
        <f t="shared" si="45"/>
        <v>زه استیل بالای درب جلو راست</v>
      </c>
      <c r="S331" s="586">
        <f t="shared" si="45"/>
        <v>1</v>
      </c>
      <c r="T331" s="589"/>
      <c r="U331" s="589"/>
      <c r="V331" s="589"/>
      <c r="W331" s="589"/>
      <c r="X331" s="590"/>
      <c r="Y331" s="590"/>
      <c r="Z331" s="589"/>
      <c r="AA331" s="724"/>
    </row>
    <row r="332" spans="1:27" ht="42.75" customHeight="1">
      <c r="A332" s="1167"/>
      <c r="B332" s="1226"/>
      <c r="C332" s="1154" t="s">
        <v>1248</v>
      </c>
      <c r="D332" s="1209"/>
      <c r="E332" s="1126"/>
      <c r="F332" s="1151"/>
      <c r="G332" s="952" t="s">
        <v>0</v>
      </c>
      <c r="H332" s="952" t="s">
        <v>2279</v>
      </c>
      <c r="I332" s="952"/>
      <c r="J332" s="230" t="s">
        <v>2278</v>
      </c>
      <c r="K332" s="952">
        <v>1</v>
      </c>
      <c r="L332" s="231" t="s">
        <v>5856</v>
      </c>
      <c r="M332" s="194"/>
      <c r="N332" s="1167">
        <f t="shared" si="43"/>
        <v>0</v>
      </c>
      <c r="O332" s="1116"/>
      <c r="P332" s="1117"/>
      <c r="Q332" s="586" t="str">
        <f t="shared" si="42"/>
        <v>SX5-6203210</v>
      </c>
      <c r="R332" s="585" t="str">
        <f t="shared" si="45"/>
        <v>زه استیل بالای درب عقب راست</v>
      </c>
      <c r="S332" s="586">
        <f t="shared" si="45"/>
        <v>1</v>
      </c>
      <c r="T332" s="589"/>
      <c r="U332" s="589"/>
      <c r="V332" s="589"/>
      <c r="W332" s="589"/>
      <c r="X332" s="590"/>
      <c r="Y332" s="590"/>
      <c r="Z332" s="589"/>
      <c r="AA332" s="724"/>
    </row>
    <row r="333" spans="1:27" ht="42.75" customHeight="1">
      <c r="A333" s="1167"/>
      <c r="B333" s="1226"/>
      <c r="C333" s="1154" t="s">
        <v>1248</v>
      </c>
      <c r="D333" s="1209"/>
      <c r="E333" s="1126"/>
      <c r="F333" s="1151"/>
      <c r="G333" s="952" t="s">
        <v>1</v>
      </c>
      <c r="H333" s="952" t="s">
        <v>2277</v>
      </c>
      <c r="I333" s="952"/>
      <c r="J333" s="230" t="s">
        <v>1529</v>
      </c>
      <c r="K333" s="952">
        <v>1</v>
      </c>
      <c r="L333" s="231" t="s">
        <v>5853</v>
      </c>
      <c r="M333" s="194"/>
      <c r="N333" s="1167">
        <f t="shared" si="43"/>
        <v>0</v>
      </c>
      <c r="O333" s="1116"/>
      <c r="P333" s="1117"/>
      <c r="Q333" s="586" t="str">
        <f t="shared" si="42"/>
        <v>Q2540510F38</v>
      </c>
      <c r="R333" s="585" t="str">
        <f t="shared" si="45"/>
        <v xml:space="preserve">پیچ سر سوکتی شش گوش </v>
      </c>
      <c r="S333" s="586">
        <f t="shared" si="45"/>
        <v>1</v>
      </c>
      <c r="T333" s="614">
        <v>2.5</v>
      </c>
      <c r="U333" s="614">
        <v>3</v>
      </c>
      <c r="V333" s="614">
        <v>3.5</v>
      </c>
      <c r="W333" s="615" t="s">
        <v>5461</v>
      </c>
      <c r="X333" s="614" t="s">
        <v>5451</v>
      </c>
      <c r="Y333" s="614" t="s">
        <v>5538</v>
      </c>
      <c r="Z333" s="589"/>
      <c r="AA333" s="724"/>
    </row>
    <row r="334" spans="1:27" ht="42.75" customHeight="1">
      <c r="A334" s="1167"/>
      <c r="B334" s="933" t="s">
        <v>2178</v>
      </c>
      <c r="C334" s="929" t="s">
        <v>2276</v>
      </c>
      <c r="D334" s="931" t="s">
        <v>264</v>
      </c>
      <c r="E334" s="939"/>
      <c r="F334" s="935">
        <v>0.41</v>
      </c>
      <c r="G334" s="952" t="s">
        <v>0</v>
      </c>
      <c r="H334" s="952" t="s">
        <v>265</v>
      </c>
      <c r="I334" s="952"/>
      <c r="J334" s="230" t="s">
        <v>2275</v>
      </c>
      <c r="K334" s="952">
        <v>1</v>
      </c>
      <c r="L334" s="231" t="s">
        <v>5854</v>
      </c>
      <c r="M334" s="194"/>
      <c r="N334" s="1167">
        <f t="shared" si="43"/>
        <v>0</v>
      </c>
      <c r="O334" s="914" t="str">
        <f t="shared" si="46"/>
        <v>نصب کاور سمت راست داشبورد</v>
      </c>
      <c r="P334" s="915" t="str">
        <f t="shared" si="46"/>
        <v>SX5-5306-4</v>
      </c>
      <c r="Q334" s="586" t="str">
        <f t="shared" si="42"/>
        <v>SX5F-5306380-Y1</v>
      </c>
      <c r="R334" s="585" t="str">
        <f t="shared" si="45"/>
        <v>مجموعه کاور سمت راست داشبورد</v>
      </c>
      <c r="S334" s="586">
        <f t="shared" si="45"/>
        <v>1</v>
      </c>
      <c r="T334" s="589"/>
      <c r="U334" s="589"/>
      <c r="V334" s="589"/>
      <c r="W334" s="589"/>
      <c r="X334" s="590"/>
      <c r="Y334" s="590"/>
      <c r="Z334" s="589"/>
      <c r="AA334" s="724"/>
    </row>
    <row r="335" spans="1:27" ht="42.75" customHeight="1" thickBot="1">
      <c r="A335" s="1168"/>
      <c r="B335" s="936" t="s">
        <v>2178</v>
      </c>
      <c r="C335" s="930" t="s">
        <v>2274</v>
      </c>
      <c r="D335" s="932"/>
      <c r="E335" s="942"/>
      <c r="F335" s="936">
        <v>1.5</v>
      </c>
      <c r="G335" s="953"/>
      <c r="H335" s="953" t="s">
        <v>5285</v>
      </c>
      <c r="I335" s="953"/>
      <c r="J335" s="272"/>
      <c r="K335" s="953"/>
      <c r="L335" s="263"/>
      <c r="M335" s="194"/>
      <c r="N335" s="1168">
        <f t="shared" si="43"/>
        <v>0</v>
      </c>
      <c r="O335" s="930" t="str">
        <f t="shared" si="46"/>
        <v>باز کردن بسته بندی دستگیره های بیرونی</v>
      </c>
      <c r="P335" s="932" t="s">
        <v>1393</v>
      </c>
      <c r="Q335" s="251" t="s">
        <v>1393</v>
      </c>
      <c r="R335" s="274">
        <f t="shared" si="45"/>
        <v>0</v>
      </c>
      <c r="S335" s="251">
        <f t="shared" si="45"/>
        <v>0</v>
      </c>
      <c r="T335" s="283"/>
      <c r="U335" s="283"/>
      <c r="V335" s="283"/>
      <c r="W335" s="283"/>
      <c r="X335" s="284"/>
      <c r="Y335" s="284"/>
      <c r="Z335" s="283"/>
      <c r="AA335" s="285"/>
    </row>
    <row r="336" spans="1:27" ht="42.75" customHeight="1">
      <c r="A336" s="1175" t="s">
        <v>2273</v>
      </c>
      <c r="B336" s="1222" t="s">
        <v>2178</v>
      </c>
      <c r="C336" s="1169" t="s">
        <v>2272</v>
      </c>
      <c r="D336" s="1142" t="s">
        <v>448</v>
      </c>
      <c r="E336" s="1221"/>
      <c r="F336" s="1222">
        <v>0.85</v>
      </c>
      <c r="G336" s="997" t="s">
        <v>0</v>
      </c>
      <c r="H336" s="997" t="s">
        <v>2265</v>
      </c>
      <c r="I336" s="997"/>
      <c r="J336" s="221" t="s">
        <v>2271</v>
      </c>
      <c r="K336" s="997">
        <v>1</v>
      </c>
      <c r="L336" s="222" t="s">
        <v>5857</v>
      </c>
      <c r="M336" s="194"/>
      <c r="N336" s="1175" t="str">
        <f>A336</f>
        <v>P29</v>
      </c>
      <c r="O336" s="1169" t="str">
        <f t="shared" si="46"/>
        <v>مونتاژ استپر جلو به درب جلو راست</v>
      </c>
      <c r="P336" s="1142" t="str">
        <f t="shared" si="46"/>
        <v>SX5-6109-1</v>
      </c>
      <c r="Q336" s="225" t="str">
        <f t="shared" si="42"/>
        <v>BM3-6109010</v>
      </c>
      <c r="R336" s="224" t="str">
        <f t="shared" si="45"/>
        <v>مجموعه استپر درب جلو راست</v>
      </c>
      <c r="S336" s="225">
        <f t="shared" si="45"/>
        <v>1</v>
      </c>
      <c r="T336" s="226"/>
      <c r="U336" s="226"/>
      <c r="V336" s="226"/>
      <c r="W336" s="226"/>
      <c r="X336" s="227"/>
      <c r="Y336" s="227"/>
      <c r="Z336" s="226"/>
      <c r="AA336" s="228"/>
    </row>
    <row r="337" spans="1:27" ht="42.75" customHeight="1">
      <c r="A337" s="1176"/>
      <c r="B337" s="1151"/>
      <c r="C337" s="1154" t="s">
        <v>1248</v>
      </c>
      <c r="D337" s="1209"/>
      <c r="E337" s="1126"/>
      <c r="F337" s="1151"/>
      <c r="G337" s="952" t="s">
        <v>1</v>
      </c>
      <c r="H337" s="952" t="s">
        <v>450</v>
      </c>
      <c r="I337" s="952"/>
      <c r="J337" s="230" t="s">
        <v>2259</v>
      </c>
      <c r="K337" s="952">
        <v>2</v>
      </c>
      <c r="L337" s="231" t="s">
        <v>5851</v>
      </c>
      <c r="M337" s="194"/>
      <c r="N337" s="1176"/>
      <c r="O337" s="1116"/>
      <c r="P337" s="1117"/>
      <c r="Q337" s="586" t="str">
        <f t="shared" si="42"/>
        <v>Q1800612F38</v>
      </c>
      <c r="R337" s="585" t="str">
        <f t="shared" si="45"/>
        <v>پیچ نصب استپر به درب</v>
      </c>
      <c r="S337" s="586">
        <f t="shared" si="45"/>
        <v>2</v>
      </c>
      <c r="T337" s="614">
        <v>7</v>
      </c>
      <c r="U337" s="614">
        <v>8</v>
      </c>
      <c r="V337" s="614">
        <v>9</v>
      </c>
      <c r="W337" s="615" t="s">
        <v>5431</v>
      </c>
      <c r="X337" s="614" t="s">
        <v>5539</v>
      </c>
      <c r="Y337" s="614" t="s">
        <v>5540</v>
      </c>
      <c r="Z337" s="589"/>
      <c r="AA337" s="724"/>
    </row>
    <row r="338" spans="1:27" ht="42.75" customHeight="1">
      <c r="A338" s="1176"/>
      <c r="B338" s="933" t="s">
        <v>2178</v>
      </c>
      <c r="C338" s="929" t="s">
        <v>2270</v>
      </c>
      <c r="D338" s="931" t="s">
        <v>2262</v>
      </c>
      <c r="E338" s="939"/>
      <c r="F338" s="1151"/>
      <c r="G338" s="952" t="s">
        <v>0</v>
      </c>
      <c r="H338" s="952" t="s">
        <v>218</v>
      </c>
      <c r="I338" s="952"/>
      <c r="J338" s="230" t="s">
        <v>1983</v>
      </c>
      <c r="K338" s="952">
        <v>1</v>
      </c>
      <c r="L338" s="231" t="s">
        <v>5851</v>
      </c>
      <c r="M338" s="194"/>
      <c r="N338" s="1176"/>
      <c r="O338" s="914" t="str">
        <f t="shared" si="46"/>
        <v>مونتاژ استپر جلو راست به بدنه</v>
      </c>
      <c r="P338" s="915" t="str">
        <f t="shared" si="46"/>
        <v>SX5-6109-2</v>
      </c>
      <c r="Q338" s="586" t="str">
        <f t="shared" si="42"/>
        <v>Q1840816F38</v>
      </c>
      <c r="R338" s="585" t="str">
        <f t="shared" si="45"/>
        <v>پیچ نصب استپر به بدنه</v>
      </c>
      <c r="S338" s="586">
        <f t="shared" si="45"/>
        <v>1</v>
      </c>
      <c r="T338" s="614">
        <v>22</v>
      </c>
      <c r="U338" s="614">
        <v>25</v>
      </c>
      <c r="V338" s="614">
        <v>28</v>
      </c>
      <c r="W338" s="615" t="s">
        <v>5509</v>
      </c>
      <c r="X338" s="614" t="s">
        <v>5435</v>
      </c>
      <c r="Y338" s="614" t="s">
        <v>5541</v>
      </c>
      <c r="Z338" s="589"/>
      <c r="AA338" s="724"/>
    </row>
    <row r="339" spans="1:27" ht="42.75" customHeight="1">
      <c r="A339" s="1176"/>
      <c r="B339" s="1151" t="s">
        <v>2178</v>
      </c>
      <c r="C339" s="1154" t="s">
        <v>2269</v>
      </c>
      <c r="D339" s="1209" t="s">
        <v>451</v>
      </c>
      <c r="E339" s="1126"/>
      <c r="F339" s="1151">
        <v>0.98</v>
      </c>
      <c r="G339" s="952" t="s">
        <v>0</v>
      </c>
      <c r="H339" s="952" t="s">
        <v>452</v>
      </c>
      <c r="I339" s="952"/>
      <c r="J339" s="230" t="s">
        <v>2268</v>
      </c>
      <c r="K339" s="952">
        <v>1</v>
      </c>
      <c r="L339" s="231" t="s">
        <v>5857</v>
      </c>
      <c r="M339" s="194"/>
      <c r="N339" s="1176"/>
      <c r="O339" s="1116" t="str">
        <f t="shared" si="46"/>
        <v xml:space="preserve">مونتاژ استپر عقب به درب عقب راست  </v>
      </c>
      <c r="P339" s="1117" t="str">
        <f t="shared" si="46"/>
        <v>SX5-6209-1</v>
      </c>
      <c r="Q339" s="586" t="str">
        <f t="shared" ref="Q339:Q404" si="47">H339</f>
        <v>BM3-6209010</v>
      </c>
      <c r="R339" s="585" t="str">
        <f t="shared" si="45"/>
        <v>مجموعه استپر درب عقب راست</v>
      </c>
      <c r="S339" s="586">
        <f t="shared" si="45"/>
        <v>1</v>
      </c>
      <c r="T339" s="589"/>
      <c r="U339" s="589"/>
      <c r="V339" s="589"/>
      <c r="W339" s="589"/>
      <c r="X339" s="590"/>
      <c r="Y339" s="590"/>
      <c r="Z339" s="589"/>
      <c r="AA339" s="724"/>
    </row>
    <row r="340" spans="1:27" ht="42.75" customHeight="1">
      <c r="A340" s="1176"/>
      <c r="B340" s="1151"/>
      <c r="C340" s="1154" t="s">
        <v>1248</v>
      </c>
      <c r="D340" s="1209"/>
      <c r="E340" s="1126"/>
      <c r="F340" s="1151"/>
      <c r="G340" s="952" t="s">
        <v>1</v>
      </c>
      <c r="H340" s="952" t="s">
        <v>450</v>
      </c>
      <c r="I340" s="952"/>
      <c r="J340" s="230" t="s">
        <v>2259</v>
      </c>
      <c r="K340" s="952">
        <v>2</v>
      </c>
      <c r="L340" s="231" t="s">
        <v>5851</v>
      </c>
      <c r="M340" s="194"/>
      <c r="N340" s="1176"/>
      <c r="O340" s="1116"/>
      <c r="P340" s="1117"/>
      <c r="Q340" s="586" t="str">
        <f t="shared" si="47"/>
        <v>Q1800612F38</v>
      </c>
      <c r="R340" s="585" t="str">
        <f t="shared" si="45"/>
        <v>پیچ نصب استپر به درب</v>
      </c>
      <c r="S340" s="586">
        <f t="shared" si="45"/>
        <v>2</v>
      </c>
      <c r="T340" s="614">
        <v>7</v>
      </c>
      <c r="U340" s="614">
        <v>8</v>
      </c>
      <c r="V340" s="614">
        <v>9</v>
      </c>
      <c r="W340" s="615" t="s">
        <v>5431</v>
      </c>
      <c r="X340" s="614" t="s">
        <v>5485</v>
      </c>
      <c r="Y340" s="614" t="s">
        <v>5540</v>
      </c>
      <c r="Z340" s="589"/>
      <c r="AA340" s="724"/>
    </row>
    <row r="341" spans="1:27" ht="42.75" customHeight="1">
      <c r="A341" s="1176"/>
      <c r="B341" s="933" t="s">
        <v>2178</v>
      </c>
      <c r="C341" s="929" t="s">
        <v>2267</v>
      </c>
      <c r="D341" s="931" t="s">
        <v>2257</v>
      </c>
      <c r="E341" s="939"/>
      <c r="F341" s="1151"/>
      <c r="G341" s="952" t="s">
        <v>0</v>
      </c>
      <c r="H341" s="952" t="s">
        <v>218</v>
      </c>
      <c r="I341" s="952"/>
      <c r="J341" s="230" t="s">
        <v>1983</v>
      </c>
      <c r="K341" s="952">
        <v>1</v>
      </c>
      <c r="L341" s="231" t="s">
        <v>5851</v>
      </c>
      <c r="M341" s="194"/>
      <c r="N341" s="1176"/>
      <c r="O341" s="914" t="str">
        <f t="shared" si="46"/>
        <v>مونتاژ استپر عقب راست به بدنه</v>
      </c>
      <c r="P341" s="915" t="str">
        <f t="shared" si="46"/>
        <v>SX5-6209-2</v>
      </c>
      <c r="Q341" s="586" t="str">
        <f t="shared" si="47"/>
        <v>Q1840816F38</v>
      </c>
      <c r="R341" s="585" t="str">
        <f t="shared" si="45"/>
        <v>پیچ نصب استپر به بدنه</v>
      </c>
      <c r="S341" s="586">
        <f t="shared" si="45"/>
        <v>1</v>
      </c>
      <c r="T341" s="614">
        <v>22</v>
      </c>
      <c r="U341" s="614">
        <v>25</v>
      </c>
      <c r="V341" s="614">
        <v>28</v>
      </c>
      <c r="W341" s="615" t="s">
        <v>5509</v>
      </c>
      <c r="X341" s="614" t="s">
        <v>5435</v>
      </c>
      <c r="Y341" s="614" t="s">
        <v>5541</v>
      </c>
      <c r="Z341" s="589"/>
      <c r="AA341" s="724"/>
    </row>
    <row r="342" spans="1:27" ht="42.75" customHeight="1">
      <c r="A342" s="1176"/>
      <c r="B342" s="1151" t="s">
        <v>2178</v>
      </c>
      <c r="C342" s="1154" t="s">
        <v>2266</v>
      </c>
      <c r="D342" s="1209" t="s">
        <v>448</v>
      </c>
      <c r="E342" s="1126"/>
      <c r="F342" s="1151">
        <v>0.85</v>
      </c>
      <c r="G342" s="952" t="s">
        <v>0</v>
      </c>
      <c r="H342" s="952" t="s">
        <v>2265</v>
      </c>
      <c r="I342" s="952"/>
      <c r="J342" s="230" t="s">
        <v>2264</v>
      </c>
      <c r="K342" s="952">
        <v>1</v>
      </c>
      <c r="L342" s="231" t="s">
        <v>5857</v>
      </c>
      <c r="M342" s="194"/>
      <c r="N342" s="1176"/>
      <c r="O342" s="1116" t="str">
        <f t="shared" si="46"/>
        <v>مونتاژ استپر جلو به درب جلو چپ</v>
      </c>
      <c r="P342" s="1117" t="str">
        <f t="shared" si="46"/>
        <v>SX5-6109-1</v>
      </c>
      <c r="Q342" s="586" t="str">
        <f t="shared" si="47"/>
        <v>BM3-6109010</v>
      </c>
      <c r="R342" s="585" t="str">
        <f t="shared" si="45"/>
        <v>مجموعه استپر درب جلو چپ</v>
      </c>
      <c r="S342" s="586">
        <f t="shared" si="45"/>
        <v>1</v>
      </c>
      <c r="T342" s="589"/>
      <c r="U342" s="589"/>
      <c r="V342" s="589"/>
      <c r="W342" s="589"/>
      <c r="X342" s="590"/>
      <c r="Y342" s="590"/>
      <c r="Z342" s="589"/>
      <c r="AA342" s="724"/>
    </row>
    <row r="343" spans="1:27" ht="42.75" customHeight="1">
      <c r="A343" s="1176"/>
      <c r="B343" s="1151"/>
      <c r="C343" s="1154" t="s">
        <v>1248</v>
      </c>
      <c r="D343" s="1209"/>
      <c r="E343" s="1126"/>
      <c r="F343" s="1151"/>
      <c r="G343" s="952" t="s">
        <v>1</v>
      </c>
      <c r="H343" s="952" t="s">
        <v>450</v>
      </c>
      <c r="I343" s="952"/>
      <c r="J343" s="230" t="s">
        <v>2259</v>
      </c>
      <c r="K343" s="952">
        <v>2</v>
      </c>
      <c r="L343" s="231" t="s">
        <v>5851</v>
      </c>
      <c r="M343" s="194"/>
      <c r="N343" s="1176"/>
      <c r="O343" s="1116"/>
      <c r="P343" s="1117"/>
      <c r="Q343" s="586" t="str">
        <f t="shared" si="47"/>
        <v>Q1800612F38</v>
      </c>
      <c r="R343" s="585" t="str">
        <f t="shared" si="45"/>
        <v>پیچ نصب استپر به درب</v>
      </c>
      <c r="S343" s="586">
        <f t="shared" si="45"/>
        <v>2</v>
      </c>
      <c r="T343" s="614">
        <v>7</v>
      </c>
      <c r="U343" s="614">
        <v>8</v>
      </c>
      <c r="V343" s="614">
        <v>9</v>
      </c>
      <c r="W343" s="615" t="s">
        <v>5431</v>
      </c>
      <c r="X343" s="614" t="s">
        <v>5539</v>
      </c>
      <c r="Y343" s="614" t="s">
        <v>5540</v>
      </c>
      <c r="Z343" s="589"/>
      <c r="AA343" s="724"/>
    </row>
    <row r="344" spans="1:27" ht="42.75" customHeight="1">
      <c r="A344" s="1176"/>
      <c r="B344" s="933" t="s">
        <v>2178</v>
      </c>
      <c r="C344" s="929" t="s">
        <v>2263</v>
      </c>
      <c r="D344" s="931" t="s">
        <v>2262</v>
      </c>
      <c r="E344" s="939"/>
      <c r="F344" s="1151"/>
      <c r="G344" s="952" t="s">
        <v>0</v>
      </c>
      <c r="H344" s="952" t="s">
        <v>218</v>
      </c>
      <c r="I344" s="952"/>
      <c r="J344" s="230" t="s">
        <v>1983</v>
      </c>
      <c r="K344" s="952">
        <v>1</v>
      </c>
      <c r="L344" s="231" t="s">
        <v>5851</v>
      </c>
      <c r="M344" s="194"/>
      <c r="N344" s="1176"/>
      <c r="O344" s="914" t="str">
        <f t="shared" si="46"/>
        <v>مونتاژ استپر جلو چپ به بدنه</v>
      </c>
      <c r="P344" s="915" t="str">
        <f t="shared" si="46"/>
        <v>SX5-6109-2</v>
      </c>
      <c r="Q344" s="586" t="str">
        <f t="shared" si="47"/>
        <v>Q1840816F38</v>
      </c>
      <c r="R344" s="585" t="str">
        <f t="shared" si="45"/>
        <v>پیچ نصب استپر به بدنه</v>
      </c>
      <c r="S344" s="586">
        <f t="shared" si="45"/>
        <v>1</v>
      </c>
      <c r="T344" s="614">
        <v>22</v>
      </c>
      <c r="U344" s="614">
        <v>25</v>
      </c>
      <c r="V344" s="614">
        <v>28</v>
      </c>
      <c r="W344" s="615" t="s">
        <v>5509</v>
      </c>
      <c r="X344" s="614" t="s">
        <v>5435</v>
      </c>
      <c r="Y344" s="614" t="s">
        <v>5541</v>
      </c>
      <c r="Z344" s="589"/>
      <c r="AA344" s="724"/>
    </row>
    <row r="345" spans="1:27" ht="42.75" customHeight="1">
      <c r="A345" s="1176"/>
      <c r="B345" s="1151" t="s">
        <v>2178</v>
      </c>
      <c r="C345" s="1154" t="s">
        <v>2261</v>
      </c>
      <c r="D345" s="1209" t="s">
        <v>451</v>
      </c>
      <c r="E345" s="1118"/>
      <c r="F345" s="1115">
        <v>0.98</v>
      </c>
      <c r="G345" s="952" t="s">
        <v>0</v>
      </c>
      <c r="H345" s="952" t="s">
        <v>452</v>
      </c>
      <c r="I345" s="952"/>
      <c r="J345" s="230" t="s">
        <v>2260</v>
      </c>
      <c r="K345" s="952">
        <v>1</v>
      </c>
      <c r="L345" s="231" t="s">
        <v>5857</v>
      </c>
      <c r="M345" s="194"/>
      <c r="N345" s="1176"/>
      <c r="O345" s="1116" t="str">
        <f t="shared" si="46"/>
        <v xml:space="preserve">مونتاژ استپر عقب به درب عقب چپ  </v>
      </c>
      <c r="P345" s="1117" t="str">
        <f t="shared" si="46"/>
        <v>SX5-6209-1</v>
      </c>
      <c r="Q345" s="586" t="str">
        <f t="shared" si="47"/>
        <v>BM3-6209010</v>
      </c>
      <c r="R345" s="585" t="str">
        <f t="shared" si="45"/>
        <v>مجموعه استپر درب عقب چپ</v>
      </c>
      <c r="S345" s="586">
        <f t="shared" si="45"/>
        <v>1</v>
      </c>
      <c r="T345" s="589"/>
      <c r="U345" s="589"/>
      <c r="V345" s="589"/>
      <c r="W345" s="589"/>
      <c r="X345" s="590"/>
      <c r="Y345" s="590"/>
      <c r="Z345" s="589"/>
      <c r="AA345" s="724"/>
    </row>
    <row r="346" spans="1:27" ht="42.75" customHeight="1">
      <c r="A346" s="1176"/>
      <c r="B346" s="1151"/>
      <c r="C346" s="1154" t="s">
        <v>1248</v>
      </c>
      <c r="D346" s="1209"/>
      <c r="E346" s="1118"/>
      <c r="F346" s="1115"/>
      <c r="G346" s="975" t="s">
        <v>1</v>
      </c>
      <c r="H346" s="975" t="s">
        <v>450</v>
      </c>
      <c r="I346" s="975"/>
      <c r="J346" s="241" t="s">
        <v>2259</v>
      </c>
      <c r="K346" s="975">
        <v>2</v>
      </c>
      <c r="L346" s="785" t="s">
        <v>5851</v>
      </c>
      <c r="M346" s="817"/>
      <c r="N346" s="1176"/>
      <c r="O346" s="1116"/>
      <c r="P346" s="1117"/>
      <c r="Q346" s="792" t="str">
        <f t="shared" si="47"/>
        <v>Q1800612F38</v>
      </c>
      <c r="R346" s="820" t="str">
        <f t="shared" si="45"/>
        <v>پیچ نصب استپر به درب</v>
      </c>
      <c r="S346" s="792">
        <f t="shared" si="45"/>
        <v>2</v>
      </c>
      <c r="T346" s="821">
        <v>7</v>
      </c>
      <c r="U346" s="821">
        <v>8</v>
      </c>
      <c r="V346" s="821">
        <v>9</v>
      </c>
      <c r="W346" s="822" t="s">
        <v>5431</v>
      </c>
      <c r="X346" s="821" t="s">
        <v>5539</v>
      </c>
      <c r="Y346" s="821" t="s">
        <v>5540</v>
      </c>
      <c r="Z346" s="823"/>
      <c r="AA346" s="824"/>
    </row>
    <row r="347" spans="1:27" s="673" customFormat="1" ht="41.25" customHeight="1">
      <c r="A347" s="1176"/>
      <c r="B347" s="993" t="s">
        <v>2178</v>
      </c>
      <c r="C347" s="914" t="s">
        <v>2258</v>
      </c>
      <c r="D347" s="915" t="s">
        <v>2257</v>
      </c>
      <c r="E347" s="916"/>
      <c r="F347" s="1115"/>
      <c r="G347" s="941" t="s">
        <v>0</v>
      </c>
      <c r="H347" s="941" t="s">
        <v>218</v>
      </c>
      <c r="I347" s="941"/>
      <c r="J347" s="647" t="s">
        <v>1983</v>
      </c>
      <c r="K347" s="941">
        <v>1</v>
      </c>
      <c r="L347" s="802" t="s">
        <v>5851</v>
      </c>
      <c r="M347" s="817"/>
      <c r="N347" s="1176"/>
      <c r="O347" s="914" t="str">
        <f t="shared" si="46"/>
        <v>مونتاژ استپر عقب چپ به بدنه</v>
      </c>
      <c r="P347" s="915" t="str">
        <f t="shared" si="46"/>
        <v>SX5-6209-2</v>
      </c>
      <c r="Q347" s="586" t="str">
        <f t="shared" si="47"/>
        <v>Q1840816F38</v>
      </c>
      <c r="R347" s="585" t="str">
        <f t="shared" si="45"/>
        <v>پیچ نصب استپر به بدنه</v>
      </c>
      <c r="S347" s="586">
        <f t="shared" si="45"/>
        <v>1</v>
      </c>
      <c r="T347" s="614">
        <v>22</v>
      </c>
      <c r="U347" s="614">
        <v>25</v>
      </c>
      <c r="V347" s="614">
        <v>28</v>
      </c>
      <c r="W347" s="615" t="s">
        <v>5509</v>
      </c>
      <c r="X347" s="614" t="s">
        <v>5435</v>
      </c>
      <c r="Y347" s="614" t="s">
        <v>5541</v>
      </c>
      <c r="Z347" s="589"/>
      <c r="AA347" s="589"/>
    </row>
    <row r="348" spans="1:27" s="851" customFormat="1" ht="41.25" customHeight="1">
      <c r="A348" s="1176"/>
      <c r="B348" s="993" t="s">
        <v>2178</v>
      </c>
      <c r="C348" s="914" t="s">
        <v>6177</v>
      </c>
      <c r="D348" s="915" t="s">
        <v>6176</v>
      </c>
      <c r="E348" s="916"/>
      <c r="F348" s="918"/>
      <c r="G348" s="977"/>
      <c r="H348" s="977"/>
      <c r="I348" s="977"/>
      <c r="J348" s="298"/>
      <c r="K348" s="977"/>
      <c r="L348" s="435"/>
      <c r="M348" s="817"/>
      <c r="N348" s="1176"/>
      <c r="O348" s="914" t="str">
        <f>C348</f>
        <v>آرایش دسته سیم آلارم صندلی عقب</v>
      </c>
      <c r="P348" s="915" t="str">
        <f>D348</f>
        <v>T5P-1001-2</v>
      </c>
      <c r="Q348" s="803"/>
      <c r="R348" s="847"/>
      <c r="S348" s="803"/>
      <c r="T348" s="848"/>
      <c r="U348" s="848"/>
      <c r="V348" s="848"/>
      <c r="W348" s="849"/>
      <c r="X348" s="848"/>
      <c r="Y348" s="848"/>
      <c r="Z348" s="805"/>
      <c r="AA348" s="850"/>
    </row>
    <row r="349" spans="1:27" ht="51" customHeight="1">
      <c r="A349" s="1176"/>
      <c r="B349" s="1151" t="s">
        <v>2178</v>
      </c>
      <c r="C349" s="1154" t="s">
        <v>2446</v>
      </c>
      <c r="D349" s="1209" t="s">
        <v>2136</v>
      </c>
      <c r="E349" s="1126"/>
      <c r="F349" s="1161">
        <v>1.14713833333333</v>
      </c>
      <c r="G349" s="977" t="s">
        <v>0</v>
      </c>
      <c r="H349" s="977" t="s">
        <v>5115</v>
      </c>
      <c r="I349" s="977"/>
      <c r="J349" s="298" t="s">
        <v>2445</v>
      </c>
      <c r="K349" s="977">
        <v>1</v>
      </c>
      <c r="L349" s="435" t="s">
        <v>5870</v>
      </c>
      <c r="M349" s="817"/>
      <c r="N349" s="1176"/>
      <c r="O349" s="1116" t="str">
        <f t="shared" si="46"/>
        <v>نصب لوله گاز کولر</v>
      </c>
      <c r="P349" s="1117" t="str">
        <f t="shared" si="46"/>
        <v>SX5K-8108-2</v>
      </c>
      <c r="Q349" s="803" t="str">
        <f t="shared" si="47"/>
        <v>SX7H-8108030</v>
      </c>
      <c r="R349" s="847" t="str">
        <f t="shared" si="45"/>
        <v>لوله رفت و برگشت گاز کولر</v>
      </c>
      <c r="S349" s="803">
        <f t="shared" si="45"/>
        <v>1</v>
      </c>
      <c r="T349" s="805"/>
      <c r="U349" s="805"/>
      <c r="V349" s="805"/>
      <c r="W349" s="805"/>
      <c r="X349" s="806"/>
      <c r="Y349" s="806"/>
      <c r="Z349" s="805"/>
      <c r="AA349" s="807"/>
    </row>
    <row r="350" spans="1:27" ht="51" customHeight="1">
      <c r="A350" s="1176"/>
      <c r="B350" s="1151"/>
      <c r="C350" s="1154" t="s">
        <v>1248</v>
      </c>
      <c r="D350" s="1209"/>
      <c r="E350" s="1126"/>
      <c r="F350" s="1151"/>
      <c r="G350" s="952" t="s">
        <v>717</v>
      </c>
      <c r="H350" s="952" t="s">
        <v>126</v>
      </c>
      <c r="I350" s="952"/>
      <c r="J350" s="230" t="s">
        <v>1587</v>
      </c>
      <c r="K350" s="952">
        <v>1</v>
      </c>
      <c r="L350" s="1057" t="s">
        <v>5853</v>
      </c>
      <c r="M350" s="194"/>
      <c r="N350" s="1176"/>
      <c r="O350" s="1116"/>
      <c r="P350" s="1117"/>
      <c r="Q350" s="586" t="str">
        <f t="shared" si="47"/>
        <v>Q1460616F38</v>
      </c>
      <c r="R350" s="585" t="str">
        <f t="shared" si="45"/>
        <v xml:space="preserve">پیچ فلنجی سر شش گوش </v>
      </c>
      <c r="S350" s="586">
        <f t="shared" si="45"/>
        <v>1</v>
      </c>
      <c r="T350" s="587">
        <v>6</v>
      </c>
      <c r="U350" s="587">
        <v>8</v>
      </c>
      <c r="V350" s="587">
        <v>10</v>
      </c>
      <c r="W350" s="588" t="s">
        <v>5431</v>
      </c>
      <c r="X350" s="587" t="s">
        <v>5432</v>
      </c>
      <c r="Y350" s="587" t="s">
        <v>5500</v>
      </c>
      <c r="Z350" s="589"/>
      <c r="AA350" s="724"/>
    </row>
    <row r="351" spans="1:27" ht="51" customHeight="1">
      <c r="A351" s="1176"/>
      <c r="B351" s="1115"/>
      <c r="C351" s="1116"/>
      <c r="D351" s="1117"/>
      <c r="E351" s="1118"/>
      <c r="F351" s="1115"/>
      <c r="G351" s="941" t="s">
        <v>2</v>
      </c>
      <c r="H351" s="941" t="s">
        <v>4</v>
      </c>
      <c r="I351" s="941" t="s">
        <v>5396</v>
      </c>
      <c r="J351" s="230" t="s">
        <v>1587</v>
      </c>
      <c r="K351" s="941">
        <v>1</v>
      </c>
      <c r="L351" s="1057" t="s">
        <v>5873</v>
      </c>
      <c r="M351" s="194"/>
      <c r="N351" s="1176"/>
      <c r="O351" s="1116"/>
      <c r="P351" s="1117"/>
      <c r="Q351" s="586" t="str">
        <f t="shared" si="47"/>
        <v>Q1460625F38</v>
      </c>
      <c r="R351" s="585" t="str">
        <f t="shared" si="45"/>
        <v xml:space="preserve">پیچ فلنجی سر شش گوش </v>
      </c>
      <c r="S351" s="586">
        <f t="shared" si="45"/>
        <v>1</v>
      </c>
      <c r="T351" s="587">
        <v>6</v>
      </c>
      <c r="U351" s="587">
        <v>8</v>
      </c>
      <c r="V351" s="587">
        <v>10</v>
      </c>
      <c r="W351" s="588" t="s">
        <v>5431</v>
      </c>
      <c r="X351" s="587" t="s">
        <v>5432</v>
      </c>
      <c r="Y351" s="587" t="s">
        <v>5500</v>
      </c>
      <c r="Z351" s="589"/>
      <c r="AA351" s="724"/>
    </row>
    <row r="352" spans="1:27" ht="51" customHeight="1" thickBot="1">
      <c r="A352" s="1236"/>
      <c r="B352" s="1151"/>
      <c r="C352" s="1154" t="s">
        <v>1248</v>
      </c>
      <c r="D352" s="1209"/>
      <c r="E352" s="1126"/>
      <c r="F352" s="1151"/>
      <c r="G352" s="952" t="s">
        <v>7</v>
      </c>
      <c r="H352" s="949" t="s">
        <v>2444</v>
      </c>
      <c r="I352" s="952"/>
      <c r="J352" s="230" t="s">
        <v>1757</v>
      </c>
      <c r="K352" s="952">
        <v>1</v>
      </c>
      <c r="L352" s="231" t="s">
        <v>5863</v>
      </c>
      <c r="M352" s="194"/>
      <c r="N352" s="1236"/>
      <c r="O352" s="1116"/>
      <c r="P352" s="1117"/>
      <c r="Q352" s="633" t="str">
        <f t="shared" si="47"/>
        <v>Q33006F38</v>
      </c>
      <c r="R352" s="585" t="str">
        <f t="shared" si="45"/>
        <v>مهره فلنجی شش گوش تمام فلزی</v>
      </c>
      <c r="S352" s="586">
        <f t="shared" si="45"/>
        <v>1</v>
      </c>
      <c r="T352" s="587">
        <v>6</v>
      </c>
      <c r="U352" s="587">
        <v>8</v>
      </c>
      <c r="V352" s="587">
        <v>10</v>
      </c>
      <c r="W352" s="588" t="s">
        <v>5431</v>
      </c>
      <c r="X352" s="587" t="s">
        <v>5432</v>
      </c>
      <c r="Y352" s="587" t="s">
        <v>5500</v>
      </c>
      <c r="Z352" s="589"/>
      <c r="AA352" s="724"/>
    </row>
    <row r="353" spans="1:27" ht="42.75" customHeight="1">
      <c r="A353" s="1166" t="s">
        <v>2256</v>
      </c>
      <c r="B353" s="1222" t="s">
        <v>2201</v>
      </c>
      <c r="C353" s="1169" t="s">
        <v>2255</v>
      </c>
      <c r="D353" s="1142" t="s">
        <v>443</v>
      </c>
      <c r="E353" s="1221" t="s">
        <v>37</v>
      </c>
      <c r="F353" s="1222">
        <v>3.01</v>
      </c>
      <c r="G353" s="997" t="s">
        <v>0</v>
      </c>
      <c r="H353" s="997" t="s">
        <v>5389</v>
      </c>
      <c r="I353" s="388"/>
      <c r="J353" s="221" t="s">
        <v>2254</v>
      </c>
      <c r="K353" s="997">
        <v>1</v>
      </c>
      <c r="L353" s="222" t="s">
        <v>5850</v>
      </c>
      <c r="M353" s="194"/>
      <c r="N353" s="1166" t="str">
        <f t="shared" ref="N353:N403" si="48">A353</f>
        <v>P30</v>
      </c>
      <c r="O353" s="1169" t="str">
        <f t="shared" si="46"/>
        <v>مونتاژ دستگیره بیرونی دربهای جانبی چپ</v>
      </c>
      <c r="P353" s="1142" t="str">
        <f t="shared" si="46"/>
        <v>SX5-6105-3</v>
      </c>
      <c r="Q353" s="225" t="str">
        <f>H353</f>
        <v>SX5-6105515-BR</v>
      </c>
      <c r="R353" s="224" t="str">
        <f t="shared" si="45"/>
        <v>مجموعه دستگیره بیرونی درب جلو - چپ</v>
      </c>
      <c r="S353" s="225">
        <f t="shared" si="45"/>
        <v>1</v>
      </c>
      <c r="T353" s="226"/>
      <c r="U353" s="226"/>
      <c r="V353" s="226"/>
      <c r="W353" s="226"/>
      <c r="X353" s="227"/>
      <c r="Y353" s="227"/>
      <c r="Z353" s="226"/>
      <c r="AA353" s="228"/>
    </row>
    <row r="354" spans="1:27" ht="42.75" customHeight="1">
      <c r="A354" s="1167"/>
      <c r="B354" s="1151"/>
      <c r="C354" s="1154" t="s">
        <v>1248</v>
      </c>
      <c r="D354" s="1209"/>
      <c r="E354" s="1126"/>
      <c r="F354" s="1151"/>
      <c r="G354" s="952" t="s">
        <v>0</v>
      </c>
      <c r="H354" s="315" t="s">
        <v>5390</v>
      </c>
      <c r="I354" s="389"/>
      <c r="J354" s="230" t="s">
        <v>2253</v>
      </c>
      <c r="K354" s="952">
        <v>1</v>
      </c>
      <c r="L354" s="231" t="s">
        <v>5850</v>
      </c>
      <c r="M354" s="194"/>
      <c r="N354" s="1167">
        <f t="shared" si="48"/>
        <v>0</v>
      </c>
      <c r="O354" s="1116"/>
      <c r="P354" s="1117"/>
      <c r="Q354" s="619" t="str">
        <f>H354</f>
        <v>SX5-6205515-BR</v>
      </c>
      <c r="R354" s="585" t="str">
        <f t="shared" si="45"/>
        <v>مجموعه دستگیره بیرونی درب عقب - چپ</v>
      </c>
      <c r="S354" s="586">
        <f t="shared" si="45"/>
        <v>1</v>
      </c>
      <c r="T354" s="589"/>
      <c r="U354" s="589"/>
      <c r="V354" s="589"/>
      <c r="W354" s="589"/>
      <c r="X354" s="590"/>
      <c r="Y354" s="590"/>
      <c r="Z354" s="589"/>
      <c r="AA354" s="724"/>
    </row>
    <row r="355" spans="1:27" ht="42.75" customHeight="1">
      <c r="A355" s="1167"/>
      <c r="B355" s="1151"/>
      <c r="C355" s="1154" t="s">
        <v>1248</v>
      </c>
      <c r="D355" s="1209"/>
      <c r="E355" s="1126"/>
      <c r="F355" s="1151"/>
      <c r="G355" s="952" t="s">
        <v>2</v>
      </c>
      <c r="H355" s="952" t="s">
        <v>945</v>
      </c>
      <c r="I355" s="952"/>
      <c r="J355" s="230" t="s">
        <v>1499</v>
      </c>
      <c r="K355" s="952">
        <v>2</v>
      </c>
      <c r="L355" s="231" t="s">
        <v>5853</v>
      </c>
      <c r="M355" s="194"/>
      <c r="N355" s="1167">
        <f t="shared" si="48"/>
        <v>0</v>
      </c>
      <c r="O355" s="1116"/>
      <c r="P355" s="1117"/>
      <c r="Q355" s="586" t="str">
        <f t="shared" si="47"/>
        <v>Q1460616F38</v>
      </c>
      <c r="R355" s="585" t="str">
        <f t="shared" si="45"/>
        <v>پیچ سر شش گوش واشردار</v>
      </c>
      <c r="S355" s="586">
        <f t="shared" si="45"/>
        <v>2</v>
      </c>
      <c r="T355" s="614">
        <v>6</v>
      </c>
      <c r="U355" s="614">
        <v>7</v>
      </c>
      <c r="V355" s="614">
        <v>8</v>
      </c>
      <c r="W355" s="615" t="s">
        <v>5431</v>
      </c>
      <c r="X355" s="614" t="s">
        <v>5432</v>
      </c>
      <c r="Y355" s="614" t="s">
        <v>5542</v>
      </c>
      <c r="Z355" s="589"/>
      <c r="AA355" s="724"/>
    </row>
    <row r="356" spans="1:27" ht="42.75" customHeight="1">
      <c r="A356" s="1167"/>
      <c r="B356" s="1151"/>
      <c r="C356" s="1154" t="s">
        <v>1248</v>
      </c>
      <c r="D356" s="1209"/>
      <c r="E356" s="1126"/>
      <c r="F356" s="1151"/>
      <c r="G356" s="952" t="s">
        <v>7</v>
      </c>
      <c r="H356" s="952" t="s">
        <v>444</v>
      </c>
      <c r="I356" s="952"/>
      <c r="J356" s="230" t="s">
        <v>6202</v>
      </c>
      <c r="K356" s="952" t="s">
        <v>5283</v>
      </c>
      <c r="L356" s="231" t="s">
        <v>5843</v>
      </c>
      <c r="M356" s="194"/>
      <c r="N356" s="1167">
        <f t="shared" si="48"/>
        <v>0</v>
      </c>
      <c r="O356" s="1116"/>
      <c r="P356" s="1117"/>
      <c r="Q356" s="586" t="str">
        <f t="shared" si="47"/>
        <v>SX5-6105213</v>
      </c>
      <c r="R356" s="585" t="str">
        <f t="shared" si="45"/>
        <v>بست فشاری(روی خود دستگیره است)</v>
      </c>
      <c r="S356" s="586" t="str">
        <f t="shared" si="45"/>
        <v>..</v>
      </c>
      <c r="T356" s="589"/>
      <c r="U356" s="589"/>
      <c r="V356" s="589"/>
      <c r="W356" s="589"/>
      <c r="X356" s="590"/>
      <c r="Y356" s="590"/>
      <c r="Z356" s="589"/>
      <c r="AA356" s="724"/>
    </row>
    <row r="357" spans="1:27" ht="42.75" customHeight="1">
      <c r="A357" s="1167"/>
      <c r="B357" s="1151"/>
      <c r="C357" s="1154" t="s">
        <v>1248</v>
      </c>
      <c r="D357" s="1209"/>
      <c r="E357" s="1126"/>
      <c r="F357" s="1151"/>
      <c r="G357" s="952" t="s">
        <v>1066</v>
      </c>
      <c r="H357" s="315" t="s">
        <v>2252</v>
      </c>
      <c r="I357" s="315"/>
      <c r="J357" s="230" t="s">
        <v>2251</v>
      </c>
      <c r="K357" s="952">
        <v>1</v>
      </c>
      <c r="L357" s="231" t="s">
        <v>5858</v>
      </c>
      <c r="M357" s="194"/>
      <c r="N357" s="1167">
        <f t="shared" si="48"/>
        <v>0</v>
      </c>
      <c r="O357" s="1116"/>
      <c r="P357" s="1117"/>
      <c r="Q357" s="619" t="str">
        <f t="shared" si="47"/>
        <v>SX5-6105225</v>
      </c>
      <c r="R357" s="585" t="str">
        <f t="shared" si="45"/>
        <v>براکت دستگیره بیرونی درب جلو - چپ</v>
      </c>
      <c r="S357" s="586">
        <f t="shared" si="45"/>
        <v>1</v>
      </c>
      <c r="T357" s="589"/>
      <c r="U357" s="589"/>
      <c r="V357" s="589"/>
      <c r="W357" s="589"/>
      <c r="X357" s="590"/>
      <c r="Y357" s="590"/>
      <c r="Z357" s="589"/>
      <c r="AA357" s="724"/>
    </row>
    <row r="358" spans="1:27" ht="42.75" customHeight="1">
      <c r="A358" s="1167"/>
      <c r="B358" s="1151"/>
      <c r="C358" s="1154" t="s">
        <v>1248</v>
      </c>
      <c r="D358" s="1209"/>
      <c r="E358" s="1126"/>
      <c r="F358" s="1151"/>
      <c r="G358" s="952" t="s">
        <v>1066</v>
      </c>
      <c r="H358" s="315" t="s">
        <v>2250</v>
      </c>
      <c r="I358" s="315"/>
      <c r="J358" s="230" t="s">
        <v>2249</v>
      </c>
      <c r="K358" s="952">
        <v>1</v>
      </c>
      <c r="L358" s="231" t="s">
        <v>5858</v>
      </c>
      <c r="M358" s="194"/>
      <c r="N358" s="1167">
        <f t="shared" si="48"/>
        <v>0</v>
      </c>
      <c r="O358" s="1116"/>
      <c r="P358" s="1117"/>
      <c r="Q358" s="619" t="str">
        <f t="shared" si="47"/>
        <v>SX5-6205225</v>
      </c>
      <c r="R358" s="585" t="str">
        <f t="shared" si="45"/>
        <v>براکت دستگیره بیرونی درب عقب - چپ</v>
      </c>
      <c r="S358" s="586">
        <f t="shared" si="45"/>
        <v>1</v>
      </c>
      <c r="T358" s="589"/>
      <c r="U358" s="589"/>
      <c r="V358" s="589"/>
      <c r="W358" s="589"/>
      <c r="X358" s="590"/>
      <c r="Y358" s="590"/>
      <c r="Z358" s="589"/>
      <c r="AA358" s="724"/>
    </row>
    <row r="359" spans="1:27" ht="42.75" customHeight="1">
      <c r="A359" s="1167"/>
      <c r="B359" s="1151" t="s">
        <v>2201</v>
      </c>
      <c r="C359" s="1154" t="s">
        <v>2248</v>
      </c>
      <c r="D359" s="1209" t="s">
        <v>506</v>
      </c>
      <c r="E359" s="1126" t="s">
        <v>4973</v>
      </c>
      <c r="F359" s="1151">
        <v>0.88</v>
      </c>
      <c r="G359" s="952" t="s">
        <v>0</v>
      </c>
      <c r="H359" s="952" t="s">
        <v>507</v>
      </c>
      <c r="I359" s="952"/>
      <c r="J359" s="230" t="s">
        <v>2247</v>
      </c>
      <c r="K359" s="952">
        <v>1</v>
      </c>
      <c r="L359" s="231" t="s">
        <v>5807</v>
      </c>
      <c r="M359" s="194"/>
      <c r="N359" s="1167">
        <f t="shared" si="48"/>
        <v>0</v>
      </c>
      <c r="O359" s="1116" t="str">
        <f t="shared" si="46"/>
        <v>نصب مجموعه قفل درب جلو چپ</v>
      </c>
      <c r="P359" s="1117" t="str">
        <f t="shared" si="46"/>
        <v>SX5-6105-4</v>
      </c>
      <c r="Q359" s="586" t="str">
        <f t="shared" si="47"/>
        <v>BM3-6105011B2</v>
      </c>
      <c r="R359" s="585" t="str">
        <f t="shared" si="45"/>
        <v>مجموعه قفل درب جلو چپ</v>
      </c>
      <c r="S359" s="586">
        <f t="shared" si="45"/>
        <v>1</v>
      </c>
      <c r="T359" s="589"/>
      <c r="U359" s="589"/>
      <c r="V359" s="589"/>
      <c r="W359" s="589"/>
      <c r="X359" s="590"/>
      <c r="Y359" s="590"/>
      <c r="Z359" s="589"/>
      <c r="AA359" s="724"/>
    </row>
    <row r="360" spans="1:27" ht="42.75" customHeight="1">
      <c r="A360" s="1167"/>
      <c r="B360" s="1151"/>
      <c r="C360" s="1154" t="s">
        <v>1248</v>
      </c>
      <c r="D360" s="1209"/>
      <c r="E360" s="1126"/>
      <c r="F360" s="1151"/>
      <c r="G360" s="952" t="s">
        <v>1</v>
      </c>
      <c r="H360" s="952" t="s">
        <v>509</v>
      </c>
      <c r="I360" s="952"/>
      <c r="J360" s="230" t="s">
        <v>1626</v>
      </c>
      <c r="K360" s="952">
        <v>3</v>
      </c>
      <c r="L360" s="231" t="s">
        <v>5851</v>
      </c>
      <c r="M360" s="194"/>
      <c r="N360" s="1167">
        <f t="shared" si="48"/>
        <v>0</v>
      </c>
      <c r="O360" s="1116"/>
      <c r="P360" s="1117"/>
      <c r="Q360" s="586" t="str">
        <f t="shared" si="47"/>
        <v>A-6105612A1</v>
      </c>
      <c r="R360" s="585" t="str">
        <f t="shared" si="45"/>
        <v>پیچ سر سوکتی</v>
      </c>
      <c r="S360" s="586">
        <f t="shared" si="45"/>
        <v>3</v>
      </c>
      <c r="T360" s="614">
        <v>3</v>
      </c>
      <c r="U360" s="614">
        <v>3.5</v>
      </c>
      <c r="V360" s="614">
        <v>4</v>
      </c>
      <c r="W360" s="615" t="s">
        <v>5543</v>
      </c>
      <c r="X360" s="614" t="s">
        <v>5451</v>
      </c>
      <c r="Y360" s="614" t="s">
        <v>5544</v>
      </c>
      <c r="Z360" s="589"/>
      <c r="AA360" s="724"/>
    </row>
    <row r="361" spans="1:27" ht="42.75" customHeight="1">
      <c r="A361" s="1167"/>
      <c r="B361" s="1151" t="s">
        <v>2201</v>
      </c>
      <c r="C361" s="1154" t="s">
        <v>2246</v>
      </c>
      <c r="D361" s="1209" t="s">
        <v>512</v>
      </c>
      <c r="E361" s="1126" t="s">
        <v>4973</v>
      </c>
      <c r="F361" s="1151">
        <v>0.85</v>
      </c>
      <c r="G361" s="952" t="s">
        <v>0</v>
      </c>
      <c r="H361" s="952" t="s">
        <v>513</v>
      </c>
      <c r="I361" s="952"/>
      <c r="J361" s="230" t="s">
        <v>2245</v>
      </c>
      <c r="K361" s="952">
        <v>1</v>
      </c>
      <c r="L361" s="231" t="s">
        <v>5807</v>
      </c>
      <c r="M361" s="194"/>
      <c r="N361" s="1167">
        <f t="shared" si="48"/>
        <v>0</v>
      </c>
      <c r="O361" s="1116" t="str">
        <f t="shared" si="46"/>
        <v>نصب مجموعه قفل درب عقب چپ</v>
      </c>
      <c r="P361" s="1117" t="str">
        <f t="shared" si="46"/>
        <v>SX5-6205-1</v>
      </c>
      <c r="Q361" s="586" t="str">
        <f t="shared" si="47"/>
        <v>BM3-6205011B1</v>
      </c>
      <c r="R361" s="585" t="str">
        <f t="shared" si="45"/>
        <v>مجموعه قفل درب عقب چپ</v>
      </c>
      <c r="S361" s="586">
        <f t="shared" si="45"/>
        <v>1</v>
      </c>
      <c r="T361" s="589"/>
      <c r="U361" s="589"/>
      <c r="V361" s="589"/>
      <c r="W361" s="589"/>
      <c r="X361" s="590"/>
      <c r="Y361" s="590"/>
      <c r="Z361" s="589"/>
      <c r="AA361" s="724"/>
    </row>
    <row r="362" spans="1:27" ht="42.75" customHeight="1">
      <c r="A362" s="1167"/>
      <c r="B362" s="1151"/>
      <c r="C362" s="1154" t="s">
        <v>1248</v>
      </c>
      <c r="D362" s="1209"/>
      <c r="E362" s="1126"/>
      <c r="F362" s="1151"/>
      <c r="G362" s="952" t="s">
        <v>1</v>
      </c>
      <c r="H362" s="952" t="s">
        <v>509</v>
      </c>
      <c r="I362" s="952"/>
      <c r="J362" s="230" t="s">
        <v>1626</v>
      </c>
      <c r="K362" s="952">
        <v>3</v>
      </c>
      <c r="L362" s="231" t="s">
        <v>5851</v>
      </c>
      <c r="M362" s="194"/>
      <c r="N362" s="1167">
        <f t="shared" si="48"/>
        <v>0</v>
      </c>
      <c r="O362" s="1116"/>
      <c r="P362" s="1117"/>
      <c r="Q362" s="586" t="str">
        <f t="shared" si="47"/>
        <v>A-6105612A1</v>
      </c>
      <c r="R362" s="585" t="str">
        <f t="shared" si="45"/>
        <v>پیچ سر سوکتی</v>
      </c>
      <c r="S362" s="586">
        <f t="shared" si="45"/>
        <v>3</v>
      </c>
      <c r="T362" s="614">
        <v>3</v>
      </c>
      <c r="U362" s="614">
        <v>3.5</v>
      </c>
      <c r="V362" s="614">
        <v>4</v>
      </c>
      <c r="W362" s="615" t="s">
        <v>5543</v>
      </c>
      <c r="X362" s="614" t="s">
        <v>5451</v>
      </c>
      <c r="Y362" s="614" t="s">
        <v>5544</v>
      </c>
      <c r="Z362" s="589"/>
      <c r="AA362" s="724"/>
    </row>
    <row r="363" spans="1:27" ht="42.75" customHeight="1">
      <c r="A363" s="1167"/>
      <c r="B363" s="952" t="s">
        <v>2201</v>
      </c>
      <c r="C363" s="929" t="s">
        <v>2244</v>
      </c>
      <c r="D363" s="931" t="s">
        <v>583</v>
      </c>
      <c r="E363" s="939"/>
      <c r="F363" s="935">
        <v>0.2</v>
      </c>
      <c r="G363" s="952" t="s">
        <v>0</v>
      </c>
      <c r="H363" s="952" t="s">
        <v>5190</v>
      </c>
      <c r="I363" s="952" t="s">
        <v>584</v>
      </c>
      <c r="J363" s="230" t="s">
        <v>2243</v>
      </c>
      <c r="K363" s="952">
        <v>1</v>
      </c>
      <c r="L363" s="231" t="s">
        <v>5859</v>
      </c>
      <c r="M363" s="194"/>
      <c r="N363" s="1167">
        <f t="shared" si="48"/>
        <v>0</v>
      </c>
      <c r="O363" s="914" t="str">
        <f t="shared" si="46"/>
        <v xml:space="preserve">پیش مونتاژ  توپی قفل درب جلو چپ روی دستگیره   </v>
      </c>
      <c r="P363" s="915" t="str">
        <f t="shared" si="46"/>
        <v>SX7-3704-1</v>
      </c>
      <c r="Q363" s="586" t="str">
        <f t="shared" si="47"/>
        <v>SX5F-3704230</v>
      </c>
      <c r="R363" s="585" t="str">
        <f t="shared" si="45"/>
        <v>مجموعه سوئیچ و توپی قفل درب جلو</v>
      </c>
      <c r="S363" s="586">
        <f t="shared" si="45"/>
        <v>1</v>
      </c>
      <c r="T363" s="589"/>
      <c r="U363" s="589"/>
      <c r="V363" s="589"/>
      <c r="W363" s="589"/>
      <c r="X363" s="590"/>
      <c r="Y363" s="590"/>
      <c r="Z363" s="589"/>
      <c r="AA363" s="724"/>
    </row>
    <row r="364" spans="1:27" ht="42.75" customHeight="1">
      <c r="A364" s="1167"/>
      <c r="B364" s="1151" t="s">
        <v>2201</v>
      </c>
      <c r="C364" s="1154" t="s">
        <v>2242</v>
      </c>
      <c r="D364" s="1209" t="s">
        <v>171</v>
      </c>
      <c r="E364" s="1126"/>
      <c r="F364" s="1151">
        <v>1.19</v>
      </c>
      <c r="G364" s="952" t="s">
        <v>0</v>
      </c>
      <c r="H364" s="952" t="s">
        <v>172</v>
      </c>
      <c r="I364" s="952"/>
      <c r="J364" s="230" t="s">
        <v>2222</v>
      </c>
      <c r="K364" s="952">
        <v>2</v>
      </c>
      <c r="L364" s="231" t="s">
        <v>5857</v>
      </c>
      <c r="M364" s="194"/>
      <c r="N364" s="1167">
        <f t="shared" si="48"/>
        <v>0</v>
      </c>
      <c r="O364" s="1116" t="str">
        <f t="shared" si="46"/>
        <v>نصب کلید لادری سمت چپ</v>
      </c>
      <c r="P364" s="1117" t="str">
        <f t="shared" si="46"/>
        <v>SX5-3750-1</v>
      </c>
      <c r="Q364" s="586" t="str">
        <f t="shared" si="47"/>
        <v>B12-3758010</v>
      </c>
      <c r="R364" s="585" t="str">
        <f t="shared" si="45"/>
        <v xml:space="preserve">کلید لادری </v>
      </c>
      <c r="S364" s="586">
        <f t="shared" si="45"/>
        <v>2</v>
      </c>
      <c r="T364" s="589"/>
      <c r="U364" s="589"/>
      <c r="V364" s="589"/>
      <c r="W364" s="589"/>
      <c r="X364" s="590"/>
      <c r="Y364" s="590"/>
      <c r="Z364" s="589"/>
      <c r="AA364" s="724"/>
    </row>
    <row r="365" spans="1:27" ht="42.75" customHeight="1">
      <c r="A365" s="1167"/>
      <c r="B365" s="1151"/>
      <c r="C365" s="1154" t="s">
        <v>1248</v>
      </c>
      <c r="D365" s="1209"/>
      <c r="E365" s="1126"/>
      <c r="F365" s="1151"/>
      <c r="G365" s="952" t="s">
        <v>1</v>
      </c>
      <c r="H365" s="952" t="s">
        <v>2221</v>
      </c>
      <c r="I365" s="952"/>
      <c r="J365" s="230" t="s">
        <v>1279</v>
      </c>
      <c r="K365" s="952">
        <v>2</v>
      </c>
      <c r="L365" s="231" t="s">
        <v>5851</v>
      </c>
      <c r="M365" s="194"/>
      <c r="N365" s="1167">
        <f t="shared" si="48"/>
        <v>0</v>
      </c>
      <c r="O365" s="1116"/>
      <c r="P365" s="1117"/>
      <c r="Q365" s="586" t="str">
        <f t="shared" si="47"/>
        <v>Q2714213F38</v>
      </c>
      <c r="R365" s="585" t="str">
        <f t="shared" si="45"/>
        <v>پیچ چهارسو سر گرد</v>
      </c>
      <c r="S365" s="586">
        <f t="shared" si="45"/>
        <v>2</v>
      </c>
      <c r="T365" s="614">
        <v>3</v>
      </c>
      <c r="U365" s="614">
        <v>3.5</v>
      </c>
      <c r="V365" s="614">
        <v>4</v>
      </c>
      <c r="W365" s="615" t="s">
        <v>5543</v>
      </c>
      <c r="X365" s="614" t="s">
        <v>5451</v>
      </c>
      <c r="Y365" s="614" t="s">
        <v>5544</v>
      </c>
      <c r="Z365" s="589"/>
      <c r="AA365" s="724"/>
    </row>
    <row r="366" spans="1:27" ht="42.75" customHeight="1">
      <c r="A366" s="1167"/>
      <c r="B366" s="935" t="s">
        <v>2201</v>
      </c>
      <c r="C366" s="929" t="s">
        <v>2241</v>
      </c>
      <c r="D366" s="931" t="s">
        <v>458</v>
      </c>
      <c r="E366" s="939"/>
      <c r="F366" s="951">
        <v>1.33</v>
      </c>
      <c r="G366" s="952" t="s">
        <v>0</v>
      </c>
      <c r="H366" s="952" t="s">
        <v>2240</v>
      </c>
      <c r="I366" s="952"/>
      <c r="J366" s="230" t="s">
        <v>2239</v>
      </c>
      <c r="K366" s="952">
        <v>1</v>
      </c>
      <c r="L366" s="231" t="s">
        <v>5807</v>
      </c>
      <c r="M366" s="194"/>
      <c r="N366" s="1167">
        <f t="shared" si="48"/>
        <v>0</v>
      </c>
      <c r="O366" s="914" t="str">
        <f t="shared" si="46"/>
        <v>نصب نوار گردگیر بالای شیشه درب جلو چپ</v>
      </c>
      <c r="P366" s="915" t="str">
        <f t="shared" si="46"/>
        <v>SX5-6107-3</v>
      </c>
      <c r="Q366" s="586" t="str">
        <f t="shared" si="47"/>
        <v>SX5-6107131C</v>
      </c>
      <c r="R366" s="585" t="str">
        <f t="shared" si="45"/>
        <v>نوار گردگیر بالای شیشه درب جلو چپ</v>
      </c>
      <c r="S366" s="586">
        <f t="shared" si="45"/>
        <v>1</v>
      </c>
      <c r="T366" s="589"/>
      <c r="U366" s="589"/>
      <c r="V366" s="589"/>
      <c r="W366" s="589"/>
      <c r="X366" s="590"/>
      <c r="Y366" s="590"/>
      <c r="Z366" s="589"/>
      <c r="AA366" s="724"/>
    </row>
    <row r="367" spans="1:27" ht="42.75" customHeight="1" thickBot="1">
      <c r="A367" s="1168"/>
      <c r="B367" s="936" t="s">
        <v>2201</v>
      </c>
      <c r="C367" s="930" t="s">
        <v>2238</v>
      </c>
      <c r="D367" s="932" t="s">
        <v>464</v>
      </c>
      <c r="E367" s="942"/>
      <c r="F367" s="994">
        <v>1.23</v>
      </c>
      <c r="G367" s="953" t="s">
        <v>0</v>
      </c>
      <c r="H367" s="953" t="s">
        <v>2237</v>
      </c>
      <c r="I367" s="953"/>
      <c r="J367" s="272" t="s">
        <v>2236</v>
      </c>
      <c r="K367" s="953">
        <v>1</v>
      </c>
      <c r="L367" s="250" t="s">
        <v>5807</v>
      </c>
      <c r="M367" s="194"/>
      <c r="N367" s="1168">
        <f t="shared" si="48"/>
        <v>0</v>
      </c>
      <c r="O367" s="930" t="str">
        <f t="shared" si="46"/>
        <v>نصب نوار گردگیر بالای شیشه درب عقب چپ</v>
      </c>
      <c r="P367" s="932" t="str">
        <f t="shared" si="46"/>
        <v>SX5-6207-3</v>
      </c>
      <c r="Q367" s="251" t="str">
        <f t="shared" si="47"/>
        <v>SX5-6207131C</v>
      </c>
      <c r="R367" s="274" t="str">
        <f t="shared" si="45"/>
        <v>نوار گردگیر بالای شیشه درب عقب چپ</v>
      </c>
      <c r="S367" s="251">
        <f t="shared" si="45"/>
        <v>1</v>
      </c>
      <c r="T367" s="283"/>
      <c r="U367" s="283"/>
      <c r="V367" s="283"/>
      <c r="W367" s="283"/>
      <c r="X367" s="284"/>
      <c r="Y367" s="284"/>
      <c r="Z367" s="283"/>
      <c r="AA367" s="285"/>
    </row>
    <row r="368" spans="1:27" ht="42.75" customHeight="1">
      <c r="A368" s="1166" t="s">
        <v>2235</v>
      </c>
      <c r="B368" s="1222" t="s">
        <v>2166</v>
      </c>
      <c r="C368" s="1169" t="s">
        <v>2234</v>
      </c>
      <c r="D368" s="1142" t="s">
        <v>443</v>
      </c>
      <c r="E368" s="1221" t="s">
        <v>37</v>
      </c>
      <c r="F368" s="1222">
        <v>2.956</v>
      </c>
      <c r="G368" s="997" t="s">
        <v>0</v>
      </c>
      <c r="H368" s="997" t="s">
        <v>5380</v>
      </c>
      <c r="I368" s="388"/>
      <c r="J368" s="221" t="s">
        <v>2233</v>
      </c>
      <c r="K368" s="997">
        <v>1</v>
      </c>
      <c r="L368" s="222" t="s">
        <v>5855</v>
      </c>
      <c r="M368" s="194"/>
      <c r="N368" s="1166" t="str">
        <f t="shared" si="48"/>
        <v>P31</v>
      </c>
      <c r="O368" s="1169" t="str">
        <f t="shared" si="46"/>
        <v>مونتاژ دستگیره بیرونی دربهای جانبی راست</v>
      </c>
      <c r="P368" s="1142" t="str">
        <f t="shared" si="46"/>
        <v>SX5-6105-3</v>
      </c>
      <c r="Q368" s="225" t="s">
        <v>5380</v>
      </c>
      <c r="R368" s="224" t="str">
        <f t="shared" si="45"/>
        <v>مجموعه دستگیره بیرونی درب جلو - راست</v>
      </c>
      <c r="S368" s="225">
        <f t="shared" si="45"/>
        <v>1</v>
      </c>
      <c r="T368" s="226"/>
      <c r="U368" s="226"/>
      <c r="V368" s="226"/>
      <c r="W368" s="226"/>
      <c r="X368" s="227"/>
      <c r="Y368" s="227"/>
      <c r="Z368" s="226"/>
      <c r="AA368" s="228"/>
    </row>
    <row r="369" spans="1:27" ht="42.75" customHeight="1">
      <c r="A369" s="1167"/>
      <c r="B369" s="1151"/>
      <c r="C369" s="1154" t="s">
        <v>1248</v>
      </c>
      <c r="D369" s="1209"/>
      <c r="E369" s="1126"/>
      <c r="F369" s="1151"/>
      <c r="G369" s="952" t="s">
        <v>0</v>
      </c>
      <c r="H369" s="315" t="s">
        <v>5381</v>
      </c>
      <c r="I369" s="389"/>
      <c r="J369" s="230" t="s">
        <v>2232</v>
      </c>
      <c r="K369" s="952">
        <v>1</v>
      </c>
      <c r="L369" s="231" t="s">
        <v>5855</v>
      </c>
      <c r="M369" s="194"/>
      <c r="N369" s="1167">
        <f t="shared" si="48"/>
        <v>0</v>
      </c>
      <c r="O369" s="1116"/>
      <c r="P369" s="1117"/>
      <c r="Q369" s="619" t="s">
        <v>5381</v>
      </c>
      <c r="R369" s="585" t="str">
        <f t="shared" si="45"/>
        <v>مجموعه دستگیره بیرونی درب عقب - راست</v>
      </c>
      <c r="S369" s="586">
        <f t="shared" si="45"/>
        <v>1</v>
      </c>
      <c r="T369" s="589"/>
      <c r="U369" s="589"/>
      <c r="V369" s="589"/>
      <c r="W369" s="589"/>
      <c r="X369" s="590"/>
      <c r="Y369" s="590"/>
      <c r="Z369" s="589"/>
      <c r="AA369" s="724"/>
    </row>
    <row r="370" spans="1:27" ht="42.75" customHeight="1">
      <c r="A370" s="1167"/>
      <c r="B370" s="1151"/>
      <c r="C370" s="1154" t="s">
        <v>1248</v>
      </c>
      <c r="D370" s="1209"/>
      <c r="E370" s="1126"/>
      <c r="F370" s="1151"/>
      <c r="G370" s="952" t="s">
        <v>2</v>
      </c>
      <c r="H370" s="952" t="s">
        <v>945</v>
      </c>
      <c r="I370" s="952"/>
      <c r="J370" s="230" t="s">
        <v>1499</v>
      </c>
      <c r="K370" s="952">
        <v>2</v>
      </c>
      <c r="L370" s="231" t="s">
        <v>5853</v>
      </c>
      <c r="M370" s="194"/>
      <c r="N370" s="1167">
        <f t="shared" si="48"/>
        <v>0</v>
      </c>
      <c r="O370" s="1116"/>
      <c r="P370" s="1117"/>
      <c r="Q370" s="586" t="str">
        <f t="shared" si="47"/>
        <v>Q1460616F38</v>
      </c>
      <c r="R370" s="585" t="str">
        <f t="shared" si="45"/>
        <v>پیچ سر شش گوش واشردار</v>
      </c>
      <c r="S370" s="586">
        <f t="shared" si="45"/>
        <v>2</v>
      </c>
      <c r="T370" s="614">
        <v>6</v>
      </c>
      <c r="U370" s="614">
        <v>7</v>
      </c>
      <c r="V370" s="614">
        <v>8</v>
      </c>
      <c r="W370" s="615" t="s">
        <v>5431</v>
      </c>
      <c r="X370" s="614" t="s">
        <v>5432</v>
      </c>
      <c r="Y370" s="614" t="s">
        <v>5545</v>
      </c>
      <c r="Z370" s="589"/>
      <c r="AA370" s="724"/>
    </row>
    <row r="371" spans="1:27" ht="42.75" customHeight="1">
      <c r="A371" s="1167"/>
      <c r="B371" s="1151"/>
      <c r="C371" s="1154" t="s">
        <v>1248</v>
      </c>
      <c r="D371" s="1209"/>
      <c r="E371" s="1126"/>
      <c r="F371" s="1151"/>
      <c r="G371" s="952" t="s">
        <v>7</v>
      </c>
      <c r="H371" s="952" t="s">
        <v>444</v>
      </c>
      <c r="I371" s="952"/>
      <c r="J371" s="230" t="s">
        <v>6202</v>
      </c>
      <c r="K371" s="952" t="s">
        <v>5283</v>
      </c>
      <c r="L371" s="231" t="s">
        <v>5843</v>
      </c>
      <c r="M371" s="194"/>
      <c r="N371" s="1167">
        <f t="shared" si="48"/>
        <v>0</v>
      </c>
      <c r="O371" s="1116"/>
      <c r="P371" s="1117"/>
      <c r="Q371" s="586" t="str">
        <f t="shared" si="47"/>
        <v>SX5-6105213</v>
      </c>
      <c r="R371" s="585" t="str">
        <f t="shared" si="45"/>
        <v>بست فشاری(روی خود دستگیره است)</v>
      </c>
      <c r="S371" s="648" t="str">
        <f t="shared" si="45"/>
        <v>..</v>
      </c>
      <c r="T371" s="589"/>
      <c r="U371" s="589"/>
      <c r="V371" s="589"/>
      <c r="W371" s="589"/>
      <c r="X371" s="590"/>
      <c r="Y371" s="590"/>
      <c r="Z371" s="589"/>
      <c r="AA371" s="724"/>
    </row>
    <row r="372" spans="1:27" ht="42.75" customHeight="1">
      <c r="A372" s="1167"/>
      <c r="B372" s="1151"/>
      <c r="C372" s="1154" t="s">
        <v>1248</v>
      </c>
      <c r="D372" s="1209"/>
      <c r="E372" s="1126"/>
      <c r="F372" s="1151"/>
      <c r="G372" s="952" t="s">
        <v>1066</v>
      </c>
      <c r="H372" s="315" t="s">
        <v>2231</v>
      </c>
      <c r="I372" s="315"/>
      <c r="J372" s="230" t="s">
        <v>2230</v>
      </c>
      <c r="K372" s="952">
        <v>1</v>
      </c>
      <c r="L372" s="231" t="s">
        <v>5860</v>
      </c>
      <c r="M372" s="194"/>
      <c r="N372" s="1167">
        <f t="shared" si="48"/>
        <v>0</v>
      </c>
      <c r="O372" s="1116"/>
      <c r="P372" s="1117"/>
      <c r="Q372" s="619" t="str">
        <f t="shared" si="47"/>
        <v>SX5-6105224</v>
      </c>
      <c r="R372" s="585" t="str">
        <f t="shared" si="45"/>
        <v>براکت دستگیره بیرونی درب جلو - راست</v>
      </c>
      <c r="S372" s="586">
        <f t="shared" si="45"/>
        <v>1</v>
      </c>
      <c r="T372" s="589"/>
      <c r="U372" s="589"/>
      <c r="V372" s="589"/>
      <c r="W372" s="589"/>
      <c r="X372" s="590"/>
      <c r="Y372" s="590"/>
      <c r="Z372" s="589"/>
      <c r="AA372" s="724"/>
    </row>
    <row r="373" spans="1:27" ht="42.75" customHeight="1">
      <c r="A373" s="1167"/>
      <c r="B373" s="1151"/>
      <c r="C373" s="1154" t="s">
        <v>1248</v>
      </c>
      <c r="D373" s="1209"/>
      <c r="E373" s="1126"/>
      <c r="F373" s="1151"/>
      <c r="G373" s="952" t="s">
        <v>1066</v>
      </c>
      <c r="H373" s="315" t="s">
        <v>2229</v>
      </c>
      <c r="I373" s="315"/>
      <c r="J373" s="230" t="s">
        <v>2228</v>
      </c>
      <c r="K373" s="952">
        <v>1</v>
      </c>
      <c r="L373" s="231" t="s">
        <v>5860</v>
      </c>
      <c r="M373" s="194"/>
      <c r="N373" s="1167">
        <f t="shared" si="48"/>
        <v>0</v>
      </c>
      <c r="O373" s="1116"/>
      <c r="P373" s="1117"/>
      <c r="Q373" s="619" t="str">
        <f t="shared" si="47"/>
        <v>SX5-6205224</v>
      </c>
      <c r="R373" s="585" t="str">
        <f t="shared" si="45"/>
        <v>براکت دستگیره بیرونی درب عقب - راست</v>
      </c>
      <c r="S373" s="586">
        <f t="shared" si="45"/>
        <v>1</v>
      </c>
      <c r="T373" s="589"/>
      <c r="U373" s="589"/>
      <c r="V373" s="589"/>
      <c r="W373" s="589"/>
      <c r="X373" s="590"/>
      <c r="Y373" s="590"/>
      <c r="Z373" s="589"/>
      <c r="AA373" s="724"/>
    </row>
    <row r="374" spans="1:27" ht="42.75" customHeight="1">
      <c r="A374" s="1167"/>
      <c r="B374" s="1151" t="s">
        <v>2166</v>
      </c>
      <c r="C374" s="1154" t="s">
        <v>2227</v>
      </c>
      <c r="D374" s="1209" t="s">
        <v>506</v>
      </c>
      <c r="E374" s="1126" t="s">
        <v>4973</v>
      </c>
      <c r="F374" s="1151">
        <v>0.88</v>
      </c>
      <c r="G374" s="952" t="s">
        <v>0</v>
      </c>
      <c r="H374" s="952" t="s">
        <v>508</v>
      </c>
      <c r="I374" s="952"/>
      <c r="J374" s="230" t="s">
        <v>2226</v>
      </c>
      <c r="K374" s="952">
        <v>1</v>
      </c>
      <c r="L374" s="231" t="s">
        <v>5807</v>
      </c>
      <c r="M374" s="194"/>
      <c r="N374" s="1167">
        <f t="shared" si="48"/>
        <v>0</v>
      </c>
      <c r="O374" s="1116" t="str">
        <f t="shared" si="46"/>
        <v>نصب مجموعه قفل درب جلو راست</v>
      </c>
      <c r="P374" s="1117" t="str">
        <f t="shared" si="46"/>
        <v>SX5-6105-4</v>
      </c>
      <c r="Q374" s="586" t="str">
        <f t="shared" si="47"/>
        <v>BM3-6105010B2</v>
      </c>
      <c r="R374" s="585" t="str">
        <f t="shared" si="45"/>
        <v>مجموعه قفل درب جلو راست</v>
      </c>
      <c r="S374" s="586">
        <f t="shared" si="45"/>
        <v>1</v>
      </c>
      <c r="T374" s="589"/>
      <c r="U374" s="589"/>
      <c r="V374" s="589"/>
      <c r="W374" s="589"/>
      <c r="X374" s="590"/>
      <c r="Y374" s="590"/>
      <c r="Z374" s="589"/>
      <c r="AA374" s="724"/>
    </row>
    <row r="375" spans="1:27" ht="42.75" customHeight="1">
      <c r="A375" s="1167"/>
      <c r="B375" s="1151"/>
      <c r="C375" s="1154" t="s">
        <v>1248</v>
      </c>
      <c r="D375" s="1209"/>
      <c r="E375" s="1126"/>
      <c r="F375" s="1151"/>
      <c r="G375" s="952" t="s">
        <v>1</v>
      </c>
      <c r="H375" s="952" t="s">
        <v>509</v>
      </c>
      <c r="I375" s="952"/>
      <c r="J375" s="230" t="s">
        <v>1626</v>
      </c>
      <c r="K375" s="952">
        <v>3</v>
      </c>
      <c r="L375" s="231" t="s">
        <v>5851</v>
      </c>
      <c r="M375" s="194"/>
      <c r="N375" s="1167">
        <f t="shared" si="48"/>
        <v>0</v>
      </c>
      <c r="O375" s="1116"/>
      <c r="P375" s="1117"/>
      <c r="Q375" s="586" t="str">
        <f t="shared" si="47"/>
        <v>A-6105612A1</v>
      </c>
      <c r="R375" s="585" t="str">
        <f t="shared" si="45"/>
        <v>پیچ سر سوکتی</v>
      </c>
      <c r="S375" s="586">
        <f t="shared" si="45"/>
        <v>3</v>
      </c>
      <c r="T375" s="614">
        <v>3</v>
      </c>
      <c r="U375" s="614">
        <v>3.5</v>
      </c>
      <c r="V375" s="614">
        <v>4</v>
      </c>
      <c r="W375" s="615" t="s">
        <v>5543</v>
      </c>
      <c r="X375" s="614" t="s">
        <v>5451</v>
      </c>
      <c r="Y375" s="614" t="s">
        <v>5546</v>
      </c>
      <c r="Z375" s="589"/>
      <c r="AA375" s="724"/>
    </row>
    <row r="376" spans="1:27" ht="42.75" customHeight="1">
      <c r="A376" s="1167"/>
      <c r="B376" s="1151" t="s">
        <v>2166</v>
      </c>
      <c r="C376" s="1154" t="s">
        <v>2225</v>
      </c>
      <c r="D376" s="1209" t="s">
        <v>512</v>
      </c>
      <c r="E376" s="1126" t="s">
        <v>4973</v>
      </c>
      <c r="F376" s="1151">
        <v>0.85</v>
      </c>
      <c r="G376" s="952" t="s">
        <v>0</v>
      </c>
      <c r="H376" s="952" t="s">
        <v>514</v>
      </c>
      <c r="I376" s="952"/>
      <c r="J376" s="230" t="s">
        <v>2224</v>
      </c>
      <c r="K376" s="952">
        <v>1</v>
      </c>
      <c r="L376" s="231" t="s">
        <v>5807</v>
      </c>
      <c r="M376" s="194"/>
      <c r="N376" s="1167">
        <f t="shared" si="48"/>
        <v>0</v>
      </c>
      <c r="O376" s="1116" t="str">
        <f t="shared" si="46"/>
        <v>نصب مجموعه قفل درب عقب راست</v>
      </c>
      <c r="P376" s="1117" t="str">
        <f t="shared" si="46"/>
        <v>SX5-6205-1</v>
      </c>
      <c r="Q376" s="586" t="str">
        <f t="shared" si="47"/>
        <v>BM3-6205010B1</v>
      </c>
      <c r="R376" s="585" t="str">
        <f t="shared" si="45"/>
        <v>مجموعه قفل درب عقب راست</v>
      </c>
      <c r="S376" s="586">
        <f t="shared" si="45"/>
        <v>1</v>
      </c>
      <c r="T376" s="589"/>
      <c r="U376" s="589"/>
      <c r="V376" s="589"/>
      <c r="W376" s="589"/>
      <c r="X376" s="590"/>
      <c r="Y376" s="590"/>
      <c r="Z376" s="589"/>
      <c r="AA376" s="724"/>
    </row>
    <row r="377" spans="1:27" ht="42.75" customHeight="1">
      <c r="A377" s="1167"/>
      <c r="B377" s="1151"/>
      <c r="C377" s="1154" t="s">
        <v>1248</v>
      </c>
      <c r="D377" s="1209"/>
      <c r="E377" s="1126"/>
      <c r="F377" s="1151"/>
      <c r="G377" s="952" t="s">
        <v>1</v>
      </c>
      <c r="H377" s="952" t="s">
        <v>509</v>
      </c>
      <c r="I377" s="952"/>
      <c r="J377" s="230" t="s">
        <v>1626</v>
      </c>
      <c r="K377" s="952">
        <v>3</v>
      </c>
      <c r="L377" s="231" t="s">
        <v>5851</v>
      </c>
      <c r="M377" s="194"/>
      <c r="N377" s="1167">
        <f t="shared" si="48"/>
        <v>0</v>
      </c>
      <c r="O377" s="1116"/>
      <c r="P377" s="1117"/>
      <c r="Q377" s="586" t="str">
        <f t="shared" si="47"/>
        <v>A-6105612A1</v>
      </c>
      <c r="R377" s="585" t="str">
        <f t="shared" si="45"/>
        <v>پیچ سر سوکتی</v>
      </c>
      <c r="S377" s="586">
        <f t="shared" si="45"/>
        <v>3</v>
      </c>
      <c r="T377" s="614">
        <v>3</v>
      </c>
      <c r="U377" s="614">
        <v>3.5</v>
      </c>
      <c r="V377" s="614">
        <v>4</v>
      </c>
      <c r="W377" s="615" t="s">
        <v>5543</v>
      </c>
      <c r="X377" s="614" t="s">
        <v>5451</v>
      </c>
      <c r="Y377" s="614" t="s">
        <v>5546</v>
      </c>
      <c r="Z377" s="589"/>
      <c r="AA377" s="724"/>
    </row>
    <row r="378" spans="1:27" ht="42.75" customHeight="1">
      <c r="A378" s="1167"/>
      <c r="B378" s="1151" t="s">
        <v>2166</v>
      </c>
      <c r="C378" s="1154" t="s">
        <v>2223</v>
      </c>
      <c r="D378" s="1209" t="s">
        <v>171</v>
      </c>
      <c r="E378" s="1126"/>
      <c r="F378" s="1151">
        <v>1.19</v>
      </c>
      <c r="G378" s="952" t="s">
        <v>0</v>
      </c>
      <c r="H378" s="952" t="s">
        <v>172</v>
      </c>
      <c r="I378" s="952"/>
      <c r="J378" s="230" t="s">
        <v>2222</v>
      </c>
      <c r="K378" s="952">
        <v>2</v>
      </c>
      <c r="L378" s="231" t="s">
        <v>5857</v>
      </c>
      <c r="M378" s="194"/>
      <c r="N378" s="1167">
        <f t="shared" si="48"/>
        <v>0</v>
      </c>
      <c r="O378" s="1116" t="str">
        <f t="shared" si="46"/>
        <v>نصب کلید لادری سمت راست</v>
      </c>
      <c r="P378" s="1117" t="str">
        <f t="shared" si="46"/>
        <v>SX5-3750-1</v>
      </c>
      <c r="Q378" s="586" t="str">
        <f t="shared" si="47"/>
        <v>B12-3758010</v>
      </c>
      <c r="R378" s="585" t="str">
        <f t="shared" si="45"/>
        <v xml:space="preserve">کلید لادری </v>
      </c>
      <c r="S378" s="586">
        <f t="shared" si="45"/>
        <v>2</v>
      </c>
      <c r="T378" s="589"/>
      <c r="U378" s="589"/>
      <c r="V378" s="589"/>
      <c r="W378" s="589"/>
      <c r="X378" s="590"/>
      <c r="Y378" s="590"/>
      <c r="Z378" s="589"/>
      <c r="AA378" s="724"/>
    </row>
    <row r="379" spans="1:27" ht="42.75" customHeight="1">
      <c r="A379" s="1167"/>
      <c r="B379" s="1151"/>
      <c r="C379" s="1154" t="s">
        <v>1248</v>
      </c>
      <c r="D379" s="1209"/>
      <c r="E379" s="1126"/>
      <c r="F379" s="1151"/>
      <c r="G379" s="952" t="s">
        <v>1</v>
      </c>
      <c r="H379" s="952" t="s">
        <v>2221</v>
      </c>
      <c r="I379" s="952"/>
      <c r="J379" s="230" t="s">
        <v>1279</v>
      </c>
      <c r="K379" s="952">
        <v>2</v>
      </c>
      <c r="L379" s="231" t="s">
        <v>5851</v>
      </c>
      <c r="M379" s="194"/>
      <c r="N379" s="1167">
        <f t="shared" si="48"/>
        <v>0</v>
      </c>
      <c r="O379" s="1116"/>
      <c r="P379" s="1117"/>
      <c r="Q379" s="586" t="str">
        <f t="shared" si="47"/>
        <v>Q2714213F38</v>
      </c>
      <c r="R379" s="585" t="str">
        <f t="shared" si="45"/>
        <v>پیچ چهارسو سر گرد</v>
      </c>
      <c r="S379" s="586">
        <f t="shared" si="45"/>
        <v>2</v>
      </c>
      <c r="T379" s="614">
        <v>3</v>
      </c>
      <c r="U379" s="614">
        <v>3.5</v>
      </c>
      <c r="V379" s="614">
        <v>4</v>
      </c>
      <c r="W379" s="615" t="s">
        <v>5543</v>
      </c>
      <c r="X379" s="614" t="s">
        <v>5451</v>
      </c>
      <c r="Y379" s="614" t="s">
        <v>5546</v>
      </c>
      <c r="Z379" s="589"/>
      <c r="AA379" s="724"/>
    </row>
    <row r="380" spans="1:27" ht="42.75" customHeight="1">
      <c r="A380" s="1167"/>
      <c r="B380" s="935" t="s">
        <v>2166</v>
      </c>
      <c r="C380" s="929" t="s">
        <v>2220</v>
      </c>
      <c r="D380" s="931" t="s">
        <v>458</v>
      </c>
      <c r="E380" s="939"/>
      <c r="F380" s="951">
        <v>1.21</v>
      </c>
      <c r="G380" s="952" t="s">
        <v>0</v>
      </c>
      <c r="H380" s="952" t="s">
        <v>460</v>
      </c>
      <c r="I380" s="952"/>
      <c r="J380" s="230" t="s">
        <v>2219</v>
      </c>
      <c r="K380" s="952">
        <v>1</v>
      </c>
      <c r="L380" s="231" t="s">
        <v>5807</v>
      </c>
      <c r="M380" s="194"/>
      <c r="N380" s="1167">
        <f t="shared" si="48"/>
        <v>0</v>
      </c>
      <c r="O380" s="914" t="str">
        <f t="shared" si="46"/>
        <v>نصب نوار گردگیر بالای شیشه درب جلو راست</v>
      </c>
      <c r="P380" s="915" t="str">
        <f t="shared" si="46"/>
        <v>SX5-6107-3</v>
      </c>
      <c r="Q380" s="586" t="str">
        <f t="shared" si="47"/>
        <v>SX5-6107130C</v>
      </c>
      <c r="R380" s="585" t="str">
        <f t="shared" si="45"/>
        <v xml:space="preserve">نوار گردگیر بالای شیشه درب جلو راست  </v>
      </c>
      <c r="S380" s="586">
        <f t="shared" si="45"/>
        <v>1</v>
      </c>
      <c r="T380" s="589"/>
      <c r="U380" s="589"/>
      <c r="V380" s="589"/>
      <c r="W380" s="589"/>
      <c r="X380" s="590"/>
      <c r="Y380" s="590"/>
      <c r="Z380" s="589"/>
      <c r="AA380" s="724"/>
    </row>
    <row r="381" spans="1:27" ht="42.75" customHeight="1" thickBot="1">
      <c r="A381" s="1168"/>
      <c r="B381" s="936" t="s">
        <v>2166</v>
      </c>
      <c r="C381" s="930" t="s">
        <v>2218</v>
      </c>
      <c r="D381" s="932" t="s">
        <v>464</v>
      </c>
      <c r="E381" s="942"/>
      <c r="F381" s="994">
        <v>1.1299999999999999</v>
      </c>
      <c r="G381" s="953" t="s">
        <v>0</v>
      </c>
      <c r="H381" s="953" t="s">
        <v>466</v>
      </c>
      <c r="I381" s="953"/>
      <c r="J381" s="272" t="s">
        <v>2217</v>
      </c>
      <c r="K381" s="953">
        <v>1</v>
      </c>
      <c r="L381" s="250" t="s">
        <v>5807</v>
      </c>
      <c r="M381" s="194"/>
      <c r="N381" s="1168">
        <f t="shared" si="48"/>
        <v>0</v>
      </c>
      <c r="O381" s="930" t="str">
        <f t="shared" si="46"/>
        <v>نصب نوار گردگیر بالای شیشه درب عقب راست</v>
      </c>
      <c r="P381" s="932" t="str">
        <f t="shared" si="46"/>
        <v>SX5-6207-3</v>
      </c>
      <c r="Q381" s="251" t="str">
        <f t="shared" si="47"/>
        <v>SX5-6207130C</v>
      </c>
      <c r="R381" s="274" t="str">
        <f t="shared" si="45"/>
        <v>نوار گردگیر بالای شیشه درب عقب راست</v>
      </c>
      <c r="S381" s="251">
        <f t="shared" si="45"/>
        <v>1</v>
      </c>
      <c r="T381" s="283"/>
      <c r="U381" s="283"/>
      <c r="V381" s="283"/>
      <c r="W381" s="283"/>
      <c r="X381" s="284"/>
      <c r="Y381" s="284"/>
      <c r="Z381" s="283"/>
      <c r="AA381" s="285"/>
    </row>
    <row r="382" spans="1:27" ht="38.25" customHeight="1">
      <c r="A382" s="1166" t="s">
        <v>2216</v>
      </c>
      <c r="B382" s="1222" t="s">
        <v>2169</v>
      </c>
      <c r="C382" s="1169" t="s">
        <v>2215</v>
      </c>
      <c r="D382" s="1142" t="s">
        <v>473</v>
      </c>
      <c r="E382" s="1221"/>
      <c r="F382" s="1283">
        <v>0.71</v>
      </c>
      <c r="G382" s="997" t="s">
        <v>0</v>
      </c>
      <c r="H382" s="997" t="s">
        <v>475</v>
      </c>
      <c r="I382" s="997"/>
      <c r="J382" s="221" t="s">
        <v>2214</v>
      </c>
      <c r="K382" s="997">
        <v>1</v>
      </c>
      <c r="L382" s="222" t="s">
        <v>5860</v>
      </c>
      <c r="M382" s="194"/>
      <c r="N382" s="1166" t="str">
        <f t="shared" si="48"/>
        <v>P32</v>
      </c>
      <c r="O382" s="1169" t="str">
        <f t="shared" si="46"/>
        <v>نصب ریل پایین شيشه درب عقب راست</v>
      </c>
      <c r="P382" s="1142" t="str">
        <f t="shared" si="46"/>
        <v>SX5-6203-2</v>
      </c>
      <c r="Q382" s="225" t="str">
        <f t="shared" si="47"/>
        <v>SX5-6203150</v>
      </c>
      <c r="R382" s="224" t="str">
        <f t="shared" ref="R382:S433" si="49">J382</f>
        <v>ریل پایین شیشه درب عقب راست</v>
      </c>
      <c r="S382" s="225">
        <f t="shared" si="49"/>
        <v>1</v>
      </c>
      <c r="T382" s="226"/>
      <c r="U382" s="226"/>
      <c r="V382" s="226"/>
      <c r="W382" s="226"/>
      <c r="X382" s="227"/>
      <c r="Y382" s="227"/>
      <c r="Z382" s="226"/>
      <c r="AA382" s="228"/>
    </row>
    <row r="383" spans="1:27" ht="38.25" customHeight="1">
      <c r="A383" s="1167"/>
      <c r="B383" s="1151"/>
      <c r="C383" s="1154" t="s">
        <v>1248</v>
      </c>
      <c r="D383" s="1209"/>
      <c r="E383" s="1126"/>
      <c r="F383" s="1223"/>
      <c r="G383" s="952" t="s">
        <v>1</v>
      </c>
      <c r="H383" s="952" t="s">
        <v>1504</v>
      </c>
      <c r="I383" s="952"/>
      <c r="J383" s="230" t="s">
        <v>1503</v>
      </c>
      <c r="K383" s="952">
        <v>1</v>
      </c>
      <c r="L383" s="231" t="s">
        <v>5861</v>
      </c>
      <c r="M383" s="194"/>
      <c r="N383" s="1167">
        <f t="shared" si="48"/>
        <v>0</v>
      </c>
      <c r="O383" s="1116"/>
      <c r="P383" s="1117"/>
      <c r="Q383" s="586" t="str">
        <f t="shared" si="47"/>
        <v>MS100221S</v>
      </c>
      <c r="R383" s="585" t="str">
        <f t="shared" si="49"/>
        <v xml:space="preserve">پیچ فلنجی شش گوش </v>
      </c>
      <c r="S383" s="586">
        <f t="shared" si="49"/>
        <v>1</v>
      </c>
      <c r="T383" s="614">
        <v>8</v>
      </c>
      <c r="U383" s="614">
        <v>9</v>
      </c>
      <c r="V383" s="614">
        <v>10</v>
      </c>
      <c r="W383" s="615" t="s">
        <v>5431</v>
      </c>
      <c r="X383" s="614" t="s">
        <v>5432</v>
      </c>
      <c r="Y383" s="614" t="s">
        <v>5547</v>
      </c>
      <c r="Z383" s="589"/>
      <c r="AA383" s="724"/>
    </row>
    <row r="384" spans="1:27" ht="38.25" customHeight="1">
      <c r="A384" s="1167"/>
      <c r="B384" s="1151" t="s">
        <v>2169</v>
      </c>
      <c r="C384" s="1154" t="s">
        <v>2213</v>
      </c>
      <c r="D384" s="1209" t="s">
        <v>476</v>
      </c>
      <c r="E384" s="1126"/>
      <c r="F384" s="1223">
        <v>0.95</v>
      </c>
      <c r="G384" s="952" t="s">
        <v>0</v>
      </c>
      <c r="H384" s="952" t="s">
        <v>478</v>
      </c>
      <c r="I384" s="952"/>
      <c r="J384" s="230" t="s">
        <v>2212</v>
      </c>
      <c r="K384" s="952">
        <v>1</v>
      </c>
      <c r="L384" s="231" t="s">
        <v>5807</v>
      </c>
      <c r="M384" s="194"/>
      <c r="N384" s="1167">
        <f t="shared" si="48"/>
        <v>0</v>
      </c>
      <c r="O384" s="1116" t="str">
        <f>C384</f>
        <v>نصب قاب مثلثی درب عقب راست</v>
      </c>
      <c r="P384" s="1117" t="str">
        <f>D384</f>
        <v>SX7A-6203-1</v>
      </c>
      <c r="Q384" s="586" t="str">
        <f t="shared" si="47"/>
        <v>SX7-6203350</v>
      </c>
      <c r="R384" s="585" t="str">
        <f t="shared" si="49"/>
        <v>قاب تزئینی مثلثی درب عقب راست</v>
      </c>
      <c r="S384" s="586">
        <f t="shared" si="49"/>
        <v>1</v>
      </c>
      <c r="T384" s="589"/>
      <c r="U384" s="589"/>
      <c r="V384" s="589"/>
      <c r="W384" s="589"/>
      <c r="X384" s="590"/>
      <c r="Y384" s="590"/>
      <c r="Z384" s="589"/>
      <c r="AA384" s="724"/>
    </row>
    <row r="385" spans="1:27" ht="38.25" customHeight="1">
      <c r="A385" s="1167"/>
      <c r="B385" s="1151"/>
      <c r="C385" s="1154" t="s">
        <v>1248</v>
      </c>
      <c r="D385" s="1209"/>
      <c r="E385" s="1126"/>
      <c r="F385" s="1223"/>
      <c r="G385" s="952" t="s">
        <v>1</v>
      </c>
      <c r="H385" s="952" t="s">
        <v>479</v>
      </c>
      <c r="I385" s="952"/>
      <c r="J385" s="230" t="s">
        <v>1249</v>
      </c>
      <c r="K385" s="952">
        <v>2</v>
      </c>
      <c r="L385" s="231" t="s">
        <v>5862</v>
      </c>
      <c r="M385" s="194"/>
      <c r="N385" s="1167">
        <f t="shared" si="48"/>
        <v>0</v>
      </c>
      <c r="O385" s="1116"/>
      <c r="P385" s="1117"/>
      <c r="Q385" s="586" t="str">
        <f t="shared" si="47"/>
        <v>BS3-6203359</v>
      </c>
      <c r="R385" s="585" t="str">
        <f t="shared" si="49"/>
        <v>پیچ چهارسو</v>
      </c>
      <c r="S385" s="586">
        <f t="shared" si="49"/>
        <v>2</v>
      </c>
      <c r="T385" s="614">
        <v>2.5</v>
      </c>
      <c r="U385" s="614">
        <v>3</v>
      </c>
      <c r="V385" s="614">
        <v>3.5</v>
      </c>
      <c r="W385" s="615" t="s">
        <v>5461</v>
      </c>
      <c r="X385" s="614" t="s">
        <v>5451</v>
      </c>
      <c r="Y385" s="614" t="s">
        <v>5548</v>
      </c>
      <c r="Z385" s="589"/>
      <c r="AA385" s="724"/>
    </row>
    <row r="386" spans="1:27" ht="38.25" customHeight="1">
      <c r="A386" s="1167"/>
      <c r="B386" s="1151"/>
      <c r="C386" s="1154" t="s">
        <v>1248</v>
      </c>
      <c r="D386" s="1209"/>
      <c r="E386" s="1126"/>
      <c r="F386" s="1223"/>
      <c r="G386" s="952" t="s">
        <v>2</v>
      </c>
      <c r="H386" s="952" t="s">
        <v>1504</v>
      </c>
      <c r="I386" s="952"/>
      <c r="J386" s="230" t="s">
        <v>1503</v>
      </c>
      <c r="K386" s="952">
        <v>1</v>
      </c>
      <c r="L386" s="231" t="s">
        <v>5861</v>
      </c>
      <c r="M386" s="194"/>
      <c r="N386" s="1167">
        <f t="shared" si="48"/>
        <v>0</v>
      </c>
      <c r="O386" s="1116"/>
      <c r="P386" s="1117"/>
      <c r="Q386" s="586" t="str">
        <f t="shared" si="47"/>
        <v>MS100221S</v>
      </c>
      <c r="R386" s="585" t="str">
        <f t="shared" si="49"/>
        <v xml:space="preserve">پیچ فلنجی شش گوش </v>
      </c>
      <c r="S386" s="586">
        <f t="shared" si="49"/>
        <v>1</v>
      </c>
      <c r="T386" s="614">
        <v>4.5</v>
      </c>
      <c r="U386" s="614">
        <v>5</v>
      </c>
      <c r="V386" s="614">
        <v>5.5</v>
      </c>
      <c r="W386" s="615" t="s">
        <v>5431</v>
      </c>
      <c r="X386" s="614" t="s">
        <v>5432</v>
      </c>
      <c r="Y386" s="614" t="s">
        <v>5548</v>
      </c>
      <c r="Z386" s="589"/>
      <c r="AA386" s="724"/>
    </row>
    <row r="387" spans="1:27" ht="38.25" customHeight="1">
      <c r="A387" s="1167"/>
      <c r="B387" s="1151" t="s">
        <v>2169</v>
      </c>
      <c r="C387" s="1154" t="s">
        <v>2211</v>
      </c>
      <c r="D387" s="1209" t="s">
        <v>456</v>
      </c>
      <c r="E387" s="1126"/>
      <c r="F387" s="1223">
        <v>0.87</v>
      </c>
      <c r="G387" s="952" t="s">
        <v>0</v>
      </c>
      <c r="H387" s="952" t="s">
        <v>2210</v>
      </c>
      <c r="I387" s="952" t="s">
        <v>6200</v>
      </c>
      <c r="J387" s="230" t="s">
        <v>2209</v>
      </c>
      <c r="K387" s="952">
        <v>1</v>
      </c>
      <c r="L387" s="231" t="s">
        <v>5856</v>
      </c>
      <c r="M387" s="194"/>
      <c r="N387" s="1167">
        <f t="shared" si="48"/>
        <v>0</v>
      </c>
      <c r="O387" s="1116" t="str">
        <f>C387</f>
        <v>مونتاژ شیشه درب جلو راست</v>
      </c>
      <c r="P387" s="1117" t="str">
        <f>D387</f>
        <v>SX5-6103-1</v>
      </c>
      <c r="Q387" s="586" t="str">
        <f t="shared" si="47"/>
        <v>SX5-6103030B</v>
      </c>
      <c r="R387" s="585" t="str">
        <f t="shared" si="49"/>
        <v>مجموعه شیشه درب جلو راست</v>
      </c>
      <c r="S387" s="586">
        <f t="shared" si="49"/>
        <v>1</v>
      </c>
      <c r="T387" s="589"/>
      <c r="U387" s="589"/>
      <c r="V387" s="589"/>
      <c r="W387" s="589"/>
      <c r="X387" s="590"/>
      <c r="Y387" s="590"/>
      <c r="Z387" s="589"/>
      <c r="AA387" s="724"/>
    </row>
    <row r="388" spans="1:27" ht="38.25" customHeight="1">
      <c r="A388" s="1167"/>
      <c r="B388" s="1151"/>
      <c r="C388" s="1154" t="s">
        <v>1248</v>
      </c>
      <c r="D388" s="1209"/>
      <c r="E388" s="1126"/>
      <c r="F388" s="1223"/>
      <c r="G388" s="952" t="s">
        <v>1</v>
      </c>
      <c r="H388" s="952" t="s">
        <v>1504</v>
      </c>
      <c r="I388" s="952"/>
      <c r="J388" s="230" t="s">
        <v>1503</v>
      </c>
      <c r="K388" s="952">
        <v>2</v>
      </c>
      <c r="L388" s="231" t="s">
        <v>5861</v>
      </c>
      <c r="M388" s="194"/>
      <c r="N388" s="1167">
        <f t="shared" si="48"/>
        <v>0</v>
      </c>
      <c r="O388" s="1116"/>
      <c r="P388" s="1117"/>
      <c r="Q388" s="586" t="str">
        <f t="shared" si="47"/>
        <v>MS100221S</v>
      </c>
      <c r="R388" s="585" t="str">
        <f t="shared" si="49"/>
        <v xml:space="preserve">پیچ فلنجی شش گوش </v>
      </c>
      <c r="S388" s="586">
        <f t="shared" si="49"/>
        <v>2</v>
      </c>
      <c r="T388" s="614">
        <v>8</v>
      </c>
      <c r="U388" s="614">
        <v>9</v>
      </c>
      <c r="V388" s="614" t="s">
        <v>5549</v>
      </c>
      <c r="W388" s="615" t="s">
        <v>5431</v>
      </c>
      <c r="X388" s="614" t="s">
        <v>5432</v>
      </c>
      <c r="Y388" s="614" t="s">
        <v>5547</v>
      </c>
      <c r="Z388" s="589"/>
      <c r="AA388" s="724"/>
    </row>
    <row r="389" spans="1:27" ht="38.25" customHeight="1">
      <c r="A389" s="1167"/>
      <c r="B389" s="1151" t="s">
        <v>2169</v>
      </c>
      <c r="C389" s="1154" t="s">
        <v>2208</v>
      </c>
      <c r="D389" s="1209" t="s">
        <v>461</v>
      </c>
      <c r="E389" s="1126"/>
      <c r="F389" s="1223">
        <v>0.98</v>
      </c>
      <c r="G389" s="952" t="s">
        <v>0</v>
      </c>
      <c r="H389" s="952" t="s">
        <v>463</v>
      </c>
      <c r="I389" s="952" t="s">
        <v>5180</v>
      </c>
      <c r="J389" s="230" t="s">
        <v>2207</v>
      </c>
      <c r="K389" s="952">
        <v>1</v>
      </c>
      <c r="L389" s="231" t="s">
        <v>5855</v>
      </c>
      <c r="M389" s="194"/>
      <c r="N389" s="1167">
        <f t="shared" si="48"/>
        <v>0</v>
      </c>
      <c r="O389" s="1116" t="str">
        <f>C389</f>
        <v>مونتاژ شیشه درب عقب راست</v>
      </c>
      <c r="P389" s="1117" t="str">
        <f>D389</f>
        <v>SX5-6203-3</v>
      </c>
      <c r="Q389" s="586" t="str">
        <f t="shared" si="47"/>
        <v>SX5-6203020B</v>
      </c>
      <c r="R389" s="585" t="str">
        <f t="shared" si="49"/>
        <v>مجموعه شیشه درب عقب راست</v>
      </c>
      <c r="S389" s="586">
        <f t="shared" si="49"/>
        <v>1</v>
      </c>
      <c r="T389" s="589"/>
      <c r="U389" s="589"/>
      <c r="V389" s="589"/>
      <c r="W389" s="589"/>
      <c r="X389" s="590"/>
      <c r="Y389" s="590"/>
      <c r="Z389" s="589"/>
      <c r="AA389" s="724"/>
    </row>
    <row r="390" spans="1:27" ht="38.25" customHeight="1">
      <c r="A390" s="1167"/>
      <c r="B390" s="1151"/>
      <c r="C390" s="1154" t="s">
        <v>1248</v>
      </c>
      <c r="D390" s="1209"/>
      <c r="E390" s="1126"/>
      <c r="F390" s="1223"/>
      <c r="G390" s="952" t="s">
        <v>1</v>
      </c>
      <c r="H390" s="952" t="s">
        <v>1504</v>
      </c>
      <c r="I390" s="952"/>
      <c r="J390" s="230" t="s">
        <v>1503</v>
      </c>
      <c r="K390" s="952">
        <v>2</v>
      </c>
      <c r="L390" s="231" t="s">
        <v>5861</v>
      </c>
      <c r="M390" s="194"/>
      <c r="N390" s="1167">
        <f t="shared" si="48"/>
        <v>0</v>
      </c>
      <c r="O390" s="1116"/>
      <c r="P390" s="1117"/>
      <c r="Q390" s="586" t="str">
        <f t="shared" si="47"/>
        <v>MS100221S</v>
      </c>
      <c r="R390" s="585" t="str">
        <f t="shared" si="49"/>
        <v xml:space="preserve">پیچ فلنجی شش گوش </v>
      </c>
      <c r="S390" s="586">
        <f t="shared" si="49"/>
        <v>2</v>
      </c>
      <c r="T390" s="614">
        <v>8</v>
      </c>
      <c r="U390" s="614">
        <v>9</v>
      </c>
      <c r="V390" s="614" t="s">
        <v>5549</v>
      </c>
      <c r="W390" s="615" t="s">
        <v>5431</v>
      </c>
      <c r="X390" s="614" t="s">
        <v>5432</v>
      </c>
      <c r="Y390" s="614" t="s">
        <v>5547</v>
      </c>
      <c r="Z390" s="589"/>
      <c r="AA390" s="724"/>
    </row>
    <row r="391" spans="1:27" ht="38.25" customHeight="1">
      <c r="A391" s="1167"/>
      <c r="B391" s="1151" t="s">
        <v>2169</v>
      </c>
      <c r="C391" s="1154" t="s">
        <v>2206</v>
      </c>
      <c r="D391" s="1209" t="s">
        <v>470</v>
      </c>
      <c r="E391" s="1126"/>
      <c r="F391" s="1223">
        <v>1.45</v>
      </c>
      <c r="G391" s="952" t="s">
        <v>0</v>
      </c>
      <c r="H391" s="952" t="s">
        <v>472</v>
      </c>
      <c r="I391" s="952"/>
      <c r="J391" s="230" t="s">
        <v>2205</v>
      </c>
      <c r="K391" s="952">
        <v>1</v>
      </c>
      <c r="L391" s="231" t="s">
        <v>5807</v>
      </c>
      <c r="M391" s="194"/>
      <c r="N391" s="1167">
        <f t="shared" si="48"/>
        <v>0</v>
      </c>
      <c r="O391" s="1116" t="str">
        <f>C391</f>
        <v>نصب بالابر شیشه درب جلو راست</v>
      </c>
      <c r="P391" s="1117" t="str">
        <f>D391</f>
        <v>SX5-6104-1</v>
      </c>
      <c r="Q391" s="586" t="str">
        <f t="shared" si="47"/>
        <v>SX5-6104010B</v>
      </c>
      <c r="R391" s="585" t="str">
        <f t="shared" si="49"/>
        <v>مجموعه بالابر شیشه درب جلو راست</v>
      </c>
      <c r="S391" s="586">
        <f t="shared" si="49"/>
        <v>1</v>
      </c>
      <c r="T391" s="589"/>
      <c r="U391" s="589"/>
      <c r="V391" s="589"/>
      <c r="W391" s="589"/>
      <c r="X391" s="590"/>
      <c r="Y391" s="590"/>
      <c r="Z391" s="589"/>
      <c r="AA391" s="724"/>
    </row>
    <row r="392" spans="1:27" ht="38.25" customHeight="1">
      <c r="A392" s="1167"/>
      <c r="B392" s="1151"/>
      <c r="C392" s="1154" t="s">
        <v>1248</v>
      </c>
      <c r="D392" s="1209"/>
      <c r="E392" s="1126"/>
      <c r="F392" s="1223"/>
      <c r="G392" s="952" t="s">
        <v>1</v>
      </c>
      <c r="H392" s="952" t="s">
        <v>1504</v>
      </c>
      <c r="I392" s="952"/>
      <c r="J392" s="230" t="s">
        <v>1503</v>
      </c>
      <c r="K392" s="952">
        <v>5</v>
      </c>
      <c r="L392" s="231" t="s">
        <v>5861</v>
      </c>
      <c r="M392" s="194"/>
      <c r="N392" s="1167">
        <f t="shared" si="48"/>
        <v>0</v>
      </c>
      <c r="O392" s="1116"/>
      <c r="P392" s="1117"/>
      <c r="Q392" s="586" t="str">
        <f t="shared" si="47"/>
        <v>MS100221S</v>
      </c>
      <c r="R392" s="585" t="str">
        <f t="shared" si="49"/>
        <v xml:space="preserve">پیچ فلنجی شش گوش </v>
      </c>
      <c r="S392" s="586">
        <f t="shared" si="49"/>
        <v>5</v>
      </c>
      <c r="T392" s="614">
        <v>8</v>
      </c>
      <c r="U392" s="614">
        <v>9</v>
      </c>
      <c r="V392" s="614">
        <v>10</v>
      </c>
      <c r="W392" s="615" t="s">
        <v>5431</v>
      </c>
      <c r="X392" s="614" t="s">
        <v>5432</v>
      </c>
      <c r="Y392" s="614" t="s">
        <v>5547</v>
      </c>
      <c r="Z392" s="589"/>
      <c r="AA392" s="724"/>
    </row>
    <row r="393" spans="1:27" ht="38.25" customHeight="1">
      <c r="A393" s="1167"/>
      <c r="B393" s="1151" t="s">
        <v>2169</v>
      </c>
      <c r="C393" s="1154" t="s">
        <v>2204</v>
      </c>
      <c r="D393" s="1209" t="s">
        <v>480</v>
      </c>
      <c r="E393" s="1126"/>
      <c r="F393" s="1223">
        <v>1.37</v>
      </c>
      <c r="G393" s="952" t="s">
        <v>0</v>
      </c>
      <c r="H393" s="952" t="s">
        <v>482</v>
      </c>
      <c r="I393" s="952"/>
      <c r="J393" s="230" t="s">
        <v>2203</v>
      </c>
      <c r="K393" s="952">
        <v>1</v>
      </c>
      <c r="L393" s="231" t="s">
        <v>5807</v>
      </c>
      <c r="M393" s="194"/>
      <c r="N393" s="1167">
        <f t="shared" si="48"/>
        <v>0</v>
      </c>
      <c r="O393" s="1116" t="str">
        <f>C393</f>
        <v>نصب بالابر شیشه درب عقب راست</v>
      </c>
      <c r="P393" s="1117" t="str">
        <f>D393</f>
        <v>SX5-6204-1</v>
      </c>
      <c r="Q393" s="586" t="str">
        <f t="shared" si="47"/>
        <v>SX5-6204010B</v>
      </c>
      <c r="R393" s="585" t="str">
        <f t="shared" si="49"/>
        <v>مجموعه بالابر شیشه درب عقب راست</v>
      </c>
      <c r="S393" s="586">
        <f t="shared" si="49"/>
        <v>1</v>
      </c>
      <c r="T393" s="589"/>
      <c r="U393" s="589"/>
      <c r="V393" s="589"/>
      <c r="W393" s="589"/>
      <c r="X393" s="590"/>
      <c r="Y393" s="590"/>
      <c r="Z393" s="589"/>
      <c r="AA393" s="724"/>
    </row>
    <row r="394" spans="1:27" ht="38.25" customHeight="1">
      <c r="A394" s="1167"/>
      <c r="B394" s="1151"/>
      <c r="C394" s="1154" t="s">
        <v>1248</v>
      </c>
      <c r="D394" s="1209"/>
      <c r="E394" s="1126"/>
      <c r="F394" s="1223"/>
      <c r="G394" s="952" t="s">
        <v>1</v>
      </c>
      <c r="H394" s="952" t="s">
        <v>1504</v>
      </c>
      <c r="I394" s="952"/>
      <c r="J394" s="230" t="s">
        <v>1503</v>
      </c>
      <c r="K394" s="952">
        <v>5</v>
      </c>
      <c r="L394" s="231" t="s">
        <v>5861</v>
      </c>
      <c r="M394" s="194"/>
      <c r="N394" s="1167">
        <f t="shared" si="48"/>
        <v>0</v>
      </c>
      <c r="O394" s="1116"/>
      <c r="P394" s="1117"/>
      <c r="Q394" s="586" t="str">
        <f t="shared" si="47"/>
        <v>MS100221S</v>
      </c>
      <c r="R394" s="585" t="str">
        <f t="shared" si="49"/>
        <v xml:space="preserve">پیچ فلنجی شش گوش </v>
      </c>
      <c r="S394" s="586">
        <f t="shared" si="49"/>
        <v>5</v>
      </c>
      <c r="T394" s="614">
        <v>8</v>
      </c>
      <c r="U394" s="614">
        <v>9</v>
      </c>
      <c r="V394" s="614">
        <v>10</v>
      </c>
      <c r="W394" s="615" t="s">
        <v>5431</v>
      </c>
      <c r="X394" s="614" t="s">
        <v>5432</v>
      </c>
      <c r="Y394" s="614" t="s">
        <v>5547</v>
      </c>
      <c r="Z394" s="589"/>
      <c r="AA394" s="724"/>
    </row>
    <row r="395" spans="1:27" ht="38.25" customHeight="1">
      <c r="A395" s="1167"/>
      <c r="B395" s="935" t="s">
        <v>2169</v>
      </c>
      <c r="C395" s="982" t="s">
        <v>2202</v>
      </c>
      <c r="D395" s="995" t="s">
        <v>2181</v>
      </c>
      <c r="E395" s="939" t="s">
        <v>37</v>
      </c>
      <c r="F395" s="951">
        <v>0.33</v>
      </c>
      <c r="G395" s="952"/>
      <c r="H395" s="292" t="s">
        <v>1464</v>
      </c>
      <c r="I395" s="292"/>
      <c r="J395" s="291" t="s">
        <v>1828</v>
      </c>
      <c r="K395" s="952"/>
      <c r="L395" s="299"/>
      <c r="M395" s="194"/>
      <c r="N395" s="1167">
        <f t="shared" si="48"/>
        <v>0</v>
      </c>
      <c r="O395" s="964" t="str">
        <f>C395</f>
        <v xml:space="preserve">تست شیشه بالابر درب های سمت راست </v>
      </c>
      <c r="P395" s="965" t="str">
        <f>D395</f>
        <v>SX5-6204-4</v>
      </c>
      <c r="Q395" s="611" t="str">
        <f t="shared" si="47"/>
        <v>---------</v>
      </c>
      <c r="R395" s="610" t="str">
        <f t="shared" si="49"/>
        <v>----------</v>
      </c>
      <c r="S395" s="586">
        <f t="shared" si="49"/>
        <v>0</v>
      </c>
      <c r="T395" s="589"/>
      <c r="U395" s="589"/>
      <c r="V395" s="589"/>
      <c r="W395" s="589"/>
      <c r="X395" s="590"/>
      <c r="Y395" s="590"/>
      <c r="Z395" s="589"/>
      <c r="AA395" s="724"/>
    </row>
    <row r="396" spans="1:27" ht="38.25" customHeight="1">
      <c r="A396" s="1167"/>
      <c r="B396" s="1151" t="s">
        <v>2169</v>
      </c>
      <c r="C396" s="1154" t="s">
        <v>2200</v>
      </c>
      <c r="D396" s="1209" t="s">
        <v>467</v>
      </c>
      <c r="E396" s="1126"/>
      <c r="F396" s="1151">
        <v>0.45</v>
      </c>
      <c r="G396" s="952" t="s">
        <v>0</v>
      </c>
      <c r="H396" s="952" t="s">
        <v>469</v>
      </c>
      <c r="I396" s="952"/>
      <c r="J396" s="230" t="s">
        <v>2199</v>
      </c>
      <c r="K396" s="952">
        <v>1</v>
      </c>
      <c r="L396" s="231" t="s">
        <v>5863</v>
      </c>
      <c r="M396" s="194"/>
      <c r="N396" s="1167">
        <f t="shared" si="48"/>
        <v>0</v>
      </c>
      <c r="O396" s="1116" t="str">
        <f>C396</f>
        <v>نصب ریل پایین شیشه درب جلو راست</v>
      </c>
      <c r="P396" s="1117" t="str">
        <f>D396</f>
        <v>SX5-6103-2</v>
      </c>
      <c r="Q396" s="586" t="str">
        <f t="shared" si="47"/>
        <v>SX5-6103250</v>
      </c>
      <c r="R396" s="585" t="str">
        <f t="shared" si="49"/>
        <v>ریل پایین شیشه درب جلو راست</v>
      </c>
      <c r="S396" s="586">
        <f t="shared" si="49"/>
        <v>1</v>
      </c>
      <c r="T396" s="589"/>
      <c r="U396" s="589"/>
      <c r="V396" s="589"/>
      <c r="W396" s="589"/>
      <c r="X396" s="590"/>
      <c r="Y396" s="590"/>
      <c r="Z396" s="589"/>
      <c r="AA396" s="724"/>
    </row>
    <row r="397" spans="1:27" ht="38.25" customHeight="1">
      <c r="A397" s="1167"/>
      <c r="B397" s="1151"/>
      <c r="C397" s="1154" t="s">
        <v>1248</v>
      </c>
      <c r="D397" s="1209"/>
      <c r="E397" s="1126"/>
      <c r="F397" s="1151"/>
      <c r="G397" s="952" t="s">
        <v>1</v>
      </c>
      <c r="H397" s="952" t="s">
        <v>1504</v>
      </c>
      <c r="I397" s="952"/>
      <c r="J397" s="230" t="s">
        <v>1503</v>
      </c>
      <c r="K397" s="952">
        <v>1</v>
      </c>
      <c r="L397" s="231" t="s">
        <v>5861</v>
      </c>
      <c r="M397" s="194"/>
      <c r="N397" s="1167">
        <f t="shared" si="48"/>
        <v>0</v>
      </c>
      <c r="O397" s="1116"/>
      <c r="P397" s="1117"/>
      <c r="Q397" s="586" t="str">
        <f t="shared" si="47"/>
        <v>MS100221S</v>
      </c>
      <c r="R397" s="585" t="str">
        <f t="shared" si="49"/>
        <v xml:space="preserve">پیچ فلنجی شش گوش </v>
      </c>
      <c r="S397" s="586">
        <f t="shared" si="49"/>
        <v>1</v>
      </c>
      <c r="T397" s="614">
        <v>8</v>
      </c>
      <c r="U397" s="614">
        <v>9</v>
      </c>
      <c r="V397" s="614">
        <v>10</v>
      </c>
      <c r="W397" s="615" t="s">
        <v>5431</v>
      </c>
      <c r="X397" s="614" t="s">
        <v>5432</v>
      </c>
      <c r="Y397" s="614" t="s">
        <v>5547</v>
      </c>
      <c r="Z397" s="589"/>
      <c r="AA397" s="724"/>
    </row>
    <row r="398" spans="1:27" ht="38.25" customHeight="1">
      <c r="A398" s="1167"/>
      <c r="B398" s="1034" t="s">
        <v>2169</v>
      </c>
      <c r="C398" s="1036" t="s">
        <v>2198</v>
      </c>
      <c r="D398" s="1033" t="s">
        <v>496</v>
      </c>
      <c r="E398" s="1035"/>
      <c r="F398" s="1038">
        <v>0.65</v>
      </c>
      <c r="G398" s="952" t="s">
        <v>0</v>
      </c>
      <c r="H398" s="952" t="s">
        <v>5182</v>
      </c>
      <c r="I398" s="952" t="s">
        <v>498</v>
      </c>
      <c r="J398" s="230" t="s">
        <v>2197</v>
      </c>
      <c r="K398" s="952">
        <v>1</v>
      </c>
      <c r="L398" s="231" t="s">
        <v>5864</v>
      </c>
      <c r="M398" s="194"/>
      <c r="N398" s="1167">
        <f t="shared" si="48"/>
        <v>0</v>
      </c>
      <c r="O398" s="1031" t="str">
        <f t="shared" ref="O398:P400" si="50">C398</f>
        <v>نصب نوار آبگیر خارجی درب عقب راست</v>
      </c>
      <c r="P398" s="1032" t="str">
        <f t="shared" si="50"/>
        <v>SX5-6207-2</v>
      </c>
      <c r="Q398" s="586" t="str">
        <f t="shared" si="47"/>
        <v>SX5-6207060A</v>
      </c>
      <c r="R398" s="585" t="str">
        <f t="shared" si="49"/>
        <v>نوار آبگیر خارجی درب عقب راست</v>
      </c>
      <c r="S398" s="586">
        <f t="shared" si="49"/>
        <v>1</v>
      </c>
      <c r="T398" s="589"/>
      <c r="U398" s="589"/>
      <c r="V398" s="589"/>
      <c r="W398" s="589"/>
      <c r="X398" s="590"/>
      <c r="Y398" s="590"/>
      <c r="Z398" s="589"/>
      <c r="AA398" s="724"/>
    </row>
    <row r="399" spans="1:27" ht="38.25" customHeight="1" thickBot="1">
      <c r="A399" s="1167"/>
      <c r="B399" s="1034" t="s">
        <v>2169</v>
      </c>
      <c r="C399" s="1036" t="s">
        <v>2196</v>
      </c>
      <c r="D399" s="1033" t="s">
        <v>489</v>
      </c>
      <c r="E399" s="1035"/>
      <c r="F399" s="1038">
        <v>0.69</v>
      </c>
      <c r="G399" s="952" t="s">
        <v>0</v>
      </c>
      <c r="H399" s="278" t="s">
        <v>2195</v>
      </c>
      <c r="I399" s="278"/>
      <c r="J399" s="230" t="s">
        <v>2194</v>
      </c>
      <c r="K399" s="952">
        <v>1</v>
      </c>
      <c r="L399" s="231" t="s">
        <v>5865</v>
      </c>
      <c r="M399" s="194"/>
      <c r="N399" s="1167">
        <f t="shared" si="48"/>
        <v>0</v>
      </c>
      <c r="O399" s="1031" t="str">
        <f t="shared" si="50"/>
        <v>نصب نوار آبگیر خارجی درب جلو راست</v>
      </c>
      <c r="P399" s="1032" t="str">
        <f t="shared" si="50"/>
        <v>SX5-6107-1</v>
      </c>
      <c r="Q399" s="609" t="str">
        <f t="shared" si="47"/>
        <v>SX5-6107060A</v>
      </c>
      <c r="R399" s="585" t="str">
        <f t="shared" si="49"/>
        <v>نوار آبگیر خارجی درب جلو راست</v>
      </c>
      <c r="S399" s="586">
        <f t="shared" si="49"/>
        <v>1</v>
      </c>
      <c r="T399" s="589"/>
      <c r="U399" s="589"/>
      <c r="V399" s="589"/>
      <c r="W399" s="589"/>
      <c r="X399" s="590"/>
      <c r="Y399" s="590"/>
      <c r="Z399" s="589"/>
      <c r="AA399" s="724"/>
    </row>
    <row r="400" spans="1:27" ht="36" customHeight="1">
      <c r="A400" s="1166" t="s">
        <v>2193</v>
      </c>
      <c r="B400" s="1222" t="s">
        <v>2169</v>
      </c>
      <c r="C400" s="1169" t="s">
        <v>2192</v>
      </c>
      <c r="D400" s="1142" t="s">
        <v>476</v>
      </c>
      <c r="E400" s="1221"/>
      <c r="F400" s="1283">
        <v>0.95</v>
      </c>
      <c r="G400" s="997" t="s">
        <v>0</v>
      </c>
      <c r="H400" s="997" t="s">
        <v>477</v>
      </c>
      <c r="I400" s="997"/>
      <c r="J400" s="221" t="s">
        <v>2191</v>
      </c>
      <c r="K400" s="997">
        <v>1</v>
      </c>
      <c r="L400" s="222" t="s">
        <v>5807</v>
      </c>
      <c r="M400" s="194"/>
      <c r="N400" s="1166" t="str">
        <f t="shared" si="48"/>
        <v>P33</v>
      </c>
      <c r="O400" s="1169" t="str">
        <f t="shared" si="50"/>
        <v>نصب قاب مثلثی درب عقب چپ</v>
      </c>
      <c r="P400" s="1142" t="str">
        <f t="shared" si="50"/>
        <v>SX7A-6203-1</v>
      </c>
      <c r="Q400" s="225" t="str">
        <f t="shared" si="47"/>
        <v>SX7-6203351</v>
      </c>
      <c r="R400" s="224" t="str">
        <f t="shared" si="49"/>
        <v>قاب تزئینی مثلثی درب عقب چپ</v>
      </c>
      <c r="S400" s="225">
        <f t="shared" si="49"/>
        <v>1</v>
      </c>
      <c r="T400" s="226"/>
      <c r="U400" s="226"/>
      <c r="V400" s="226"/>
      <c r="W400" s="226"/>
      <c r="X400" s="227"/>
      <c r="Y400" s="227"/>
      <c r="Z400" s="226"/>
      <c r="AA400" s="228"/>
    </row>
    <row r="401" spans="1:27" ht="36" customHeight="1">
      <c r="A401" s="1167"/>
      <c r="B401" s="1151"/>
      <c r="C401" s="1154" t="s">
        <v>1248</v>
      </c>
      <c r="D401" s="1209"/>
      <c r="E401" s="1126"/>
      <c r="F401" s="1223"/>
      <c r="G401" s="952" t="s">
        <v>1</v>
      </c>
      <c r="H401" s="952" t="s">
        <v>479</v>
      </c>
      <c r="I401" s="952"/>
      <c r="J401" s="230" t="s">
        <v>1249</v>
      </c>
      <c r="K401" s="952">
        <v>2</v>
      </c>
      <c r="L401" s="231" t="s">
        <v>5862</v>
      </c>
      <c r="M401" s="194"/>
      <c r="N401" s="1167">
        <f t="shared" si="48"/>
        <v>0</v>
      </c>
      <c r="O401" s="1116"/>
      <c r="P401" s="1117"/>
      <c r="Q401" s="586" t="str">
        <f t="shared" si="47"/>
        <v>BS3-6203359</v>
      </c>
      <c r="R401" s="585" t="str">
        <f t="shared" si="49"/>
        <v>پیچ چهارسو</v>
      </c>
      <c r="S401" s="586">
        <f t="shared" si="49"/>
        <v>2</v>
      </c>
      <c r="T401" s="614">
        <v>2.5</v>
      </c>
      <c r="U401" s="614">
        <v>3</v>
      </c>
      <c r="V401" s="614">
        <v>3.5</v>
      </c>
      <c r="W401" s="615" t="s">
        <v>5461</v>
      </c>
      <c r="X401" s="614" t="s">
        <v>5451</v>
      </c>
      <c r="Y401" s="614" t="s">
        <v>5550</v>
      </c>
      <c r="Z401" s="589"/>
      <c r="AA401" s="724"/>
    </row>
    <row r="402" spans="1:27" ht="36" customHeight="1">
      <c r="A402" s="1167"/>
      <c r="B402" s="1151"/>
      <c r="C402" s="1154" t="s">
        <v>1248</v>
      </c>
      <c r="D402" s="1209"/>
      <c r="E402" s="1126"/>
      <c r="F402" s="1223"/>
      <c r="G402" s="952" t="s">
        <v>2</v>
      </c>
      <c r="H402" s="952" t="s">
        <v>1504</v>
      </c>
      <c r="I402" s="952"/>
      <c r="J402" s="230" t="s">
        <v>1503</v>
      </c>
      <c r="K402" s="952">
        <v>1</v>
      </c>
      <c r="L402" s="231" t="s">
        <v>5861</v>
      </c>
      <c r="M402" s="194"/>
      <c r="N402" s="1167">
        <f t="shared" si="48"/>
        <v>0</v>
      </c>
      <c r="O402" s="1116"/>
      <c r="P402" s="1117"/>
      <c r="Q402" s="586" t="str">
        <f t="shared" si="47"/>
        <v>MS100221S</v>
      </c>
      <c r="R402" s="585" t="str">
        <f t="shared" si="49"/>
        <v xml:space="preserve">پیچ فلنجی شش گوش </v>
      </c>
      <c r="S402" s="586">
        <f t="shared" si="49"/>
        <v>1</v>
      </c>
      <c r="T402" s="614">
        <v>4.5</v>
      </c>
      <c r="U402" s="614">
        <v>5</v>
      </c>
      <c r="V402" s="614">
        <v>5.5</v>
      </c>
      <c r="W402" s="615" t="s">
        <v>5431</v>
      </c>
      <c r="X402" s="614" t="s">
        <v>5432</v>
      </c>
      <c r="Y402" s="614" t="s">
        <v>5550</v>
      </c>
      <c r="Z402" s="589"/>
      <c r="AA402" s="724"/>
    </row>
    <row r="403" spans="1:27" ht="36" customHeight="1">
      <c r="A403" s="1167"/>
      <c r="B403" s="1151" t="s">
        <v>2169</v>
      </c>
      <c r="C403" s="1154" t="s">
        <v>2190</v>
      </c>
      <c r="D403" s="1209" t="s">
        <v>456</v>
      </c>
      <c r="E403" s="1126"/>
      <c r="F403" s="1223">
        <v>0.87</v>
      </c>
      <c r="G403" s="952" t="s">
        <v>0</v>
      </c>
      <c r="H403" s="952" t="s">
        <v>457</v>
      </c>
      <c r="I403" s="952" t="s">
        <v>6198</v>
      </c>
      <c r="J403" s="230" t="s">
        <v>2189</v>
      </c>
      <c r="K403" s="952">
        <v>1</v>
      </c>
      <c r="L403" s="231" t="s">
        <v>5852</v>
      </c>
      <c r="M403" s="194"/>
      <c r="N403" s="1167">
        <f t="shared" si="48"/>
        <v>0</v>
      </c>
      <c r="O403" s="1116" t="str">
        <f>C403</f>
        <v>مونتاژ شیشه درب جلو چپ</v>
      </c>
      <c r="P403" s="1117" t="str">
        <f>D403</f>
        <v>SX5-6103-1</v>
      </c>
      <c r="Q403" s="586" t="str">
        <f t="shared" si="47"/>
        <v>SX5-6103031B</v>
      </c>
      <c r="R403" s="585" t="str">
        <f t="shared" si="49"/>
        <v>مجموعه شیشه درب جلو چپ</v>
      </c>
      <c r="S403" s="586">
        <f t="shared" si="49"/>
        <v>1</v>
      </c>
      <c r="T403" s="589"/>
      <c r="U403" s="589"/>
      <c r="V403" s="589"/>
      <c r="W403" s="589"/>
      <c r="X403" s="590"/>
      <c r="Y403" s="590"/>
      <c r="Z403" s="589"/>
      <c r="AA403" s="724"/>
    </row>
    <row r="404" spans="1:27" ht="36" customHeight="1">
      <c r="A404" s="1167"/>
      <c r="B404" s="1151"/>
      <c r="C404" s="1154" t="s">
        <v>1248</v>
      </c>
      <c r="D404" s="1209"/>
      <c r="E404" s="1126"/>
      <c r="F404" s="1223"/>
      <c r="G404" s="952" t="s">
        <v>1</v>
      </c>
      <c r="H404" s="952" t="s">
        <v>1504</v>
      </c>
      <c r="I404" s="952"/>
      <c r="J404" s="230" t="s">
        <v>1503</v>
      </c>
      <c r="K404" s="952">
        <v>2</v>
      </c>
      <c r="L404" s="231" t="s">
        <v>5861</v>
      </c>
      <c r="M404" s="194"/>
      <c r="N404" s="1167">
        <f t="shared" ref="N404:N474" si="51">A404</f>
        <v>0</v>
      </c>
      <c r="O404" s="1116"/>
      <c r="P404" s="1117"/>
      <c r="Q404" s="586" t="str">
        <f t="shared" si="47"/>
        <v>MS100221S</v>
      </c>
      <c r="R404" s="585" t="str">
        <f t="shared" si="49"/>
        <v xml:space="preserve">پیچ فلنجی شش گوش </v>
      </c>
      <c r="S404" s="586">
        <f t="shared" si="49"/>
        <v>2</v>
      </c>
      <c r="T404" s="614">
        <v>8</v>
      </c>
      <c r="U404" s="614">
        <v>9</v>
      </c>
      <c r="V404" s="614" t="s">
        <v>5549</v>
      </c>
      <c r="W404" s="615" t="s">
        <v>5431</v>
      </c>
      <c r="X404" s="614" t="s">
        <v>5432</v>
      </c>
      <c r="Y404" s="614" t="s">
        <v>5551</v>
      </c>
      <c r="Z404" s="589"/>
      <c r="AA404" s="724"/>
    </row>
    <row r="405" spans="1:27" ht="36" customHeight="1">
      <c r="A405" s="1167"/>
      <c r="B405" s="1151" t="s">
        <v>2169</v>
      </c>
      <c r="C405" s="1154" t="s">
        <v>2188</v>
      </c>
      <c r="D405" s="1209" t="s">
        <v>461</v>
      </c>
      <c r="E405" s="1126"/>
      <c r="F405" s="1223">
        <v>0.98</v>
      </c>
      <c r="G405" s="952" t="s">
        <v>0</v>
      </c>
      <c r="H405" s="952" t="s">
        <v>462</v>
      </c>
      <c r="I405" s="952" t="s">
        <v>5181</v>
      </c>
      <c r="J405" s="230" t="s">
        <v>2187</v>
      </c>
      <c r="K405" s="952">
        <v>1</v>
      </c>
      <c r="L405" s="231" t="s">
        <v>5850</v>
      </c>
      <c r="M405" s="194"/>
      <c r="N405" s="1167">
        <f t="shared" si="51"/>
        <v>0</v>
      </c>
      <c r="O405" s="1116" t="str">
        <f>C405</f>
        <v>مونتاژ شیشه درب عقب چپ</v>
      </c>
      <c r="P405" s="1117" t="str">
        <f>D405</f>
        <v>SX5-6203-3</v>
      </c>
      <c r="Q405" s="586" t="str">
        <f t="shared" ref="Q405:Q476" si="52">H405</f>
        <v>SX5-6203021B</v>
      </c>
      <c r="R405" s="585" t="str">
        <f t="shared" si="49"/>
        <v>مجموعه شیشه درب عقب چپ</v>
      </c>
      <c r="S405" s="586">
        <f t="shared" si="49"/>
        <v>1</v>
      </c>
      <c r="T405" s="589"/>
      <c r="U405" s="589"/>
      <c r="V405" s="589"/>
      <c r="W405" s="589"/>
      <c r="X405" s="590"/>
      <c r="Y405" s="590"/>
      <c r="Z405" s="589"/>
      <c r="AA405" s="724"/>
    </row>
    <row r="406" spans="1:27" ht="36" customHeight="1">
      <c r="A406" s="1167"/>
      <c r="B406" s="1151"/>
      <c r="C406" s="1154" t="s">
        <v>1248</v>
      </c>
      <c r="D406" s="1209"/>
      <c r="E406" s="1126"/>
      <c r="F406" s="1223"/>
      <c r="G406" s="952" t="s">
        <v>1</v>
      </c>
      <c r="H406" s="952" t="s">
        <v>1504</v>
      </c>
      <c r="I406" s="952"/>
      <c r="J406" s="230" t="s">
        <v>1503</v>
      </c>
      <c r="K406" s="952">
        <v>2</v>
      </c>
      <c r="L406" s="231" t="s">
        <v>5861</v>
      </c>
      <c r="M406" s="194"/>
      <c r="N406" s="1167">
        <f t="shared" si="51"/>
        <v>0</v>
      </c>
      <c r="O406" s="1116"/>
      <c r="P406" s="1117"/>
      <c r="Q406" s="586" t="str">
        <f t="shared" si="52"/>
        <v>MS100221S</v>
      </c>
      <c r="R406" s="585" t="str">
        <f t="shared" si="49"/>
        <v xml:space="preserve">پیچ فلنجی شش گوش </v>
      </c>
      <c r="S406" s="586">
        <f t="shared" si="49"/>
        <v>2</v>
      </c>
      <c r="T406" s="614">
        <v>8</v>
      </c>
      <c r="U406" s="614">
        <v>9</v>
      </c>
      <c r="V406" s="614" t="s">
        <v>5549</v>
      </c>
      <c r="W406" s="615" t="s">
        <v>5431</v>
      </c>
      <c r="X406" s="614" t="s">
        <v>5432</v>
      </c>
      <c r="Y406" s="614" t="s">
        <v>5551</v>
      </c>
      <c r="Z406" s="589"/>
      <c r="AA406" s="724"/>
    </row>
    <row r="407" spans="1:27" ht="36" customHeight="1">
      <c r="A407" s="1167"/>
      <c r="B407" s="1151" t="s">
        <v>2169</v>
      </c>
      <c r="C407" s="1154" t="s">
        <v>2186</v>
      </c>
      <c r="D407" s="1209" t="s">
        <v>470</v>
      </c>
      <c r="E407" s="1126"/>
      <c r="F407" s="1223">
        <v>1.45</v>
      </c>
      <c r="G407" s="952" t="s">
        <v>0</v>
      </c>
      <c r="H407" s="952" t="s">
        <v>471</v>
      </c>
      <c r="I407" s="952"/>
      <c r="J407" s="230" t="s">
        <v>2185</v>
      </c>
      <c r="K407" s="952">
        <v>1</v>
      </c>
      <c r="L407" s="231" t="s">
        <v>5807</v>
      </c>
      <c r="M407" s="194"/>
      <c r="N407" s="1167">
        <f t="shared" si="51"/>
        <v>0</v>
      </c>
      <c r="O407" s="1116" t="str">
        <f>C407</f>
        <v>نصب بالابر شیشه درب جلو چپ</v>
      </c>
      <c r="P407" s="1117" t="str">
        <f>D407</f>
        <v>SX5-6104-1</v>
      </c>
      <c r="Q407" s="586" t="str">
        <f t="shared" si="52"/>
        <v>SX5-6104011B</v>
      </c>
      <c r="R407" s="585" t="str">
        <f t="shared" si="49"/>
        <v>مجموعه بالابر شیشه درب جلو چپ</v>
      </c>
      <c r="S407" s="586">
        <f t="shared" si="49"/>
        <v>1</v>
      </c>
      <c r="T407" s="589"/>
      <c r="U407" s="589"/>
      <c r="V407" s="589"/>
      <c r="W407" s="589"/>
      <c r="X407" s="590"/>
      <c r="Y407" s="590"/>
      <c r="Z407" s="589"/>
      <c r="AA407" s="724"/>
    </row>
    <row r="408" spans="1:27" ht="36" customHeight="1">
      <c r="A408" s="1167"/>
      <c r="B408" s="1151"/>
      <c r="C408" s="1154" t="s">
        <v>1248</v>
      </c>
      <c r="D408" s="1209"/>
      <c r="E408" s="1126"/>
      <c r="F408" s="1223"/>
      <c r="G408" s="952" t="s">
        <v>1</v>
      </c>
      <c r="H408" s="952" t="s">
        <v>1504</v>
      </c>
      <c r="I408" s="952"/>
      <c r="J408" s="230" t="s">
        <v>1503</v>
      </c>
      <c r="K408" s="952">
        <v>5</v>
      </c>
      <c r="L408" s="231" t="s">
        <v>5861</v>
      </c>
      <c r="M408" s="194"/>
      <c r="N408" s="1167">
        <f t="shared" si="51"/>
        <v>0</v>
      </c>
      <c r="O408" s="1116"/>
      <c r="P408" s="1117"/>
      <c r="Q408" s="586" t="str">
        <f t="shared" si="52"/>
        <v>MS100221S</v>
      </c>
      <c r="R408" s="585" t="str">
        <f t="shared" si="49"/>
        <v xml:space="preserve">پیچ فلنجی شش گوش </v>
      </c>
      <c r="S408" s="586">
        <f t="shared" si="49"/>
        <v>5</v>
      </c>
      <c r="T408" s="614">
        <v>8</v>
      </c>
      <c r="U408" s="614">
        <v>9</v>
      </c>
      <c r="V408" s="614" t="s">
        <v>5549</v>
      </c>
      <c r="W408" s="615" t="s">
        <v>5431</v>
      </c>
      <c r="X408" s="614" t="s">
        <v>5432</v>
      </c>
      <c r="Y408" s="614" t="s">
        <v>5551</v>
      </c>
      <c r="Z408" s="589"/>
      <c r="AA408" s="724"/>
    </row>
    <row r="409" spans="1:27" ht="36" customHeight="1">
      <c r="A409" s="1167"/>
      <c r="B409" s="1151" t="s">
        <v>2169</v>
      </c>
      <c r="C409" s="1154" t="s">
        <v>2184</v>
      </c>
      <c r="D409" s="1209" t="s">
        <v>480</v>
      </c>
      <c r="E409" s="1126"/>
      <c r="F409" s="1223">
        <v>1.37</v>
      </c>
      <c r="G409" s="952" t="s">
        <v>0</v>
      </c>
      <c r="H409" s="952" t="s">
        <v>481</v>
      </c>
      <c r="I409" s="952"/>
      <c r="J409" s="230" t="s">
        <v>2183</v>
      </c>
      <c r="K409" s="952">
        <v>1</v>
      </c>
      <c r="L409" s="231" t="s">
        <v>5807</v>
      </c>
      <c r="M409" s="194"/>
      <c r="N409" s="1167">
        <f t="shared" si="51"/>
        <v>0</v>
      </c>
      <c r="O409" s="1116" t="str">
        <f>C409</f>
        <v>نصب بالابر شیشه درب عقب چپ</v>
      </c>
      <c r="P409" s="1117" t="str">
        <f>D409</f>
        <v>SX5-6204-1</v>
      </c>
      <c r="Q409" s="586" t="str">
        <f t="shared" si="52"/>
        <v>SX5-6204011B</v>
      </c>
      <c r="R409" s="585" t="str">
        <f t="shared" si="49"/>
        <v>مجموعه بالابر شیشه درب عقب چپ</v>
      </c>
      <c r="S409" s="586">
        <f t="shared" si="49"/>
        <v>1</v>
      </c>
      <c r="T409" s="589"/>
      <c r="U409" s="589"/>
      <c r="V409" s="589"/>
      <c r="W409" s="589"/>
      <c r="X409" s="590"/>
      <c r="Y409" s="590"/>
      <c r="Z409" s="589"/>
      <c r="AA409" s="724"/>
    </row>
    <row r="410" spans="1:27" ht="36" customHeight="1">
      <c r="A410" s="1167"/>
      <c r="B410" s="1151"/>
      <c r="C410" s="1154" t="s">
        <v>1248</v>
      </c>
      <c r="D410" s="1209"/>
      <c r="E410" s="1126"/>
      <c r="F410" s="1223"/>
      <c r="G410" s="952" t="s">
        <v>1</v>
      </c>
      <c r="H410" s="952" t="s">
        <v>1504</v>
      </c>
      <c r="I410" s="952"/>
      <c r="J410" s="230" t="s">
        <v>1503</v>
      </c>
      <c r="K410" s="952">
        <v>5</v>
      </c>
      <c r="L410" s="231" t="s">
        <v>5861</v>
      </c>
      <c r="M410" s="194"/>
      <c r="N410" s="1167">
        <f t="shared" si="51"/>
        <v>0</v>
      </c>
      <c r="O410" s="1116"/>
      <c r="P410" s="1117"/>
      <c r="Q410" s="586" t="str">
        <f t="shared" si="52"/>
        <v>MS100221S</v>
      </c>
      <c r="R410" s="585" t="str">
        <f t="shared" si="49"/>
        <v xml:space="preserve">پیچ فلنجی شش گوش </v>
      </c>
      <c r="S410" s="586">
        <f t="shared" si="49"/>
        <v>5</v>
      </c>
      <c r="T410" s="614">
        <v>8</v>
      </c>
      <c r="U410" s="614">
        <v>9</v>
      </c>
      <c r="V410" s="614" t="s">
        <v>5549</v>
      </c>
      <c r="W410" s="615" t="s">
        <v>5431</v>
      </c>
      <c r="X410" s="614" t="s">
        <v>5432</v>
      </c>
      <c r="Y410" s="614" t="s">
        <v>5551</v>
      </c>
      <c r="Z410" s="589"/>
      <c r="AA410" s="724"/>
    </row>
    <row r="411" spans="1:27" ht="36" customHeight="1">
      <c r="A411" s="1167"/>
      <c r="B411" s="935" t="s">
        <v>2169</v>
      </c>
      <c r="C411" s="982" t="s">
        <v>2182</v>
      </c>
      <c r="D411" s="995" t="s">
        <v>2181</v>
      </c>
      <c r="E411" s="939" t="s">
        <v>37</v>
      </c>
      <c r="F411" s="951">
        <v>0.37925000000000003</v>
      </c>
      <c r="G411" s="952"/>
      <c r="H411" s="292" t="s">
        <v>1464</v>
      </c>
      <c r="I411" s="292"/>
      <c r="J411" s="291" t="s">
        <v>1828</v>
      </c>
      <c r="K411" s="952"/>
      <c r="L411" s="299"/>
      <c r="M411" s="194"/>
      <c r="N411" s="1167">
        <f t="shared" si="51"/>
        <v>0</v>
      </c>
      <c r="O411" s="964" t="str">
        <f>C411</f>
        <v xml:space="preserve">تست شیشه بالابر درب های سمت چپ </v>
      </c>
      <c r="P411" s="965" t="str">
        <f>D411</f>
        <v>SX5-6204-4</v>
      </c>
      <c r="Q411" s="611" t="str">
        <f t="shared" si="52"/>
        <v>---------</v>
      </c>
      <c r="R411" s="610" t="str">
        <f t="shared" si="49"/>
        <v>----------</v>
      </c>
      <c r="S411" s="586">
        <f t="shared" si="49"/>
        <v>0</v>
      </c>
      <c r="T411" s="589"/>
      <c r="U411" s="589"/>
      <c r="V411" s="589"/>
      <c r="W411" s="589"/>
      <c r="X411" s="590"/>
      <c r="Y411" s="590"/>
      <c r="Z411" s="589"/>
      <c r="AA411" s="724"/>
    </row>
    <row r="412" spans="1:27" ht="36" customHeight="1">
      <c r="A412" s="1167"/>
      <c r="B412" s="1151" t="s">
        <v>2169</v>
      </c>
      <c r="C412" s="1154" t="s">
        <v>2180</v>
      </c>
      <c r="D412" s="1209" t="s">
        <v>473</v>
      </c>
      <c r="E412" s="1126"/>
      <c r="F412" s="1223">
        <v>0.71</v>
      </c>
      <c r="G412" s="952" t="s">
        <v>0</v>
      </c>
      <c r="H412" s="952" t="s">
        <v>474</v>
      </c>
      <c r="I412" s="952"/>
      <c r="J412" s="230" t="s">
        <v>2179</v>
      </c>
      <c r="K412" s="952">
        <v>1</v>
      </c>
      <c r="L412" s="231" t="s">
        <v>5858</v>
      </c>
      <c r="M412" s="194"/>
      <c r="N412" s="1167">
        <f t="shared" si="51"/>
        <v>0</v>
      </c>
      <c r="O412" s="1116" t="str">
        <f>C412</f>
        <v>نصب ریل پایین شيشه درب عقب چپ</v>
      </c>
      <c r="P412" s="1117" t="str">
        <f>D412</f>
        <v>SX5-6203-2</v>
      </c>
      <c r="Q412" s="586" t="str">
        <f t="shared" si="52"/>
        <v>SX5-6203151</v>
      </c>
      <c r="R412" s="585" t="str">
        <f t="shared" si="49"/>
        <v>ریل پایین شیشه درب عقب چپ</v>
      </c>
      <c r="S412" s="586">
        <f t="shared" si="49"/>
        <v>1</v>
      </c>
      <c r="T412" s="589"/>
      <c r="U412" s="589"/>
      <c r="V412" s="589"/>
      <c r="W412" s="589"/>
      <c r="X412" s="590"/>
      <c r="Y412" s="590"/>
      <c r="Z412" s="589"/>
      <c r="AA412" s="724"/>
    </row>
    <row r="413" spans="1:27" ht="36" customHeight="1">
      <c r="A413" s="1167"/>
      <c r="B413" s="1151"/>
      <c r="C413" s="1154" t="s">
        <v>1248</v>
      </c>
      <c r="D413" s="1209"/>
      <c r="E413" s="1126"/>
      <c r="F413" s="1223"/>
      <c r="G413" s="952" t="s">
        <v>1</v>
      </c>
      <c r="H413" s="952" t="s">
        <v>1504</v>
      </c>
      <c r="I413" s="952"/>
      <c r="J413" s="230" t="s">
        <v>1503</v>
      </c>
      <c r="K413" s="952">
        <v>1</v>
      </c>
      <c r="L413" s="231" t="s">
        <v>5861</v>
      </c>
      <c r="M413" s="194"/>
      <c r="N413" s="1167">
        <f t="shared" si="51"/>
        <v>0</v>
      </c>
      <c r="O413" s="1116"/>
      <c r="P413" s="1117"/>
      <c r="Q413" s="586" t="str">
        <f t="shared" si="52"/>
        <v>MS100221S</v>
      </c>
      <c r="R413" s="585" t="str">
        <f t="shared" si="49"/>
        <v xml:space="preserve">پیچ فلنجی شش گوش </v>
      </c>
      <c r="S413" s="586">
        <f t="shared" si="49"/>
        <v>1</v>
      </c>
      <c r="T413" s="614">
        <v>8</v>
      </c>
      <c r="U413" s="614">
        <v>9</v>
      </c>
      <c r="V413" s="614" t="s">
        <v>5549</v>
      </c>
      <c r="W413" s="615" t="s">
        <v>5431</v>
      </c>
      <c r="X413" s="614" t="s">
        <v>5432</v>
      </c>
      <c r="Y413" s="614" t="s">
        <v>5551</v>
      </c>
      <c r="Z413" s="589"/>
      <c r="AA413" s="724"/>
    </row>
    <row r="414" spans="1:27" ht="36" customHeight="1">
      <c r="A414" s="1167"/>
      <c r="B414" s="1151" t="s">
        <v>2169</v>
      </c>
      <c r="C414" s="1154" t="s">
        <v>2177</v>
      </c>
      <c r="D414" s="1209" t="s">
        <v>467</v>
      </c>
      <c r="E414" s="1126"/>
      <c r="F414" s="1151">
        <v>0.45</v>
      </c>
      <c r="G414" s="952" t="s">
        <v>0</v>
      </c>
      <c r="H414" s="952" t="s">
        <v>468</v>
      </c>
      <c r="I414" s="952"/>
      <c r="J414" s="230" t="s">
        <v>2176</v>
      </c>
      <c r="K414" s="952">
        <v>1</v>
      </c>
      <c r="L414" s="231" t="s">
        <v>5857</v>
      </c>
      <c r="M414" s="194"/>
      <c r="N414" s="1167">
        <f t="shared" si="51"/>
        <v>0</v>
      </c>
      <c r="O414" s="1116" t="str">
        <f>C414</f>
        <v>نصب ریل پایین شیشه درب جلو چپ</v>
      </c>
      <c r="P414" s="1117" t="str">
        <f>D414</f>
        <v>SX5-6103-2</v>
      </c>
      <c r="Q414" s="586" t="str">
        <f t="shared" si="52"/>
        <v>SX5-6103251</v>
      </c>
      <c r="R414" s="585" t="str">
        <f t="shared" si="49"/>
        <v>ریل پایین شیشه درب جلو چپ</v>
      </c>
      <c r="S414" s="586">
        <f t="shared" si="49"/>
        <v>1</v>
      </c>
      <c r="T414" s="589"/>
      <c r="U414" s="589"/>
      <c r="V414" s="589"/>
      <c r="W414" s="589"/>
      <c r="X414" s="590"/>
      <c r="Y414" s="590"/>
      <c r="Z414" s="589"/>
      <c r="AA414" s="724"/>
    </row>
    <row r="415" spans="1:27" ht="36" customHeight="1">
      <c r="A415" s="1167"/>
      <c r="B415" s="1151"/>
      <c r="C415" s="1154" t="s">
        <v>1248</v>
      </c>
      <c r="D415" s="1209"/>
      <c r="E415" s="1126"/>
      <c r="F415" s="1151"/>
      <c r="G415" s="952" t="s">
        <v>1</v>
      </c>
      <c r="H415" s="952" t="s">
        <v>1504</v>
      </c>
      <c r="I415" s="952"/>
      <c r="J415" s="230" t="s">
        <v>1503</v>
      </c>
      <c r="K415" s="952">
        <v>1</v>
      </c>
      <c r="L415" s="231" t="s">
        <v>5861</v>
      </c>
      <c r="M415" s="194"/>
      <c r="N415" s="1167">
        <f t="shared" si="51"/>
        <v>0</v>
      </c>
      <c r="O415" s="1116"/>
      <c r="P415" s="1117"/>
      <c r="Q415" s="586" t="str">
        <f t="shared" si="52"/>
        <v>MS100221S</v>
      </c>
      <c r="R415" s="585" t="str">
        <f t="shared" si="49"/>
        <v xml:space="preserve">پیچ فلنجی شش گوش </v>
      </c>
      <c r="S415" s="586">
        <f t="shared" si="49"/>
        <v>1</v>
      </c>
      <c r="T415" s="614">
        <v>8</v>
      </c>
      <c r="U415" s="614">
        <v>9</v>
      </c>
      <c r="V415" s="614" t="s">
        <v>5549</v>
      </c>
      <c r="W415" s="615" t="s">
        <v>5431</v>
      </c>
      <c r="X415" s="614" t="s">
        <v>5432</v>
      </c>
      <c r="Y415" s="614" t="s">
        <v>5551</v>
      </c>
      <c r="Z415" s="589"/>
      <c r="AA415" s="724"/>
    </row>
    <row r="416" spans="1:27" ht="36" customHeight="1">
      <c r="A416" s="1167"/>
      <c r="B416" s="1034" t="s">
        <v>2169</v>
      </c>
      <c r="C416" s="1036" t="s">
        <v>2175</v>
      </c>
      <c r="D416" s="1033" t="s">
        <v>496</v>
      </c>
      <c r="E416" s="1035"/>
      <c r="F416" s="1038">
        <v>0.57999999999999996</v>
      </c>
      <c r="G416" s="952" t="s">
        <v>0</v>
      </c>
      <c r="H416" s="952" t="s">
        <v>5183</v>
      </c>
      <c r="I416" s="952" t="s">
        <v>497</v>
      </c>
      <c r="J416" s="230" t="s">
        <v>2174</v>
      </c>
      <c r="K416" s="952">
        <v>1</v>
      </c>
      <c r="L416" s="231" t="s">
        <v>5867</v>
      </c>
      <c r="M416" s="194"/>
      <c r="N416" s="1167">
        <f t="shared" si="51"/>
        <v>0</v>
      </c>
      <c r="O416" s="1031" t="str">
        <f t="shared" ref="O416:P418" si="53">C416</f>
        <v>نصب نوار آبگیر خارجی درب عقب چپ</v>
      </c>
      <c r="P416" s="1032" t="str">
        <f t="shared" si="53"/>
        <v>SX5-6207-2</v>
      </c>
      <c r="Q416" s="586" t="str">
        <f t="shared" si="52"/>
        <v>SX5-6207061A</v>
      </c>
      <c r="R416" s="585" t="str">
        <f t="shared" si="49"/>
        <v>نوار آبگیر خارجی درب عقب چپ</v>
      </c>
      <c r="S416" s="586">
        <f t="shared" si="49"/>
        <v>1</v>
      </c>
      <c r="T416" s="589"/>
      <c r="U416" s="589"/>
      <c r="V416" s="589"/>
      <c r="W416" s="589"/>
      <c r="X416" s="590"/>
      <c r="Y416" s="590"/>
      <c r="Z416" s="589"/>
      <c r="AA416" s="724"/>
    </row>
    <row r="417" spans="1:27" ht="36" customHeight="1" thickBot="1">
      <c r="A417" s="1167"/>
      <c r="B417" s="1034" t="s">
        <v>2169</v>
      </c>
      <c r="C417" s="1036" t="s">
        <v>2173</v>
      </c>
      <c r="D417" s="1033" t="s">
        <v>489</v>
      </c>
      <c r="E417" s="1035"/>
      <c r="F417" s="1038">
        <v>0.59</v>
      </c>
      <c r="G417" s="952" t="s">
        <v>0</v>
      </c>
      <c r="H417" s="952" t="s">
        <v>2172</v>
      </c>
      <c r="I417" s="952"/>
      <c r="J417" s="230" t="s">
        <v>2171</v>
      </c>
      <c r="K417" s="952">
        <v>1</v>
      </c>
      <c r="L417" s="231" t="s">
        <v>5868</v>
      </c>
      <c r="M417" s="194"/>
      <c r="N417" s="1167">
        <f t="shared" si="51"/>
        <v>0</v>
      </c>
      <c r="O417" s="1031" t="str">
        <f t="shared" si="53"/>
        <v>نصب نوار آبگیر خارجی درب جلو چپ</v>
      </c>
      <c r="P417" s="1032" t="str">
        <f t="shared" si="53"/>
        <v>SX5-6107-1</v>
      </c>
      <c r="Q417" s="586" t="str">
        <f t="shared" si="52"/>
        <v>SX5-6107061A</v>
      </c>
      <c r="R417" s="585" t="str">
        <f t="shared" si="49"/>
        <v>نوار آبگیر خارجی درب جلو چپ</v>
      </c>
      <c r="S417" s="586">
        <f t="shared" si="49"/>
        <v>1</v>
      </c>
      <c r="T417" s="589"/>
      <c r="U417" s="589"/>
      <c r="V417" s="589"/>
      <c r="W417" s="589"/>
      <c r="X417" s="590"/>
      <c r="Y417" s="590"/>
      <c r="Z417" s="589"/>
      <c r="AA417" s="724"/>
    </row>
    <row r="418" spans="1:27" ht="43.5" customHeight="1">
      <c r="A418" s="1166" t="s">
        <v>2170</v>
      </c>
      <c r="B418" s="1222" t="s">
        <v>1305</v>
      </c>
      <c r="C418" s="1169" t="s">
        <v>2168</v>
      </c>
      <c r="D418" s="1142" t="s">
        <v>483</v>
      </c>
      <c r="E418" s="1288" t="s">
        <v>4973</v>
      </c>
      <c r="F418" s="1224">
        <v>0.93</v>
      </c>
      <c r="G418" s="997" t="s">
        <v>0</v>
      </c>
      <c r="H418" s="220" t="s">
        <v>5392</v>
      </c>
      <c r="I418" s="220" t="s">
        <v>485</v>
      </c>
      <c r="J418" s="221" t="s">
        <v>2167</v>
      </c>
      <c r="K418" s="997">
        <v>1</v>
      </c>
      <c r="L418" s="222" t="s">
        <v>5870</v>
      </c>
      <c r="M418" s="194"/>
      <c r="N418" s="1166" t="str">
        <f t="shared" si="51"/>
        <v>P34</v>
      </c>
      <c r="O418" s="1169" t="str">
        <f t="shared" si="53"/>
        <v>مونتاژ آینه جانبی سمت راست</v>
      </c>
      <c r="P418" s="1142" t="str">
        <f t="shared" si="53"/>
        <v>SX7A-8202-1</v>
      </c>
      <c r="Q418" s="223" t="str">
        <f t="shared" si="52"/>
        <v>SX7-8202030B3-BR</v>
      </c>
      <c r="R418" s="224" t="str">
        <f t="shared" si="49"/>
        <v>مجموعه آینه جانبی سمت شاگرد</v>
      </c>
      <c r="S418" s="225">
        <f t="shared" si="49"/>
        <v>1</v>
      </c>
      <c r="T418" s="226"/>
      <c r="U418" s="226"/>
      <c r="V418" s="226"/>
      <c r="W418" s="226"/>
      <c r="X418" s="227"/>
      <c r="Y418" s="227"/>
      <c r="Z418" s="226"/>
      <c r="AA418" s="228"/>
    </row>
    <row r="419" spans="1:27" ht="43.5" customHeight="1">
      <c r="A419" s="1167"/>
      <c r="B419" s="1151"/>
      <c r="C419" s="1154" t="s">
        <v>1248</v>
      </c>
      <c r="D419" s="1209"/>
      <c r="E419" s="1212"/>
      <c r="F419" s="1225"/>
      <c r="G419" s="952" t="s">
        <v>1</v>
      </c>
      <c r="H419" s="320" t="s">
        <v>26</v>
      </c>
      <c r="I419" s="390"/>
      <c r="J419" s="230" t="s">
        <v>1455</v>
      </c>
      <c r="K419" s="952">
        <v>3</v>
      </c>
      <c r="L419" s="231" t="s">
        <v>5862</v>
      </c>
      <c r="M419" s="194"/>
      <c r="N419" s="1167">
        <f t="shared" si="51"/>
        <v>0</v>
      </c>
      <c r="O419" s="1116"/>
      <c r="P419" s="1117"/>
      <c r="Q419" s="621" t="str">
        <f t="shared" si="52"/>
        <v>Q32006F36</v>
      </c>
      <c r="R419" s="585" t="str">
        <f t="shared" si="49"/>
        <v>مهره فلنجی</v>
      </c>
      <c r="S419" s="586">
        <f t="shared" si="49"/>
        <v>3</v>
      </c>
      <c r="T419" s="614">
        <v>3</v>
      </c>
      <c r="U419" s="614">
        <v>5</v>
      </c>
      <c r="V419" s="614">
        <v>7</v>
      </c>
      <c r="W419" s="615" t="s">
        <v>5431</v>
      </c>
      <c r="X419" s="614" t="s">
        <v>5552</v>
      </c>
      <c r="Y419" s="614" t="s">
        <v>5553</v>
      </c>
      <c r="Z419" s="589"/>
      <c r="AA419" s="724"/>
    </row>
    <row r="420" spans="1:27" ht="43.5" customHeight="1">
      <c r="A420" s="1167"/>
      <c r="B420" s="1151" t="s">
        <v>1305</v>
      </c>
      <c r="C420" s="1154" t="s">
        <v>2165</v>
      </c>
      <c r="D420" s="1209" t="s">
        <v>483</v>
      </c>
      <c r="E420" s="1212" t="s">
        <v>4973</v>
      </c>
      <c r="F420" s="1225">
        <v>0.92</v>
      </c>
      <c r="G420" s="952" t="s">
        <v>0</v>
      </c>
      <c r="H420" s="229" t="s">
        <v>5382</v>
      </c>
      <c r="I420" s="229" t="s">
        <v>484</v>
      </c>
      <c r="J420" s="230" t="s">
        <v>2164</v>
      </c>
      <c r="K420" s="952">
        <v>1</v>
      </c>
      <c r="L420" s="231" t="s">
        <v>5871</v>
      </c>
      <c r="M420" s="194"/>
      <c r="N420" s="1167">
        <f t="shared" si="51"/>
        <v>0</v>
      </c>
      <c r="O420" s="1116" t="str">
        <f>C420</f>
        <v>مونتاژ آینه جانبی سمت چپ</v>
      </c>
      <c r="P420" s="1117" t="str">
        <f>D420</f>
        <v>SX7A-8202-1</v>
      </c>
      <c r="Q420" s="584" t="s">
        <v>5382</v>
      </c>
      <c r="R420" s="585" t="str">
        <f t="shared" si="49"/>
        <v>مجموعه آینه جانبی سمت راننده</v>
      </c>
      <c r="S420" s="586">
        <f t="shared" si="49"/>
        <v>1</v>
      </c>
      <c r="T420" s="589"/>
      <c r="U420" s="589"/>
      <c r="V420" s="589"/>
      <c r="W420" s="589"/>
      <c r="X420" s="590"/>
      <c r="Y420" s="590"/>
      <c r="Z420" s="589"/>
      <c r="AA420" s="724"/>
    </row>
    <row r="421" spans="1:27" ht="43.5" customHeight="1">
      <c r="A421" s="1167"/>
      <c r="B421" s="1151"/>
      <c r="C421" s="1154" t="s">
        <v>1248</v>
      </c>
      <c r="D421" s="1209"/>
      <c r="E421" s="1212"/>
      <c r="F421" s="1225"/>
      <c r="G421" s="952" t="s">
        <v>1</v>
      </c>
      <c r="H421" s="320" t="s">
        <v>26</v>
      </c>
      <c r="I421" s="320"/>
      <c r="J421" s="230" t="s">
        <v>1455</v>
      </c>
      <c r="K421" s="952">
        <v>3</v>
      </c>
      <c r="L421" s="231" t="s">
        <v>5862</v>
      </c>
      <c r="M421" s="194"/>
      <c r="N421" s="1167">
        <f t="shared" si="51"/>
        <v>0</v>
      </c>
      <c r="O421" s="1116"/>
      <c r="P421" s="1117"/>
      <c r="Q421" s="621" t="str">
        <f t="shared" si="52"/>
        <v>Q32006F36</v>
      </c>
      <c r="R421" s="585" t="str">
        <f t="shared" si="49"/>
        <v>مهره فلنجی</v>
      </c>
      <c r="S421" s="586">
        <f t="shared" si="49"/>
        <v>3</v>
      </c>
      <c r="T421" s="614">
        <v>3</v>
      </c>
      <c r="U421" s="614">
        <v>5</v>
      </c>
      <c r="V421" s="614">
        <v>7</v>
      </c>
      <c r="W421" s="615" t="s">
        <v>5431</v>
      </c>
      <c r="X421" s="614" t="s">
        <v>5552</v>
      </c>
      <c r="Y421" s="614" t="s">
        <v>5553</v>
      </c>
      <c r="Z421" s="589"/>
      <c r="AA421" s="724"/>
    </row>
    <row r="422" spans="1:27" ht="43.5" customHeight="1">
      <c r="A422" s="1167"/>
      <c r="B422" s="1160" t="s">
        <v>1305</v>
      </c>
      <c r="C422" s="1152" t="s">
        <v>5358</v>
      </c>
      <c r="D422" s="1120" t="s">
        <v>5359</v>
      </c>
      <c r="E422" s="1163"/>
      <c r="F422" s="1289"/>
      <c r="G422" s="952" t="s">
        <v>0</v>
      </c>
      <c r="H422" s="935" t="s">
        <v>5360</v>
      </c>
      <c r="I422" s="320"/>
      <c r="J422" s="230" t="s">
        <v>5361</v>
      </c>
      <c r="K422" s="952">
        <v>1</v>
      </c>
      <c r="L422" s="231" t="s">
        <v>5872</v>
      </c>
      <c r="M422" s="194"/>
      <c r="N422" s="1167"/>
      <c r="O422" s="1116" t="s">
        <v>5358</v>
      </c>
      <c r="P422" s="1117" t="s">
        <v>5359</v>
      </c>
      <c r="Q422" s="629" t="s">
        <v>5360</v>
      </c>
      <c r="R422" s="585" t="str">
        <f t="shared" si="49"/>
        <v>مجموعه مبدل سیگنال کمربند ایمنی</v>
      </c>
      <c r="S422" s="586">
        <f t="shared" si="49"/>
        <v>1</v>
      </c>
      <c r="T422" s="614"/>
      <c r="U422" s="614"/>
      <c r="V422" s="614"/>
      <c r="W422" s="615"/>
      <c r="X422" s="614"/>
      <c r="Y422" s="614"/>
      <c r="Z422" s="589"/>
      <c r="AA422" s="724"/>
    </row>
    <row r="423" spans="1:27" ht="43.5" customHeight="1">
      <c r="A423" s="1167"/>
      <c r="B423" s="1161"/>
      <c r="C423" s="1153"/>
      <c r="D423" s="1121"/>
      <c r="E423" s="1164"/>
      <c r="F423" s="1290"/>
      <c r="G423" s="952" t="s">
        <v>1</v>
      </c>
      <c r="H423" s="935" t="s">
        <v>21</v>
      </c>
      <c r="I423" s="320"/>
      <c r="J423" s="230" t="s">
        <v>4977</v>
      </c>
      <c r="K423" s="952">
        <v>2</v>
      </c>
      <c r="L423" s="231" t="s">
        <v>5873</v>
      </c>
      <c r="M423" s="194"/>
      <c r="N423" s="1167"/>
      <c r="O423" s="1116"/>
      <c r="P423" s="1117"/>
      <c r="Q423" s="629" t="s">
        <v>21</v>
      </c>
      <c r="R423" s="585" t="str">
        <f t="shared" si="49"/>
        <v>پیچ فلنج سر شش گوش</v>
      </c>
      <c r="S423" s="586">
        <f t="shared" si="49"/>
        <v>2</v>
      </c>
      <c r="T423" s="614">
        <v>6</v>
      </c>
      <c r="U423" s="614">
        <v>7</v>
      </c>
      <c r="V423" s="614">
        <v>8</v>
      </c>
      <c r="W423" s="615"/>
      <c r="X423" s="614" t="s">
        <v>5552</v>
      </c>
      <c r="Y423" s="614" t="s">
        <v>5553</v>
      </c>
      <c r="Z423" s="589"/>
      <c r="AA423" s="724"/>
    </row>
    <row r="424" spans="1:27" ht="43.5" customHeight="1">
      <c r="A424" s="1167"/>
      <c r="B424" s="1226" t="s">
        <v>1305</v>
      </c>
      <c r="C424" s="929" t="s">
        <v>6052</v>
      </c>
      <c r="D424" s="931" t="s">
        <v>279</v>
      </c>
      <c r="E424" s="1122"/>
      <c r="F424" s="1151">
        <v>1.44</v>
      </c>
      <c r="G424" s="952" t="s">
        <v>0</v>
      </c>
      <c r="H424" s="952" t="s">
        <v>2163</v>
      </c>
      <c r="I424" s="952"/>
      <c r="J424" s="230" t="s">
        <v>2162</v>
      </c>
      <c r="K424" s="952">
        <v>1</v>
      </c>
      <c r="L424" s="231" t="s">
        <v>5874</v>
      </c>
      <c r="M424" s="194"/>
      <c r="N424" s="1167">
        <f t="shared" si="51"/>
        <v>0</v>
      </c>
      <c r="O424" s="914" t="str">
        <f t="shared" ref="O424:P431" si="54">C424</f>
        <v>نصب فوم تقویتی زیر موکت سمت راننده</v>
      </c>
      <c r="P424" s="915" t="str">
        <f t="shared" si="54"/>
        <v>SX5-5110-1</v>
      </c>
      <c r="Q424" s="586" t="str">
        <f t="shared" si="52"/>
        <v>SX5-5110711</v>
      </c>
      <c r="R424" s="585" t="str">
        <f t="shared" si="49"/>
        <v xml:space="preserve">فوم تقویتی زیر موکت - جلو چپ </v>
      </c>
      <c r="S424" s="586">
        <f t="shared" si="49"/>
        <v>1</v>
      </c>
      <c r="T424" s="589"/>
      <c r="U424" s="589"/>
      <c r="V424" s="589"/>
      <c r="W424" s="589"/>
      <c r="X424" s="590"/>
      <c r="Y424" s="590"/>
      <c r="Z424" s="589"/>
      <c r="AA424" s="724"/>
    </row>
    <row r="425" spans="1:27" ht="43.5" customHeight="1">
      <c r="A425" s="1167"/>
      <c r="B425" s="1226"/>
      <c r="C425" s="929" t="s">
        <v>6053</v>
      </c>
      <c r="D425" s="931" t="s">
        <v>281</v>
      </c>
      <c r="E425" s="1165"/>
      <c r="F425" s="1151"/>
      <c r="G425" s="952" t="s">
        <v>0</v>
      </c>
      <c r="H425" s="952" t="s">
        <v>2161</v>
      </c>
      <c r="I425" s="952"/>
      <c r="J425" s="230" t="s">
        <v>2160</v>
      </c>
      <c r="K425" s="952">
        <v>1</v>
      </c>
      <c r="L425" s="231" t="s">
        <v>5875</v>
      </c>
      <c r="M425" s="194"/>
      <c r="N425" s="1167">
        <f t="shared" si="51"/>
        <v>0</v>
      </c>
      <c r="O425" s="914" t="str">
        <f t="shared" si="54"/>
        <v>نصب فوم تقویتی زیر موکت سمت شاگرد</v>
      </c>
      <c r="P425" s="915" t="str">
        <f t="shared" si="54"/>
        <v>SX5-5110-2</v>
      </c>
      <c r="Q425" s="586" t="str">
        <f t="shared" si="52"/>
        <v>SX5-5110712</v>
      </c>
      <c r="R425" s="585" t="str">
        <f t="shared" si="49"/>
        <v>فوم تقویتی زیر موکت - جلو راست</v>
      </c>
      <c r="S425" s="586">
        <f t="shared" si="49"/>
        <v>1</v>
      </c>
      <c r="T425" s="589"/>
      <c r="U425" s="589"/>
      <c r="V425" s="589"/>
      <c r="W425" s="589"/>
      <c r="X425" s="590"/>
      <c r="Y425" s="590"/>
      <c r="Z425" s="589"/>
      <c r="AA425" s="724"/>
    </row>
    <row r="426" spans="1:27" ht="43.5" customHeight="1">
      <c r="A426" s="1167"/>
      <c r="B426" s="1226"/>
      <c r="C426" s="929" t="s">
        <v>6054</v>
      </c>
      <c r="D426" s="931" t="s">
        <v>283</v>
      </c>
      <c r="E426" s="1165"/>
      <c r="F426" s="1151"/>
      <c r="G426" s="952" t="s">
        <v>0</v>
      </c>
      <c r="H426" s="952" t="s">
        <v>2159</v>
      </c>
      <c r="I426" s="952"/>
      <c r="J426" s="230" t="s">
        <v>2158</v>
      </c>
      <c r="K426" s="952">
        <v>1</v>
      </c>
      <c r="L426" s="231" t="s">
        <v>5874</v>
      </c>
      <c r="M426" s="194"/>
      <c r="N426" s="1167">
        <f t="shared" si="51"/>
        <v>0</v>
      </c>
      <c r="O426" s="914" t="str">
        <f t="shared" si="54"/>
        <v>نصب فوم تقویتی زیر موکت وسط چپ</v>
      </c>
      <c r="P426" s="915" t="str">
        <f t="shared" si="54"/>
        <v>SX5-5110-5</v>
      </c>
      <c r="Q426" s="586" t="str">
        <f t="shared" si="52"/>
        <v>SX5-5110715</v>
      </c>
      <c r="R426" s="585" t="str">
        <f t="shared" si="49"/>
        <v>فوم تقویتی زیر موکت - وسط چپ</v>
      </c>
      <c r="S426" s="586">
        <f t="shared" si="49"/>
        <v>1</v>
      </c>
      <c r="T426" s="589"/>
      <c r="U426" s="589"/>
      <c r="V426" s="589"/>
      <c r="W426" s="589"/>
      <c r="X426" s="590"/>
      <c r="Y426" s="590"/>
      <c r="Z426" s="589"/>
      <c r="AA426" s="724"/>
    </row>
    <row r="427" spans="1:27" ht="43.5" customHeight="1">
      <c r="A427" s="1167"/>
      <c r="B427" s="1226"/>
      <c r="C427" s="929" t="s">
        <v>6055</v>
      </c>
      <c r="D427" s="931" t="s">
        <v>285</v>
      </c>
      <c r="E427" s="1165"/>
      <c r="F427" s="1151"/>
      <c r="G427" s="952" t="s">
        <v>0</v>
      </c>
      <c r="H427" s="952" t="s">
        <v>2157</v>
      </c>
      <c r="I427" s="952"/>
      <c r="J427" s="230" t="s">
        <v>2156</v>
      </c>
      <c r="K427" s="952">
        <v>1</v>
      </c>
      <c r="L427" s="231" t="s">
        <v>5875</v>
      </c>
      <c r="M427" s="194"/>
      <c r="N427" s="1167">
        <f t="shared" si="51"/>
        <v>0</v>
      </c>
      <c r="O427" s="914" t="str">
        <f t="shared" si="54"/>
        <v>نصب فوم تقویتی زیر موکت وسط راست</v>
      </c>
      <c r="P427" s="915" t="str">
        <f t="shared" si="54"/>
        <v>SX5-5110-6</v>
      </c>
      <c r="Q427" s="586" t="str">
        <f t="shared" si="52"/>
        <v>SX5-5110716</v>
      </c>
      <c r="R427" s="585" t="str">
        <f t="shared" si="49"/>
        <v>فوم تقویتی زیر موکت - وسط راست</v>
      </c>
      <c r="S427" s="586">
        <f t="shared" si="49"/>
        <v>1</v>
      </c>
      <c r="T427" s="589"/>
      <c r="U427" s="589"/>
      <c r="V427" s="589"/>
      <c r="W427" s="589"/>
      <c r="X427" s="590"/>
      <c r="Y427" s="590"/>
      <c r="Z427" s="589"/>
      <c r="AA427" s="724"/>
    </row>
    <row r="428" spans="1:27" ht="43.5" customHeight="1">
      <c r="A428" s="1167"/>
      <c r="B428" s="1226"/>
      <c r="C428" s="929" t="s">
        <v>5780</v>
      </c>
      <c r="D428" s="931" t="s">
        <v>354</v>
      </c>
      <c r="E428" s="1165"/>
      <c r="F428" s="1151"/>
      <c r="G428" s="952" t="s">
        <v>0</v>
      </c>
      <c r="H428" s="952" t="s">
        <v>5208</v>
      </c>
      <c r="I428" s="993" t="s">
        <v>355</v>
      </c>
      <c r="J428" s="230" t="s">
        <v>2155</v>
      </c>
      <c r="K428" s="952">
        <v>1</v>
      </c>
      <c r="L428" s="231" t="s">
        <v>5874</v>
      </c>
      <c r="M428" s="194"/>
      <c r="N428" s="1167">
        <f t="shared" si="51"/>
        <v>0</v>
      </c>
      <c r="O428" s="914" t="str">
        <f t="shared" si="54"/>
        <v>نصب فوم تقویتی زیر موکت عقب چپ</v>
      </c>
      <c r="P428" s="915" t="str">
        <f t="shared" si="54"/>
        <v>SX5-5110-7</v>
      </c>
      <c r="Q428" s="586" t="str">
        <f t="shared" si="52"/>
        <v>SX5F-5110717B</v>
      </c>
      <c r="R428" s="585" t="str">
        <f t="shared" si="49"/>
        <v>فوم تقویتی زیر موکت عقب - چپ</v>
      </c>
      <c r="S428" s="586">
        <f t="shared" si="49"/>
        <v>1</v>
      </c>
      <c r="T428" s="589"/>
      <c r="U428" s="589"/>
      <c r="V428" s="589"/>
      <c r="W428" s="589"/>
      <c r="X428" s="590"/>
      <c r="Y428" s="590"/>
      <c r="Z428" s="589"/>
      <c r="AA428" s="724"/>
    </row>
    <row r="429" spans="1:27" ht="43.5" customHeight="1">
      <c r="A429" s="1167"/>
      <c r="B429" s="1226"/>
      <c r="C429" s="929" t="s">
        <v>5781</v>
      </c>
      <c r="D429" s="931" t="s">
        <v>356</v>
      </c>
      <c r="E429" s="1123"/>
      <c r="F429" s="1151"/>
      <c r="G429" s="952" t="s">
        <v>0</v>
      </c>
      <c r="H429" s="952" t="s">
        <v>5209</v>
      </c>
      <c r="I429" s="952" t="s">
        <v>357</v>
      </c>
      <c r="J429" s="230" t="s">
        <v>2154</v>
      </c>
      <c r="K429" s="952">
        <v>1</v>
      </c>
      <c r="L429" s="231" t="s">
        <v>5875</v>
      </c>
      <c r="M429" s="194"/>
      <c r="N429" s="1167">
        <f t="shared" si="51"/>
        <v>0</v>
      </c>
      <c r="O429" s="914" t="str">
        <f t="shared" si="54"/>
        <v>نصب فوم تقویتی زیر موکت عقب راست</v>
      </c>
      <c r="P429" s="915" t="str">
        <f t="shared" si="54"/>
        <v>SX5-5110-8</v>
      </c>
      <c r="Q429" s="586" t="str">
        <f t="shared" si="52"/>
        <v>SX5F-5110718B</v>
      </c>
      <c r="R429" s="585" t="str">
        <f t="shared" si="49"/>
        <v>فوم تقویتی زیر موکت عقب - راست</v>
      </c>
      <c r="S429" s="586">
        <f t="shared" si="49"/>
        <v>1</v>
      </c>
      <c r="T429" s="589"/>
      <c r="U429" s="589"/>
      <c r="V429" s="589"/>
      <c r="W429" s="589"/>
      <c r="X429" s="590"/>
      <c r="Y429" s="590"/>
      <c r="Z429" s="589"/>
      <c r="AA429" s="724"/>
    </row>
    <row r="430" spans="1:27" ht="43.5" customHeight="1">
      <c r="A430" s="1167"/>
      <c r="B430" s="933" t="s">
        <v>1305</v>
      </c>
      <c r="C430" s="929" t="s">
        <v>2153</v>
      </c>
      <c r="D430" s="931" t="s">
        <v>274</v>
      </c>
      <c r="E430" s="939"/>
      <c r="F430" s="935">
        <v>0.85</v>
      </c>
      <c r="G430" s="952" t="s">
        <v>0</v>
      </c>
      <c r="H430" s="354" t="s">
        <v>2152</v>
      </c>
      <c r="I430" s="354"/>
      <c r="J430" s="230" t="s">
        <v>2151</v>
      </c>
      <c r="K430" s="952">
        <v>1</v>
      </c>
      <c r="L430" s="231" t="s">
        <v>5876</v>
      </c>
      <c r="M430" s="194"/>
      <c r="N430" s="1167">
        <f t="shared" si="51"/>
        <v>0</v>
      </c>
      <c r="O430" s="914" t="str">
        <f t="shared" si="54"/>
        <v>نصب عایق نمدی زیر موکت</v>
      </c>
      <c r="P430" s="915" t="str">
        <f t="shared" si="54"/>
        <v>SX5-5109-1</v>
      </c>
      <c r="Q430" s="635" t="str">
        <f t="shared" si="52"/>
        <v>SX5-5109513</v>
      </c>
      <c r="R430" s="585" t="str">
        <f t="shared" si="49"/>
        <v>عایق صداگیر ریز موکت کف</v>
      </c>
      <c r="S430" s="586">
        <f t="shared" si="49"/>
        <v>1</v>
      </c>
      <c r="T430" s="589"/>
      <c r="U430" s="589"/>
      <c r="V430" s="589"/>
      <c r="W430" s="589"/>
      <c r="X430" s="590"/>
      <c r="Y430" s="590"/>
      <c r="Z430" s="589"/>
      <c r="AA430" s="724"/>
    </row>
    <row r="431" spans="1:27" ht="43.5" customHeight="1">
      <c r="A431" s="1167"/>
      <c r="B431" s="1228" t="s">
        <v>1305</v>
      </c>
      <c r="C431" s="1154" t="s">
        <v>2150</v>
      </c>
      <c r="D431" s="1209" t="s">
        <v>365</v>
      </c>
      <c r="E431" s="1126"/>
      <c r="F431" s="1151">
        <v>3.2</v>
      </c>
      <c r="G431" s="952" t="s">
        <v>0</v>
      </c>
      <c r="H431" s="300" t="s">
        <v>6190</v>
      </c>
      <c r="I431" s="952" t="s">
        <v>6191</v>
      </c>
      <c r="J431" s="230" t="s">
        <v>2149</v>
      </c>
      <c r="K431" s="952">
        <v>1</v>
      </c>
      <c r="L431" s="231" t="s">
        <v>5876</v>
      </c>
      <c r="M431" s="194"/>
      <c r="N431" s="1167">
        <f t="shared" si="51"/>
        <v>0</v>
      </c>
      <c r="O431" s="1116" t="str">
        <f t="shared" si="54"/>
        <v>نصب موکت کف</v>
      </c>
      <c r="P431" s="1117" t="str">
        <f t="shared" si="54"/>
        <v>SX5F-5109-2</v>
      </c>
      <c r="Q431" s="586" t="s">
        <v>5379</v>
      </c>
      <c r="R431" s="585" t="str">
        <f t="shared" si="49"/>
        <v xml:space="preserve">موکت کف </v>
      </c>
      <c r="S431" s="586">
        <f t="shared" si="49"/>
        <v>1</v>
      </c>
      <c r="T431" s="589"/>
      <c r="U431" s="589"/>
      <c r="V431" s="589"/>
      <c r="W431" s="589"/>
      <c r="X431" s="590"/>
      <c r="Y431" s="590"/>
      <c r="Z431" s="589"/>
      <c r="AA431" s="724"/>
    </row>
    <row r="432" spans="1:27" ht="43.5" customHeight="1">
      <c r="A432" s="1167"/>
      <c r="B432" s="1228"/>
      <c r="C432" s="1154" t="s">
        <v>1248</v>
      </c>
      <c r="D432" s="1209"/>
      <c r="E432" s="1126"/>
      <c r="F432" s="1151"/>
      <c r="G432" s="952" t="s">
        <v>1</v>
      </c>
      <c r="H432" s="952" t="s">
        <v>366</v>
      </c>
      <c r="I432" s="952"/>
      <c r="J432" s="230" t="s">
        <v>2148</v>
      </c>
      <c r="K432" s="952">
        <v>4</v>
      </c>
      <c r="L432" s="231" t="s">
        <v>5877</v>
      </c>
      <c r="M432" s="194"/>
      <c r="N432" s="1167">
        <f t="shared" si="51"/>
        <v>0</v>
      </c>
      <c r="O432" s="1116"/>
      <c r="P432" s="1117"/>
      <c r="Q432" s="586" t="str">
        <f t="shared" si="52"/>
        <v>BL1089A7</v>
      </c>
      <c r="R432" s="585" t="str">
        <f t="shared" si="49"/>
        <v>پین پلاستیکی فشاری</v>
      </c>
      <c r="S432" s="586">
        <f t="shared" si="49"/>
        <v>4</v>
      </c>
      <c r="T432" s="589"/>
      <c r="U432" s="589"/>
      <c r="V432" s="589"/>
      <c r="W432" s="589"/>
      <c r="X432" s="590"/>
      <c r="Y432" s="590"/>
      <c r="Z432" s="589"/>
      <c r="AA432" s="724"/>
    </row>
    <row r="433" spans="1:27" ht="43.5" customHeight="1" thickBot="1">
      <c r="A433" s="1168"/>
      <c r="B433" s="1237"/>
      <c r="C433" s="1186" t="s">
        <v>1248</v>
      </c>
      <c r="D433" s="1159"/>
      <c r="E433" s="1214"/>
      <c r="F433" s="1232"/>
      <c r="G433" s="953" t="s">
        <v>2</v>
      </c>
      <c r="H433" s="953" t="s">
        <v>56</v>
      </c>
      <c r="I433" s="953"/>
      <c r="J433" s="272" t="s">
        <v>1250</v>
      </c>
      <c r="K433" s="953">
        <v>2</v>
      </c>
      <c r="L433" s="250" t="s">
        <v>5877</v>
      </c>
      <c r="M433" s="194"/>
      <c r="N433" s="1168">
        <f t="shared" si="51"/>
        <v>0</v>
      </c>
      <c r="O433" s="1186"/>
      <c r="P433" s="1159"/>
      <c r="Q433" s="251" t="str">
        <f t="shared" si="52"/>
        <v>BL929A1</v>
      </c>
      <c r="R433" s="274" t="str">
        <f t="shared" si="49"/>
        <v>مهره پلاستیکی</v>
      </c>
      <c r="S433" s="251">
        <f t="shared" si="49"/>
        <v>2</v>
      </c>
      <c r="T433" s="283"/>
      <c r="U433" s="283"/>
      <c r="V433" s="283"/>
      <c r="W433" s="283"/>
      <c r="X433" s="284"/>
      <c r="Y433" s="284"/>
      <c r="Z433" s="283"/>
      <c r="AA433" s="285"/>
    </row>
    <row r="434" spans="1:27" ht="27" customHeight="1">
      <c r="A434" s="1166" t="s">
        <v>2147</v>
      </c>
      <c r="B434" s="1287" t="s">
        <v>1276</v>
      </c>
      <c r="C434" s="1215" t="s">
        <v>5017</v>
      </c>
      <c r="D434" s="1211" t="s">
        <v>5016</v>
      </c>
      <c r="E434" s="1229"/>
      <c r="F434" s="1218"/>
      <c r="G434" s="997" t="s">
        <v>0</v>
      </c>
      <c r="H434" s="391" t="s">
        <v>5222</v>
      </c>
      <c r="I434" s="392" t="s">
        <v>5120</v>
      </c>
      <c r="J434" s="221" t="s">
        <v>6204</v>
      </c>
      <c r="K434" s="997">
        <v>1</v>
      </c>
      <c r="L434" s="222" t="s">
        <v>5876</v>
      </c>
      <c r="M434" s="194"/>
      <c r="N434" s="1166" t="s">
        <v>2147</v>
      </c>
      <c r="O434" s="1169" t="s">
        <v>5017</v>
      </c>
      <c r="P434" s="1142" t="s">
        <v>5016</v>
      </c>
      <c r="Q434" s="719" t="s">
        <v>5222</v>
      </c>
      <c r="R434" s="224" t="s">
        <v>5018</v>
      </c>
      <c r="S434" s="225">
        <v>1</v>
      </c>
      <c r="T434" s="393"/>
      <c r="U434" s="393"/>
      <c r="V434" s="393"/>
      <c r="W434" s="394"/>
      <c r="X434" s="393"/>
      <c r="Y434" s="393"/>
      <c r="Z434" s="393"/>
      <c r="AA434" s="395"/>
    </row>
    <row r="435" spans="1:27" ht="27" customHeight="1">
      <c r="A435" s="1167"/>
      <c r="B435" s="1238"/>
      <c r="C435" s="1201"/>
      <c r="D435" s="1202"/>
      <c r="E435" s="1230"/>
      <c r="F435" s="1227"/>
      <c r="G435" s="952" t="s">
        <v>1</v>
      </c>
      <c r="H435" s="396" t="s">
        <v>115</v>
      </c>
      <c r="I435" s="935"/>
      <c r="J435" s="230" t="s">
        <v>5019</v>
      </c>
      <c r="K435" s="952">
        <v>2</v>
      </c>
      <c r="L435" s="231" t="s">
        <v>5878</v>
      </c>
      <c r="M435" s="194"/>
      <c r="N435" s="1167"/>
      <c r="O435" s="1116"/>
      <c r="P435" s="1117"/>
      <c r="Q435" s="649" t="s">
        <v>115</v>
      </c>
      <c r="R435" s="585" t="s">
        <v>5019</v>
      </c>
      <c r="S435" s="586">
        <v>2</v>
      </c>
      <c r="T435" s="639"/>
      <c r="U435" s="639"/>
      <c r="V435" s="639"/>
      <c r="W435" s="591"/>
      <c r="X435" s="639"/>
      <c r="Y435" s="639"/>
      <c r="Z435" s="639"/>
      <c r="AA435" s="731"/>
    </row>
    <row r="436" spans="1:27" ht="27" customHeight="1">
      <c r="A436" s="1167"/>
      <c r="B436" s="1238"/>
      <c r="C436" s="1201"/>
      <c r="D436" s="1202"/>
      <c r="E436" s="1230"/>
      <c r="F436" s="1227"/>
      <c r="G436" s="952" t="s">
        <v>2</v>
      </c>
      <c r="H436" s="396" t="s">
        <v>116</v>
      </c>
      <c r="I436" s="935"/>
      <c r="J436" s="230" t="s">
        <v>5020</v>
      </c>
      <c r="K436" s="952">
        <v>1</v>
      </c>
      <c r="L436" s="231" t="s">
        <v>5876</v>
      </c>
      <c r="M436" s="194"/>
      <c r="N436" s="1167"/>
      <c r="O436" s="1116"/>
      <c r="P436" s="1117"/>
      <c r="Q436" s="649" t="s">
        <v>116</v>
      </c>
      <c r="R436" s="585" t="s">
        <v>5020</v>
      </c>
      <c r="S436" s="586">
        <v>1</v>
      </c>
      <c r="T436" s="639"/>
      <c r="U436" s="639"/>
      <c r="V436" s="639"/>
      <c r="W436" s="591"/>
      <c r="X436" s="639"/>
      <c r="Y436" s="639"/>
      <c r="Z436" s="639"/>
      <c r="AA436" s="731"/>
    </row>
    <row r="437" spans="1:27" ht="27" customHeight="1">
      <c r="A437" s="1167"/>
      <c r="B437" s="1139"/>
      <c r="C437" s="1153"/>
      <c r="D437" s="1121"/>
      <c r="E437" s="1231"/>
      <c r="F437" s="1161"/>
      <c r="G437" s="952" t="s">
        <v>7</v>
      </c>
      <c r="H437" s="396" t="s">
        <v>5061</v>
      </c>
      <c r="I437" s="935"/>
      <c r="J437" s="230" t="s">
        <v>1819</v>
      </c>
      <c r="K437" s="952">
        <v>6</v>
      </c>
      <c r="L437" s="231" t="s">
        <v>5879</v>
      </c>
      <c r="M437" s="194"/>
      <c r="N437" s="1167"/>
      <c r="O437" s="1116"/>
      <c r="P437" s="1117"/>
      <c r="Q437" s="649" t="s">
        <v>5061</v>
      </c>
      <c r="R437" s="585" t="s">
        <v>1819</v>
      </c>
      <c r="S437" s="586">
        <v>6</v>
      </c>
      <c r="T437" s="639">
        <v>6</v>
      </c>
      <c r="U437" s="639">
        <v>8</v>
      </c>
      <c r="V437" s="639">
        <v>10</v>
      </c>
      <c r="W437" s="591" t="s">
        <v>5431</v>
      </c>
      <c r="X437" s="639" t="s">
        <v>5554</v>
      </c>
      <c r="Y437" s="639" t="s">
        <v>5555</v>
      </c>
      <c r="Z437" s="639"/>
      <c r="AA437" s="731"/>
    </row>
    <row r="438" spans="1:27" ht="27" customHeight="1">
      <c r="A438" s="1167"/>
      <c r="B438" s="1138" t="s">
        <v>1276</v>
      </c>
      <c r="C438" s="1152" t="s">
        <v>5406</v>
      </c>
      <c r="D438" s="1120" t="s">
        <v>5320</v>
      </c>
      <c r="E438" s="1016"/>
      <c r="F438" s="917"/>
      <c r="G438" s="397" t="s">
        <v>0</v>
      </c>
      <c r="H438" s="935" t="s">
        <v>5338</v>
      </c>
      <c r="I438" s="935"/>
      <c r="J438" s="398" t="s">
        <v>5325</v>
      </c>
      <c r="K438" s="247">
        <v>1</v>
      </c>
      <c r="L438" s="231" t="s">
        <v>5876</v>
      </c>
      <c r="M438" s="194"/>
      <c r="N438" s="1167"/>
      <c r="O438" s="1152" t="s">
        <v>5556</v>
      </c>
      <c r="P438" s="1120" t="s">
        <v>5320</v>
      </c>
      <c r="Q438" s="629" t="s">
        <v>5338</v>
      </c>
      <c r="R438" s="600" t="s">
        <v>5325</v>
      </c>
      <c r="S438" s="600">
        <v>1</v>
      </c>
      <c r="T438" s="590"/>
      <c r="U438" s="590"/>
      <c r="V438" s="590"/>
      <c r="W438" s="591"/>
      <c r="X438" s="639"/>
      <c r="Y438" s="639"/>
      <c r="Z438" s="639"/>
      <c r="AA438" s="731"/>
    </row>
    <row r="439" spans="1:27" ht="27" customHeight="1">
      <c r="A439" s="1167"/>
      <c r="B439" s="1238"/>
      <c r="C439" s="1201"/>
      <c r="D439" s="1202"/>
      <c r="E439" s="1016"/>
      <c r="F439" s="917"/>
      <c r="G439" s="397" t="s">
        <v>1</v>
      </c>
      <c r="H439" s="935" t="s">
        <v>111</v>
      </c>
      <c r="I439" s="935"/>
      <c r="J439" s="398" t="s">
        <v>5326</v>
      </c>
      <c r="K439" s="247">
        <v>1</v>
      </c>
      <c r="L439" s="231" t="s">
        <v>5876</v>
      </c>
      <c r="M439" s="194"/>
      <c r="N439" s="1167"/>
      <c r="O439" s="1201"/>
      <c r="P439" s="1202"/>
      <c r="Q439" s="629" t="s">
        <v>111</v>
      </c>
      <c r="R439" s="600" t="s">
        <v>5326</v>
      </c>
      <c r="S439" s="600">
        <v>1</v>
      </c>
      <c r="T439" s="590"/>
      <c r="U439" s="590"/>
      <c r="V439" s="590"/>
      <c r="W439" s="591"/>
      <c r="X439" s="639"/>
      <c r="Y439" s="639"/>
      <c r="Z439" s="639"/>
      <c r="AA439" s="731"/>
    </row>
    <row r="440" spans="1:27" ht="27" customHeight="1">
      <c r="A440" s="1167"/>
      <c r="B440" s="1238"/>
      <c r="C440" s="1201"/>
      <c r="D440" s="1202"/>
      <c r="E440" s="1016"/>
      <c r="F440" s="917"/>
      <c r="G440" s="397" t="s">
        <v>2</v>
      </c>
      <c r="H440" s="935" t="s">
        <v>945</v>
      </c>
      <c r="I440" s="935"/>
      <c r="J440" s="398" t="s">
        <v>5021</v>
      </c>
      <c r="K440" s="247">
        <v>2</v>
      </c>
      <c r="L440" s="231" t="s">
        <v>5876</v>
      </c>
      <c r="M440" s="194"/>
      <c r="N440" s="1167"/>
      <c r="O440" s="1201"/>
      <c r="P440" s="1202"/>
      <c r="Q440" s="629" t="s">
        <v>945</v>
      </c>
      <c r="R440" s="600" t="s">
        <v>5021</v>
      </c>
      <c r="S440" s="600">
        <v>2</v>
      </c>
      <c r="T440" s="590">
        <v>7</v>
      </c>
      <c r="U440" s="590">
        <v>8</v>
      </c>
      <c r="V440" s="590">
        <v>9</v>
      </c>
      <c r="W440" s="591"/>
      <c r="X440" s="639" t="s">
        <v>5554</v>
      </c>
      <c r="Y440" s="639" t="s">
        <v>5555</v>
      </c>
      <c r="Z440" s="639"/>
      <c r="AA440" s="731"/>
    </row>
    <row r="441" spans="1:27" ht="27" customHeight="1">
      <c r="A441" s="1167"/>
      <c r="B441" s="1238"/>
      <c r="C441" s="1201"/>
      <c r="D441" s="1202"/>
      <c r="E441" s="1016"/>
      <c r="F441" s="917"/>
      <c r="G441" s="397" t="s">
        <v>7</v>
      </c>
      <c r="H441" s="935" t="s">
        <v>112</v>
      </c>
      <c r="I441" s="935"/>
      <c r="J441" s="398" t="s">
        <v>5327</v>
      </c>
      <c r="K441" s="247">
        <v>1</v>
      </c>
      <c r="L441" s="231" t="s">
        <v>5876</v>
      </c>
      <c r="M441" s="194"/>
      <c r="N441" s="1167"/>
      <c r="O441" s="1201"/>
      <c r="P441" s="1202"/>
      <c r="Q441" s="629" t="s">
        <v>112</v>
      </c>
      <c r="R441" s="600" t="s">
        <v>5327</v>
      </c>
      <c r="S441" s="600">
        <v>1</v>
      </c>
      <c r="T441" s="590"/>
      <c r="U441" s="590"/>
      <c r="V441" s="590"/>
      <c r="W441" s="591"/>
      <c r="X441" s="639"/>
      <c r="Y441" s="639"/>
      <c r="Z441" s="639"/>
      <c r="AA441" s="731"/>
    </row>
    <row r="442" spans="1:27" ht="27" customHeight="1">
      <c r="A442" s="1167"/>
      <c r="B442" s="1238"/>
      <c r="C442" s="1201"/>
      <c r="D442" s="1202"/>
      <c r="E442" s="1016"/>
      <c r="F442" s="917"/>
      <c r="G442" s="397" t="s">
        <v>9</v>
      </c>
      <c r="H442" s="935" t="s">
        <v>5339</v>
      </c>
      <c r="I442" s="935"/>
      <c r="J442" s="398" t="s">
        <v>5328</v>
      </c>
      <c r="K442" s="247">
        <v>1</v>
      </c>
      <c r="L442" s="231" t="s">
        <v>5876</v>
      </c>
      <c r="M442" s="194"/>
      <c r="N442" s="1167"/>
      <c r="O442" s="1201"/>
      <c r="P442" s="1202"/>
      <c r="Q442" s="629" t="s">
        <v>5339</v>
      </c>
      <c r="R442" s="600" t="s">
        <v>5328</v>
      </c>
      <c r="S442" s="600">
        <v>1</v>
      </c>
      <c r="T442" s="590"/>
      <c r="U442" s="590"/>
      <c r="V442" s="590"/>
      <c r="W442" s="591"/>
      <c r="X442" s="639"/>
      <c r="Y442" s="639"/>
      <c r="Z442" s="639"/>
      <c r="AA442" s="731"/>
    </row>
    <row r="443" spans="1:27" ht="27" customHeight="1">
      <c r="A443" s="1167"/>
      <c r="B443" s="1238"/>
      <c r="C443" s="1201"/>
      <c r="D443" s="1202"/>
      <c r="E443" s="1016"/>
      <c r="F443" s="917"/>
      <c r="G443" s="397" t="s">
        <v>10</v>
      </c>
      <c r="H443" s="399" t="s">
        <v>3</v>
      </c>
      <c r="I443" s="935"/>
      <c r="J443" s="398" t="s">
        <v>5021</v>
      </c>
      <c r="K443" s="247">
        <v>5</v>
      </c>
      <c r="L443" s="231" t="s">
        <v>5876</v>
      </c>
      <c r="M443" s="194"/>
      <c r="N443" s="1167"/>
      <c r="O443" s="1201"/>
      <c r="P443" s="1202"/>
      <c r="Q443" s="650" t="s">
        <v>3</v>
      </c>
      <c r="R443" s="600" t="s">
        <v>5021</v>
      </c>
      <c r="S443" s="600">
        <v>5</v>
      </c>
      <c r="T443" s="590">
        <v>7</v>
      </c>
      <c r="U443" s="590">
        <v>8</v>
      </c>
      <c r="V443" s="590">
        <v>9</v>
      </c>
      <c r="W443" s="591"/>
      <c r="X443" s="639" t="s">
        <v>5554</v>
      </c>
      <c r="Y443" s="639" t="s">
        <v>5555</v>
      </c>
      <c r="Z443" s="639"/>
      <c r="AA443" s="731"/>
    </row>
    <row r="444" spans="1:27" ht="27" customHeight="1">
      <c r="A444" s="1167"/>
      <c r="B444" s="1238"/>
      <c r="C444" s="1201"/>
      <c r="D444" s="1202"/>
      <c r="E444" s="1016"/>
      <c r="F444" s="917"/>
      <c r="G444" s="397" t="s">
        <v>24</v>
      </c>
      <c r="H444" s="400" t="s">
        <v>946</v>
      </c>
      <c r="I444" s="935"/>
      <c r="J444" s="398" t="s">
        <v>6163</v>
      </c>
      <c r="K444" s="247">
        <v>1</v>
      </c>
      <c r="L444" s="231" t="s">
        <v>5876</v>
      </c>
      <c r="M444" s="194"/>
      <c r="N444" s="1167"/>
      <c r="O444" s="1201"/>
      <c r="P444" s="1202"/>
      <c r="Q444" s="651" t="s">
        <v>946</v>
      </c>
      <c r="R444" s="600" t="s">
        <v>5329</v>
      </c>
      <c r="S444" s="600">
        <v>1</v>
      </c>
      <c r="T444" s="590"/>
      <c r="U444" s="590"/>
      <c r="V444" s="590"/>
      <c r="W444" s="591"/>
      <c r="X444" s="639"/>
      <c r="Y444" s="639"/>
      <c r="Z444" s="639"/>
      <c r="AA444" s="731"/>
    </row>
    <row r="445" spans="1:27" ht="27" customHeight="1">
      <c r="A445" s="1167"/>
      <c r="B445" s="1238"/>
      <c r="C445" s="1201"/>
      <c r="D445" s="1202"/>
      <c r="E445" s="1016"/>
      <c r="F445" s="917"/>
      <c r="G445" s="397" t="s">
        <v>25</v>
      </c>
      <c r="H445" s="935" t="s">
        <v>114</v>
      </c>
      <c r="I445" s="935"/>
      <c r="J445" s="398" t="s">
        <v>5330</v>
      </c>
      <c r="K445" s="247">
        <v>4</v>
      </c>
      <c r="L445" s="231" t="s">
        <v>5876</v>
      </c>
      <c r="M445" s="194"/>
      <c r="N445" s="1167"/>
      <c r="O445" s="1201"/>
      <c r="P445" s="1202"/>
      <c r="Q445" s="629" t="s">
        <v>114</v>
      </c>
      <c r="R445" s="600" t="s">
        <v>5330</v>
      </c>
      <c r="S445" s="600">
        <v>4</v>
      </c>
      <c r="T445" s="590"/>
      <c r="U445" s="590"/>
      <c r="V445" s="590"/>
      <c r="W445" s="591"/>
      <c r="X445" s="639"/>
      <c r="Y445" s="639"/>
      <c r="Z445" s="639"/>
      <c r="AA445" s="731"/>
    </row>
    <row r="446" spans="1:27" ht="27" customHeight="1">
      <c r="A446" s="1167"/>
      <c r="B446" s="1238"/>
      <c r="C446" s="1201"/>
      <c r="D446" s="1202"/>
      <c r="E446" s="1016"/>
      <c r="F446" s="917"/>
      <c r="G446" s="397" t="s">
        <v>35</v>
      </c>
      <c r="H446" s="935" t="s">
        <v>947</v>
      </c>
      <c r="I446" s="935"/>
      <c r="J446" s="398" t="s">
        <v>5331</v>
      </c>
      <c r="K446" s="247">
        <v>1</v>
      </c>
      <c r="L446" s="231" t="s">
        <v>5876</v>
      </c>
      <c r="M446" s="194"/>
      <c r="N446" s="1167"/>
      <c r="O446" s="1201"/>
      <c r="P446" s="1202"/>
      <c r="Q446" s="629" t="s">
        <v>947</v>
      </c>
      <c r="R446" s="600" t="s">
        <v>5331</v>
      </c>
      <c r="S446" s="600">
        <v>1</v>
      </c>
      <c r="T446" s="590"/>
      <c r="U446" s="590"/>
      <c r="V446" s="590"/>
      <c r="W446" s="591"/>
      <c r="X446" s="639"/>
      <c r="Y446" s="639"/>
      <c r="Z446" s="639"/>
      <c r="AA446" s="731"/>
    </row>
    <row r="447" spans="1:27" ht="27" customHeight="1">
      <c r="A447" s="1167"/>
      <c r="B447" s="1238"/>
      <c r="C447" s="1201"/>
      <c r="D447" s="1202"/>
      <c r="E447" s="1016"/>
      <c r="F447" s="917"/>
      <c r="G447" s="397" t="s">
        <v>36</v>
      </c>
      <c r="H447" s="935" t="s">
        <v>5340</v>
      </c>
      <c r="I447" s="935"/>
      <c r="J447" s="398" t="s">
        <v>5332</v>
      </c>
      <c r="K447" s="247">
        <v>1</v>
      </c>
      <c r="L447" s="231" t="s">
        <v>5876</v>
      </c>
      <c r="M447" s="194"/>
      <c r="N447" s="1167"/>
      <c r="O447" s="1201"/>
      <c r="P447" s="1202"/>
      <c r="Q447" s="629" t="s">
        <v>6142</v>
      </c>
      <c r="R447" s="600" t="s">
        <v>5332</v>
      </c>
      <c r="S447" s="600">
        <v>1</v>
      </c>
      <c r="T447" s="590">
        <v>15</v>
      </c>
      <c r="U447" s="590">
        <v>17</v>
      </c>
      <c r="V447" s="590">
        <v>19</v>
      </c>
      <c r="W447" s="591"/>
      <c r="X447" s="639"/>
      <c r="Y447" s="639"/>
      <c r="Z447" s="639"/>
      <c r="AA447" s="731"/>
    </row>
    <row r="448" spans="1:27" ht="27" customHeight="1">
      <c r="A448" s="1167"/>
      <c r="B448" s="1238"/>
      <c r="C448" s="1201"/>
      <c r="D448" s="1202"/>
      <c r="E448" s="1016"/>
      <c r="F448" s="917"/>
      <c r="G448" s="397" t="s">
        <v>37</v>
      </c>
      <c r="H448" s="400" t="s">
        <v>950</v>
      </c>
      <c r="I448" s="935"/>
      <c r="J448" s="398" t="s">
        <v>5333</v>
      </c>
      <c r="K448" s="247">
        <v>1</v>
      </c>
      <c r="L448" s="231" t="s">
        <v>5876</v>
      </c>
      <c r="M448" s="194"/>
      <c r="N448" s="1167"/>
      <c r="O448" s="1201"/>
      <c r="P448" s="1202"/>
      <c r="Q448" s="651" t="s">
        <v>950</v>
      </c>
      <c r="R448" s="600" t="s">
        <v>5333</v>
      </c>
      <c r="S448" s="600">
        <v>1</v>
      </c>
      <c r="T448" s="590"/>
      <c r="U448" s="590"/>
      <c r="V448" s="590"/>
      <c r="W448" s="591"/>
      <c r="X448" s="639"/>
      <c r="Y448" s="639"/>
      <c r="Z448" s="639"/>
      <c r="AA448" s="731"/>
    </row>
    <row r="449" spans="1:27" ht="27" customHeight="1">
      <c r="A449" s="1167"/>
      <c r="B449" s="1238"/>
      <c r="C449" s="1201"/>
      <c r="D449" s="1202"/>
      <c r="E449" s="1016"/>
      <c r="F449" s="917"/>
      <c r="G449" s="397" t="s">
        <v>39</v>
      </c>
      <c r="H449" s="400" t="s">
        <v>6004</v>
      </c>
      <c r="I449" s="935"/>
      <c r="J449" s="398" t="s">
        <v>5334</v>
      </c>
      <c r="K449" s="1090">
        <v>3</v>
      </c>
      <c r="L449" s="231" t="s">
        <v>5876</v>
      </c>
      <c r="M449" s="194"/>
      <c r="N449" s="1167"/>
      <c r="O449" s="1201"/>
      <c r="P449" s="1202"/>
      <c r="Q449" s="651" t="s">
        <v>952</v>
      </c>
      <c r="R449" s="600" t="s">
        <v>5334</v>
      </c>
      <c r="S449" s="600">
        <v>3</v>
      </c>
      <c r="T449" s="590"/>
      <c r="U449" s="590"/>
      <c r="V449" s="590"/>
      <c r="W449" s="591"/>
      <c r="X449" s="639"/>
      <c r="Y449" s="639"/>
      <c r="Z449" s="639"/>
      <c r="AA449" s="731"/>
    </row>
    <row r="450" spans="1:27" ht="27" customHeight="1">
      <c r="A450" s="1167"/>
      <c r="B450" s="1238"/>
      <c r="C450" s="1201"/>
      <c r="D450" s="1202"/>
      <c r="E450" s="1016"/>
      <c r="F450" s="917"/>
      <c r="G450" s="397" t="s">
        <v>5321</v>
      </c>
      <c r="H450" s="337" t="s">
        <v>954</v>
      </c>
      <c r="I450" s="935"/>
      <c r="J450" s="398" t="s">
        <v>5335</v>
      </c>
      <c r="K450" s="247">
        <v>1</v>
      </c>
      <c r="L450" s="231" t="s">
        <v>5876</v>
      </c>
      <c r="M450" s="194"/>
      <c r="N450" s="1167"/>
      <c r="O450" s="1201"/>
      <c r="P450" s="1202"/>
      <c r="Q450" s="628" t="s">
        <v>954</v>
      </c>
      <c r="R450" s="600" t="s">
        <v>5335</v>
      </c>
      <c r="S450" s="600">
        <v>1</v>
      </c>
      <c r="T450" s="590"/>
      <c r="U450" s="590"/>
      <c r="V450" s="590"/>
      <c r="W450" s="591"/>
      <c r="X450" s="639"/>
      <c r="Y450" s="639"/>
      <c r="Z450" s="639"/>
      <c r="AA450" s="731"/>
    </row>
    <row r="451" spans="1:27" ht="27" customHeight="1">
      <c r="A451" s="1167"/>
      <c r="B451" s="1238"/>
      <c r="C451" s="1201"/>
      <c r="D451" s="1202"/>
      <c r="E451" s="1016"/>
      <c r="F451" s="917"/>
      <c r="G451" s="397" t="s">
        <v>5322</v>
      </c>
      <c r="H451" s="401" t="s">
        <v>956</v>
      </c>
      <c r="I451" s="935"/>
      <c r="J451" s="574" t="s">
        <v>5366</v>
      </c>
      <c r="K451" s="247">
        <v>1</v>
      </c>
      <c r="L451" s="231" t="s">
        <v>5876</v>
      </c>
      <c r="M451" s="194"/>
      <c r="N451" s="1167"/>
      <c r="O451" s="1201"/>
      <c r="P451" s="1202"/>
      <c r="Q451" s="652" t="s">
        <v>956</v>
      </c>
      <c r="R451" s="698" t="s">
        <v>5366</v>
      </c>
      <c r="S451" s="600">
        <v>1</v>
      </c>
      <c r="T451" s="590"/>
      <c r="U451" s="590"/>
      <c r="V451" s="590"/>
      <c r="W451" s="591"/>
      <c r="X451" s="639"/>
      <c r="Y451" s="639"/>
      <c r="Z451" s="639"/>
      <c r="AA451" s="731"/>
    </row>
    <row r="452" spans="1:27" ht="27" customHeight="1">
      <c r="A452" s="1167"/>
      <c r="B452" s="1238"/>
      <c r="C452" s="1201"/>
      <c r="D452" s="1202"/>
      <c r="E452" s="1016"/>
      <c r="F452" s="917"/>
      <c r="G452" s="397" t="s">
        <v>5323</v>
      </c>
      <c r="H452" s="400" t="s">
        <v>690</v>
      </c>
      <c r="I452" s="935"/>
      <c r="J452" s="398" t="s">
        <v>5336</v>
      </c>
      <c r="K452" s="247">
        <v>1</v>
      </c>
      <c r="L452" s="231" t="s">
        <v>5877</v>
      </c>
      <c r="M452" s="194"/>
      <c r="N452" s="1167"/>
      <c r="O452" s="1201"/>
      <c r="P452" s="1202"/>
      <c r="Q452" s="651" t="s">
        <v>942</v>
      </c>
      <c r="R452" s="600" t="s">
        <v>5336</v>
      </c>
      <c r="S452" s="600">
        <v>1</v>
      </c>
      <c r="T452" s="590"/>
      <c r="U452" s="590"/>
      <c r="V452" s="590"/>
      <c r="W452" s="591"/>
      <c r="X452" s="639"/>
      <c r="Y452" s="639"/>
      <c r="Z452" s="639"/>
      <c r="AA452" s="731"/>
    </row>
    <row r="453" spans="1:27" ht="27" customHeight="1">
      <c r="A453" s="1167"/>
      <c r="B453" s="1238"/>
      <c r="C453" s="1201"/>
      <c r="D453" s="1202"/>
      <c r="E453" s="1016"/>
      <c r="F453" s="917"/>
      <c r="G453" s="397" t="s">
        <v>5324</v>
      </c>
      <c r="H453" s="400" t="s">
        <v>959</v>
      </c>
      <c r="I453" s="935"/>
      <c r="J453" s="574" t="s">
        <v>5337</v>
      </c>
      <c r="K453" s="247">
        <v>1</v>
      </c>
      <c r="L453" s="231" t="s">
        <v>5876</v>
      </c>
      <c r="M453" s="194"/>
      <c r="N453" s="1167"/>
      <c r="O453" s="1201"/>
      <c r="P453" s="1202"/>
      <c r="Q453" s="651" t="s">
        <v>959</v>
      </c>
      <c r="R453" s="698" t="s">
        <v>5337</v>
      </c>
      <c r="S453" s="600">
        <v>1</v>
      </c>
      <c r="T453" s="590"/>
      <c r="U453" s="590"/>
      <c r="V453" s="590"/>
      <c r="W453" s="591"/>
      <c r="X453" s="639"/>
      <c r="Y453" s="639"/>
      <c r="Z453" s="639"/>
      <c r="AA453" s="731"/>
    </row>
    <row r="454" spans="1:27" ht="27" customHeight="1">
      <c r="A454" s="1167"/>
      <c r="B454" s="1238"/>
      <c r="C454" s="1201"/>
      <c r="D454" s="1202"/>
      <c r="E454" s="1016"/>
      <c r="F454" s="917"/>
      <c r="G454" s="397" t="s">
        <v>5341</v>
      </c>
      <c r="H454" s="401" t="s">
        <v>6201</v>
      </c>
      <c r="I454" s="935"/>
      <c r="J454" s="398" t="s">
        <v>5367</v>
      </c>
      <c r="K454" s="247">
        <v>1</v>
      </c>
      <c r="L454" s="231" t="s">
        <v>5876</v>
      </c>
      <c r="M454" s="194"/>
      <c r="N454" s="1167"/>
      <c r="O454" s="1201"/>
      <c r="P454" s="1202"/>
      <c r="Q454" s="652" t="s">
        <v>961</v>
      </c>
      <c r="R454" s="600" t="s">
        <v>5367</v>
      </c>
      <c r="S454" s="600">
        <v>1</v>
      </c>
      <c r="T454" s="590"/>
      <c r="U454" s="590"/>
      <c r="V454" s="590"/>
      <c r="W454" s="591"/>
      <c r="X454" s="639"/>
      <c r="Y454" s="639"/>
      <c r="Z454" s="639"/>
      <c r="AA454" s="731"/>
    </row>
    <row r="455" spans="1:27" ht="27" customHeight="1">
      <c r="A455" s="1167"/>
      <c r="B455" s="1238"/>
      <c r="C455" s="1201"/>
      <c r="D455" s="1202"/>
      <c r="E455" s="1016"/>
      <c r="F455" s="917"/>
      <c r="G455" s="397" t="s">
        <v>5342</v>
      </c>
      <c r="H455" s="401" t="s">
        <v>5344</v>
      </c>
      <c r="I455" s="935"/>
      <c r="J455" s="246" t="s">
        <v>6164</v>
      </c>
      <c r="K455" s="247">
        <v>1</v>
      </c>
      <c r="L455" s="231" t="s">
        <v>5876</v>
      </c>
      <c r="M455" s="194"/>
      <c r="N455" s="1167"/>
      <c r="O455" s="1201"/>
      <c r="P455" s="1202"/>
      <c r="Q455" s="652" t="s">
        <v>5344</v>
      </c>
      <c r="R455" s="600" t="s">
        <v>5343</v>
      </c>
      <c r="S455" s="600">
        <v>1</v>
      </c>
      <c r="T455" s="590"/>
      <c r="U455" s="590"/>
      <c r="V455" s="590"/>
      <c r="W455" s="591"/>
      <c r="X455" s="639"/>
      <c r="Y455" s="639"/>
      <c r="Z455" s="639"/>
      <c r="AA455" s="731"/>
    </row>
    <row r="456" spans="1:27" ht="27" customHeight="1">
      <c r="A456" s="1167"/>
      <c r="B456" s="1093"/>
      <c r="C456" s="1201"/>
      <c r="D456" s="1202"/>
      <c r="E456" s="1094"/>
      <c r="F456" s="1091"/>
      <c r="G456" s="873" t="s">
        <v>4973</v>
      </c>
      <c r="H456" s="874" t="s">
        <v>6228</v>
      </c>
      <c r="I456" s="1092"/>
      <c r="J456" s="870"/>
      <c r="K456" s="600">
        <v>1</v>
      </c>
      <c r="L456" s="231" t="s">
        <v>5876</v>
      </c>
      <c r="M456" s="194"/>
      <c r="N456" s="1167"/>
      <c r="O456" s="1201"/>
      <c r="P456" s="1202"/>
      <c r="Q456" s="652"/>
      <c r="R456" s="600"/>
      <c r="S456" s="600"/>
      <c r="T456" s="590"/>
      <c r="U456" s="590"/>
      <c r="V456" s="590"/>
      <c r="W456" s="591"/>
      <c r="X456" s="639"/>
      <c r="Y456" s="639"/>
      <c r="Z456" s="639"/>
      <c r="AA456" s="731"/>
    </row>
    <row r="457" spans="1:27" ht="27" customHeight="1">
      <c r="A457" s="1167"/>
      <c r="B457" s="987"/>
      <c r="C457" s="1153"/>
      <c r="D457" s="1121"/>
      <c r="E457" s="1016"/>
      <c r="F457" s="917"/>
      <c r="G457" s="873" t="s">
        <v>6227</v>
      </c>
      <c r="H457" s="874" t="s">
        <v>6138</v>
      </c>
      <c r="I457" s="913"/>
      <c r="J457" s="870" t="s">
        <v>1508</v>
      </c>
      <c r="K457" s="600">
        <v>1</v>
      </c>
      <c r="L457" s="802" t="s">
        <v>6167</v>
      </c>
      <c r="M457" s="194"/>
      <c r="N457" s="1167"/>
      <c r="O457" s="1153"/>
      <c r="P457" s="1121"/>
      <c r="Q457" s="652" t="str">
        <f>H457</f>
        <v>1375A</v>
      </c>
      <c r="R457" s="600" t="str">
        <f>J457</f>
        <v xml:space="preserve">واشر </v>
      </c>
      <c r="S457" s="600">
        <f>K457</f>
        <v>1</v>
      </c>
      <c r="T457" s="590"/>
      <c r="U457" s="590"/>
      <c r="V457" s="590"/>
      <c r="W457" s="591" t="s">
        <v>6141</v>
      </c>
      <c r="X457" s="639" t="s">
        <v>5671</v>
      </c>
      <c r="Y457" s="639" t="s">
        <v>6140</v>
      </c>
      <c r="Z457" s="639"/>
      <c r="AA457" s="731"/>
    </row>
    <row r="458" spans="1:27" ht="27" customHeight="1">
      <c r="A458" s="1167"/>
      <c r="B458" s="1228" t="s">
        <v>1276</v>
      </c>
      <c r="C458" s="1154" t="s">
        <v>2146</v>
      </c>
      <c r="D458" s="1209" t="s">
        <v>2145</v>
      </c>
      <c r="E458" s="1213"/>
      <c r="F458" s="1151">
        <v>0.8</v>
      </c>
      <c r="G458" s="402" t="s">
        <v>0</v>
      </c>
      <c r="H458" s="403" t="s">
        <v>3650</v>
      </c>
      <c r="I458" s="952"/>
      <c r="J458" s="404" t="s">
        <v>2144</v>
      </c>
      <c r="K458" s="952">
        <v>1</v>
      </c>
      <c r="L458" s="231" t="s">
        <v>5872</v>
      </c>
      <c r="M458" s="194"/>
      <c r="N458" s="1167">
        <f t="shared" si="51"/>
        <v>0</v>
      </c>
      <c r="O458" s="1116" t="str">
        <f>C458</f>
        <v>نصب لوله های ورودی و خروجی خنک کن روغن گیربکس به رادیاتور</v>
      </c>
      <c r="P458" s="1117" t="str">
        <f>D458</f>
        <v>SX5K-1503-2</v>
      </c>
      <c r="Q458" s="586" t="str">
        <f t="shared" si="52"/>
        <v>SX7H-1104026</v>
      </c>
      <c r="R458" s="653" t="str">
        <f t="shared" ref="R458:S515" si="55">J458</f>
        <v>لوله خروجی روغن گیربکس</v>
      </c>
      <c r="S458" s="586">
        <f t="shared" si="55"/>
        <v>1</v>
      </c>
      <c r="T458" s="589"/>
      <c r="U458" s="589"/>
      <c r="V458" s="589"/>
      <c r="W458" s="589"/>
      <c r="X458" s="590"/>
      <c r="Y458" s="590"/>
      <c r="Z458" s="589"/>
      <c r="AA458" s="724"/>
    </row>
    <row r="459" spans="1:27" ht="27" customHeight="1">
      <c r="A459" s="1167"/>
      <c r="B459" s="1228"/>
      <c r="C459" s="1154" t="s">
        <v>1248</v>
      </c>
      <c r="D459" s="1209"/>
      <c r="E459" s="1213"/>
      <c r="F459" s="1151"/>
      <c r="G459" s="949" t="s">
        <v>1</v>
      </c>
      <c r="H459" s="977" t="s">
        <v>2143</v>
      </c>
      <c r="I459" s="952"/>
      <c r="J459" s="404" t="s">
        <v>2142</v>
      </c>
      <c r="K459" s="952">
        <v>1</v>
      </c>
      <c r="L459" s="231" t="s">
        <v>5881</v>
      </c>
      <c r="M459" s="194"/>
      <c r="N459" s="1167">
        <f t="shared" si="51"/>
        <v>0</v>
      </c>
      <c r="O459" s="1116"/>
      <c r="P459" s="1117"/>
      <c r="Q459" s="586" t="str">
        <f t="shared" si="52"/>
        <v>SX5K-1503010</v>
      </c>
      <c r="R459" s="653" t="str">
        <f t="shared" si="55"/>
        <v>لوله ورودی روغن گیربکس</v>
      </c>
      <c r="S459" s="586">
        <f t="shared" si="55"/>
        <v>1</v>
      </c>
      <c r="T459" s="589"/>
      <c r="U459" s="589"/>
      <c r="V459" s="589"/>
      <c r="W459" s="589"/>
      <c r="X459" s="590"/>
      <c r="Y459" s="590"/>
      <c r="Z459" s="589"/>
      <c r="AA459" s="724"/>
    </row>
    <row r="460" spans="1:27" ht="27" customHeight="1">
      <c r="A460" s="1167"/>
      <c r="B460" s="1228"/>
      <c r="C460" s="1154" t="s">
        <v>1248</v>
      </c>
      <c r="D460" s="1209"/>
      <c r="E460" s="1213"/>
      <c r="F460" s="1151"/>
      <c r="G460" s="949" t="s">
        <v>2</v>
      </c>
      <c r="H460" s="952" t="s">
        <v>1636</v>
      </c>
      <c r="I460" s="952"/>
      <c r="J460" s="404" t="s">
        <v>2141</v>
      </c>
      <c r="K460" s="952">
        <v>2</v>
      </c>
      <c r="L460" s="231" t="s">
        <v>5878</v>
      </c>
      <c r="M460" s="194"/>
      <c r="N460" s="1167">
        <f t="shared" si="51"/>
        <v>0</v>
      </c>
      <c r="O460" s="1116"/>
      <c r="P460" s="1117"/>
      <c r="Q460" s="586" t="str">
        <f t="shared" si="52"/>
        <v>B-3540117</v>
      </c>
      <c r="R460" s="653" t="str">
        <f t="shared" si="55"/>
        <v>بست اتصال شیلنگ مخزن انبساط به رادیاتور</v>
      </c>
      <c r="S460" s="586">
        <f t="shared" si="55"/>
        <v>2</v>
      </c>
      <c r="T460" s="589" t="s">
        <v>1393</v>
      </c>
      <c r="U460" s="589" t="s">
        <v>1393</v>
      </c>
      <c r="V460" s="589" t="s">
        <v>1393</v>
      </c>
      <c r="W460" s="589"/>
      <c r="X460" s="639" t="s">
        <v>5557</v>
      </c>
      <c r="Y460" s="590"/>
      <c r="Z460" s="589"/>
      <c r="AA460" s="724"/>
    </row>
    <row r="461" spans="1:27" ht="27" customHeight="1" thickBot="1">
      <c r="A461" s="1168"/>
      <c r="B461" s="936" t="s">
        <v>1276</v>
      </c>
      <c r="C461" s="930" t="s">
        <v>2140</v>
      </c>
      <c r="D461" s="932" t="s">
        <v>2139</v>
      </c>
      <c r="E461" s="942" t="s">
        <v>37</v>
      </c>
      <c r="F461" s="936">
        <v>0.72450000000000003</v>
      </c>
      <c r="G461" s="953" t="s">
        <v>1393</v>
      </c>
      <c r="H461" s="953" t="s">
        <v>1393</v>
      </c>
      <c r="I461" s="953"/>
      <c r="J461" s="272" t="s">
        <v>1393</v>
      </c>
      <c r="K461" s="953" t="s">
        <v>1393</v>
      </c>
      <c r="L461" s="263"/>
      <c r="M461" s="194"/>
      <c r="N461" s="1168">
        <f t="shared" si="51"/>
        <v>0</v>
      </c>
      <c r="O461" s="930" t="str">
        <f t="shared" ref="O461:P514" si="56">C461</f>
        <v>اتصال سوکت های دسته سیم محفظه موتور به مجموعه رادیاتور</v>
      </c>
      <c r="P461" s="932" t="str">
        <f t="shared" si="56"/>
        <v>SX5-1300-6</v>
      </c>
      <c r="Q461" s="251" t="str">
        <f t="shared" si="52"/>
        <v>-</v>
      </c>
      <c r="R461" s="274" t="str">
        <f t="shared" si="55"/>
        <v>-</v>
      </c>
      <c r="S461" s="251" t="str">
        <f t="shared" si="55"/>
        <v>-</v>
      </c>
      <c r="T461" s="283"/>
      <c r="U461" s="283"/>
      <c r="V461" s="283"/>
      <c r="W461" s="283"/>
      <c r="X461" s="284"/>
      <c r="Y461" s="284"/>
      <c r="Z461" s="283"/>
      <c r="AA461" s="285"/>
    </row>
    <row r="462" spans="1:27" ht="27" customHeight="1">
      <c r="A462" s="1167" t="s">
        <v>2138</v>
      </c>
      <c r="B462" s="935" t="s">
        <v>1276</v>
      </c>
      <c r="C462" s="929" t="s">
        <v>2137</v>
      </c>
      <c r="D462" s="931" t="s">
        <v>2136</v>
      </c>
      <c r="E462" s="939"/>
      <c r="F462" s="935">
        <v>0.5</v>
      </c>
      <c r="G462" s="952" t="s">
        <v>7</v>
      </c>
      <c r="H462" s="952" t="s">
        <v>4</v>
      </c>
      <c r="I462" s="952" t="s">
        <v>5396</v>
      </c>
      <c r="J462" s="230" t="s">
        <v>1499</v>
      </c>
      <c r="K462" s="952">
        <v>1</v>
      </c>
      <c r="L462" s="231" t="s">
        <v>5873</v>
      </c>
      <c r="M462" s="194"/>
      <c r="N462" s="1167" t="str">
        <f t="shared" ref="N462:N468" si="57">A462</f>
        <v>P36</v>
      </c>
      <c r="O462" s="914" t="str">
        <f>C462</f>
        <v>نصب پیچ لوله گاز کولر</v>
      </c>
      <c r="P462" s="915" t="str">
        <f>D462</f>
        <v>SX5K-8108-2</v>
      </c>
      <c r="Q462" s="586" t="str">
        <f>H462</f>
        <v>Q1460625F38</v>
      </c>
      <c r="R462" s="585" t="str">
        <f t="shared" ref="R462:S468" si="58">J462</f>
        <v>پیچ سر شش گوش واشردار</v>
      </c>
      <c r="S462" s="586">
        <f t="shared" si="58"/>
        <v>1</v>
      </c>
      <c r="T462" s="590">
        <v>6</v>
      </c>
      <c r="U462" s="590">
        <v>8</v>
      </c>
      <c r="V462" s="590">
        <v>10</v>
      </c>
      <c r="W462" s="589"/>
      <c r="X462" s="620" t="s">
        <v>5432</v>
      </c>
      <c r="Y462" s="620" t="s">
        <v>5558</v>
      </c>
      <c r="Z462" s="589"/>
      <c r="AA462" s="724"/>
    </row>
    <row r="463" spans="1:27" ht="27" customHeight="1">
      <c r="A463" s="1167"/>
      <c r="B463" s="1160" t="s">
        <v>1276</v>
      </c>
      <c r="C463" s="1152" t="s">
        <v>2135</v>
      </c>
      <c r="D463" s="1120" t="s">
        <v>613</v>
      </c>
      <c r="E463" s="1122"/>
      <c r="F463" s="1160">
        <v>3.47</v>
      </c>
      <c r="G463" s="952" t="s">
        <v>0</v>
      </c>
      <c r="H463" s="300" t="s">
        <v>5383</v>
      </c>
      <c r="I463" s="952" t="s">
        <v>5107</v>
      </c>
      <c r="J463" s="230" t="s">
        <v>2134</v>
      </c>
      <c r="K463" s="952">
        <v>1</v>
      </c>
      <c r="L463" s="231" t="s">
        <v>5883</v>
      </c>
      <c r="M463" s="194"/>
      <c r="N463" s="1167">
        <f t="shared" si="57"/>
        <v>0</v>
      </c>
      <c r="O463" s="1116" t="str">
        <f>C463</f>
        <v>مونتاژ سپر عقب</v>
      </c>
      <c r="P463" s="1117" t="str">
        <f>D463</f>
        <v>SX5-2804-2</v>
      </c>
      <c r="Q463" s="643" t="s">
        <v>5383</v>
      </c>
      <c r="R463" s="585" t="str">
        <f t="shared" si="58"/>
        <v>مجموعه سپر عقب</v>
      </c>
      <c r="S463" s="586">
        <f t="shared" si="58"/>
        <v>1</v>
      </c>
      <c r="T463" s="589"/>
      <c r="U463" s="589"/>
      <c r="V463" s="589"/>
      <c r="W463" s="589"/>
      <c r="X463" s="590"/>
      <c r="Y463" s="590"/>
      <c r="Z463" s="589"/>
      <c r="AA463" s="724"/>
    </row>
    <row r="464" spans="1:27" ht="27" customHeight="1">
      <c r="A464" s="1167"/>
      <c r="B464" s="1227"/>
      <c r="C464" s="1201"/>
      <c r="D464" s="1202"/>
      <c r="E464" s="1165"/>
      <c r="F464" s="1227"/>
      <c r="G464" s="952" t="s">
        <v>1</v>
      </c>
      <c r="H464" s="952" t="s">
        <v>2133</v>
      </c>
      <c r="I464" s="952"/>
      <c r="J464" s="230" t="s">
        <v>1377</v>
      </c>
      <c r="K464" s="952">
        <v>4</v>
      </c>
      <c r="L464" s="231" t="s">
        <v>5884</v>
      </c>
      <c r="M464" s="194"/>
      <c r="N464" s="1167">
        <f t="shared" si="57"/>
        <v>0</v>
      </c>
      <c r="O464" s="1116"/>
      <c r="P464" s="1117"/>
      <c r="Q464" s="586" t="str">
        <f t="shared" ref="Q464:Q468" si="59">H464</f>
        <v>BL338B</v>
      </c>
      <c r="R464" s="585" t="str">
        <f t="shared" si="58"/>
        <v>مهره پلاستیکی با سوراخ مربعی</v>
      </c>
      <c r="S464" s="586">
        <f t="shared" si="58"/>
        <v>4</v>
      </c>
      <c r="T464" s="589"/>
      <c r="U464" s="589"/>
      <c r="V464" s="589"/>
      <c r="W464" s="589"/>
      <c r="X464" s="590"/>
      <c r="Y464" s="590"/>
      <c r="Z464" s="589"/>
      <c r="AA464" s="724"/>
    </row>
    <row r="465" spans="1:27" ht="27" customHeight="1">
      <c r="A465" s="1167"/>
      <c r="B465" s="1227"/>
      <c r="C465" s="1201"/>
      <c r="D465" s="1202"/>
      <c r="E465" s="1165"/>
      <c r="F465" s="1227"/>
      <c r="G465" s="952" t="s">
        <v>2</v>
      </c>
      <c r="H465" s="952" t="s">
        <v>88</v>
      </c>
      <c r="I465" s="952"/>
      <c r="J465" s="230" t="s">
        <v>1251</v>
      </c>
      <c r="K465" s="952">
        <v>4</v>
      </c>
      <c r="L465" s="231" t="s">
        <v>5879</v>
      </c>
      <c r="M465" s="194"/>
      <c r="N465" s="1167">
        <f t="shared" si="57"/>
        <v>0</v>
      </c>
      <c r="O465" s="1116"/>
      <c r="P465" s="1117"/>
      <c r="Q465" s="586" t="str">
        <f t="shared" si="59"/>
        <v>BL611</v>
      </c>
      <c r="R465" s="585" t="str">
        <f t="shared" si="58"/>
        <v>بست فشاری</v>
      </c>
      <c r="S465" s="586">
        <f t="shared" si="58"/>
        <v>4</v>
      </c>
      <c r="T465" s="589"/>
      <c r="U465" s="589"/>
      <c r="V465" s="589"/>
      <c r="W465" s="589"/>
      <c r="X465" s="590"/>
      <c r="Y465" s="590"/>
      <c r="Z465" s="589"/>
      <c r="AA465" s="724"/>
    </row>
    <row r="466" spans="1:27" ht="27" customHeight="1">
      <c r="A466" s="1167"/>
      <c r="B466" s="1227"/>
      <c r="C466" s="1201"/>
      <c r="D466" s="1202"/>
      <c r="E466" s="1165"/>
      <c r="F466" s="1227"/>
      <c r="G466" s="952" t="s">
        <v>7</v>
      </c>
      <c r="H466" s="952" t="s">
        <v>807</v>
      </c>
      <c r="I466" s="952" t="s">
        <v>5397</v>
      </c>
      <c r="J466" s="230" t="s">
        <v>1252</v>
      </c>
      <c r="K466" s="952">
        <v>6</v>
      </c>
      <c r="L466" s="231" t="s">
        <v>5877</v>
      </c>
      <c r="M466" s="194"/>
      <c r="N466" s="1167">
        <f t="shared" si="57"/>
        <v>0</v>
      </c>
      <c r="O466" s="1116"/>
      <c r="P466" s="1117"/>
      <c r="Q466" s="586" t="str">
        <f t="shared" si="59"/>
        <v>Q2734816F38</v>
      </c>
      <c r="R466" s="585" t="str">
        <f t="shared" si="58"/>
        <v xml:space="preserve">پیچ خودکار چهارسو </v>
      </c>
      <c r="S466" s="586">
        <f t="shared" si="58"/>
        <v>6</v>
      </c>
      <c r="T466" s="614">
        <v>3</v>
      </c>
      <c r="U466" s="614">
        <v>4</v>
      </c>
      <c r="V466" s="614">
        <v>5</v>
      </c>
      <c r="W466" s="615" t="s">
        <v>5559</v>
      </c>
      <c r="X466" s="614" t="s">
        <v>5451</v>
      </c>
      <c r="Y466" s="614" t="s">
        <v>5560</v>
      </c>
      <c r="Z466" s="589"/>
      <c r="AA466" s="724"/>
    </row>
    <row r="467" spans="1:27" ht="27" customHeight="1">
      <c r="A467" s="1167"/>
      <c r="B467" s="1227"/>
      <c r="C467" s="1201"/>
      <c r="D467" s="1202"/>
      <c r="E467" s="1165"/>
      <c r="F467" s="1227"/>
      <c r="G467" s="952" t="s">
        <v>10</v>
      </c>
      <c r="H467" s="406" t="s">
        <v>2131</v>
      </c>
      <c r="I467" s="406"/>
      <c r="J467" s="230" t="s">
        <v>1251</v>
      </c>
      <c r="K467" s="952">
        <v>3</v>
      </c>
      <c r="L467" s="231" t="s">
        <v>5873</v>
      </c>
      <c r="M467" s="194"/>
      <c r="N467" s="1167">
        <f t="shared" si="57"/>
        <v>0</v>
      </c>
      <c r="O467" s="1116"/>
      <c r="P467" s="1117"/>
      <c r="Q467" s="654" t="str">
        <f t="shared" si="59"/>
        <v>BL346</v>
      </c>
      <c r="R467" s="585" t="str">
        <f t="shared" si="58"/>
        <v>بست فشاری</v>
      </c>
      <c r="S467" s="586">
        <f t="shared" si="58"/>
        <v>3</v>
      </c>
      <c r="T467" s="589"/>
      <c r="U467" s="589"/>
      <c r="V467" s="589"/>
      <c r="W467" s="589"/>
      <c r="X467" s="590"/>
      <c r="Y467" s="590"/>
      <c r="Z467" s="589"/>
      <c r="AA467" s="724"/>
    </row>
    <row r="468" spans="1:27" ht="27" customHeight="1">
      <c r="A468" s="1167"/>
      <c r="B468" s="1227"/>
      <c r="C468" s="1201"/>
      <c r="D468" s="1202"/>
      <c r="E468" s="1165"/>
      <c r="F468" s="1227"/>
      <c r="G468" s="952" t="s">
        <v>24</v>
      </c>
      <c r="H468" s="952" t="s">
        <v>2130</v>
      </c>
      <c r="I468" s="952" t="s">
        <v>5397</v>
      </c>
      <c r="J468" s="230" t="s">
        <v>1252</v>
      </c>
      <c r="K468" s="952">
        <v>2</v>
      </c>
      <c r="L468" s="231" t="s">
        <v>5877</v>
      </c>
      <c r="M468" s="194"/>
      <c r="N468" s="1167">
        <f t="shared" si="57"/>
        <v>0</v>
      </c>
      <c r="O468" s="1116"/>
      <c r="P468" s="1117"/>
      <c r="Q468" s="586" t="str">
        <f t="shared" si="59"/>
        <v>Q2734816F38</v>
      </c>
      <c r="R468" s="585" t="str">
        <f t="shared" si="58"/>
        <v xml:space="preserve">پیچ خودکار چهارسو </v>
      </c>
      <c r="S468" s="586">
        <f t="shared" si="58"/>
        <v>2</v>
      </c>
      <c r="T468" s="614">
        <v>3</v>
      </c>
      <c r="U468" s="614">
        <v>4</v>
      </c>
      <c r="V468" s="614">
        <v>5</v>
      </c>
      <c r="W468" s="615" t="s">
        <v>5461</v>
      </c>
      <c r="X468" s="614" t="s">
        <v>5451</v>
      </c>
      <c r="Y468" s="614" t="s">
        <v>5560</v>
      </c>
      <c r="Z468" s="589"/>
      <c r="AA468" s="724"/>
    </row>
    <row r="469" spans="1:27" ht="27" customHeight="1">
      <c r="A469" s="1167"/>
      <c r="B469" s="1161"/>
      <c r="C469" s="1153"/>
      <c r="D469" s="1121"/>
      <c r="E469" s="1123"/>
      <c r="F469" s="1161"/>
      <c r="G469" s="952" t="s">
        <v>25</v>
      </c>
      <c r="H469" s="952" t="s">
        <v>5250</v>
      </c>
      <c r="I469" s="952"/>
      <c r="J469" s="230" t="s">
        <v>5251</v>
      </c>
      <c r="K469" s="952">
        <v>2</v>
      </c>
      <c r="L469" s="231" t="s">
        <v>5885</v>
      </c>
      <c r="M469" s="194"/>
      <c r="N469" s="1167"/>
      <c r="O469" s="1116"/>
      <c r="P469" s="1117"/>
      <c r="Q469" s="586" t="str">
        <f t="shared" si="52"/>
        <v>SX7-3603510-Y2</v>
      </c>
      <c r="R469" s="585" t="str">
        <f t="shared" si="55"/>
        <v>سنسور رادار دنده عقب</v>
      </c>
      <c r="S469" s="586">
        <f t="shared" si="55"/>
        <v>2</v>
      </c>
      <c r="T469" s="614"/>
      <c r="U469" s="614"/>
      <c r="V469" s="614"/>
      <c r="W469" s="615"/>
      <c r="X469" s="614"/>
      <c r="Y469" s="614"/>
      <c r="Z469" s="589"/>
      <c r="AA469" s="724"/>
    </row>
    <row r="470" spans="1:27" ht="27" customHeight="1">
      <c r="A470" s="1167"/>
      <c r="B470" s="918" t="s">
        <v>1276</v>
      </c>
      <c r="C470" s="920" t="s">
        <v>6147</v>
      </c>
      <c r="D470" s="922" t="s">
        <v>6159</v>
      </c>
      <c r="E470" s="924"/>
      <c r="F470" s="918"/>
      <c r="G470" s="941" t="s">
        <v>0</v>
      </c>
      <c r="H470" s="941" t="s">
        <v>26</v>
      </c>
      <c r="I470" s="941"/>
      <c r="J470" s="647" t="s">
        <v>1455</v>
      </c>
      <c r="K470" s="941">
        <v>2</v>
      </c>
      <c r="L470" s="802" t="s">
        <v>5862</v>
      </c>
      <c r="M470" s="194"/>
      <c r="N470" s="1167"/>
      <c r="O470" s="914" t="str">
        <f>C470</f>
        <v xml:space="preserve">مونتاز لوله چهار راهی به براکت نصب لوله </v>
      </c>
      <c r="P470" s="915" t="str">
        <f>D470</f>
        <v>T5P-1001-1</v>
      </c>
      <c r="Q470" s="586" t="str">
        <f t="shared" si="52"/>
        <v>Q32006F36</v>
      </c>
      <c r="R470" s="585" t="str">
        <f t="shared" si="55"/>
        <v>مهره فلنجی</v>
      </c>
      <c r="S470" s="586">
        <f t="shared" si="55"/>
        <v>2</v>
      </c>
      <c r="T470" s="614">
        <v>3</v>
      </c>
      <c r="U470" s="614">
        <v>4</v>
      </c>
      <c r="V470" s="614">
        <v>5</v>
      </c>
      <c r="W470" s="615" t="s">
        <v>5431</v>
      </c>
      <c r="X470" s="614" t="s">
        <v>5451</v>
      </c>
      <c r="Y470" s="614" t="s">
        <v>5560</v>
      </c>
      <c r="Z470" s="589"/>
      <c r="AA470" s="724"/>
    </row>
    <row r="471" spans="1:27" ht="27" customHeight="1">
      <c r="A471" s="1167"/>
      <c r="B471" s="1228" t="s">
        <v>1276</v>
      </c>
      <c r="C471" s="1154" t="s">
        <v>2129</v>
      </c>
      <c r="D471" s="1209" t="s">
        <v>2128</v>
      </c>
      <c r="E471" s="1126"/>
      <c r="F471" s="1228">
        <v>0.55000000000000004</v>
      </c>
      <c r="G471" s="952" t="s">
        <v>0</v>
      </c>
      <c r="H471" s="952" t="s">
        <v>5113</v>
      </c>
      <c r="I471" s="952"/>
      <c r="J471" s="230" t="s">
        <v>2127</v>
      </c>
      <c r="K471" s="952">
        <v>1</v>
      </c>
      <c r="L471" s="231" t="s">
        <v>5807</v>
      </c>
      <c r="M471" s="194"/>
      <c r="N471" s="1167">
        <f t="shared" si="51"/>
        <v>0</v>
      </c>
      <c r="O471" s="1116" t="str">
        <f t="shared" si="56"/>
        <v>نصب بادگیر سمت راست رادیاتور</v>
      </c>
      <c r="P471" s="1117" t="str">
        <f t="shared" si="56"/>
        <v>SX5K-8401-3</v>
      </c>
      <c r="Q471" s="586" t="str">
        <f t="shared" si="52"/>
        <v>SX7H-8401320</v>
      </c>
      <c r="R471" s="585" t="str">
        <f t="shared" si="55"/>
        <v>بادگیر سمت راست رادیاتور</v>
      </c>
      <c r="S471" s="586">
        <f t="shared" si="55"/>
        <v>1</v>
      </c>
      <c r="T471" s="589"/>
      <c r="U471" s="589"/>
      <c r="V471" s="589"/>
      <c r="W471" s="805"/>
      <c r="X471" s="806"/>
      <c r="Y471" s="806"/>
      <c r="Z471" s="589"/>
      <c r="AA471" s="724"/>
    </row>
    <row r="472" spans="1:27" ht="27" customHeight="1">
      <c r="A472" s="1167"/>
      <c r="B472" s="1228"/>
      <c r="C472" s="1154" t="s">
        <v>1248</v>
      </c>
      <c r="D472" s="1209"/>
      <c r="E472" s="1126"/>
      <c r="F472" s="1228"/>
      <c r="G472" s="952" t="s">
        <v>1</v>
      </c>
      <c r="H472" s="952" t="s">
        <v>73</v>
      </c>
      <c r="I472" s="952"/>
      <c r="J472" s="230" t="s">
        <v>1251</v>
      </c>
      <c r="K472" s="952">
        <v>2</v>
      </c>
      <c r="L472" s="231" t="s">
        <v>5873</v>
      </c>
      <c r="M472" s="194"/>
      <c r="N472" s="1167">
        <f t="shared" si="51"/>
        <v>0</v>
      </c>
      <c r="O472" s="1116"/>
      <c r="P472" s="1117"/>
      <c r="Q472" s="586" t="str">
        <f t="shared" si="52"/>
        <v>BL346</v>
      </c>
      <c r="R472" s="585" t="str">
        <f t="shared" si="55"/>
        <v>بست فشاری</v>
      </c>
      <c r="S472" s="586">
        <f t="shared" si="55"/>
        <v>2</v>
      </c>
      <c r="T472" s="589"/>
      <c r="U472" s="589"/>
      <c r="V472" s="589"/>
      <c r="W472" s="589"/>
      <c r="X472" s="590"/>
      <c r="Y472" s="590"/>
      <c r="Z472" s="589"/>
      <c r="AA472" s="724"/>
    </row>
    <row r="473" spans="1:27" ht="27" customHeight="1">
      <c r="A473" s="1167"/>
      <c r="B473" s="1228" t="s">
        <v>1276</v>
      </c>
      <c r="C473" s="1154" t="s">
        <v>2126</v>
      </c>
      <c r="D473" s="1209" t="s">
        <v>5029</v>
      </c>
      <c r="E473" s="1126"/>
      <c r="F473" s="1228">
        <v>0.52</v>
      </c>
      <c r="G473" s="952" t="s">
        <v>0</v>
      </c>
      <c r="H473" s="952" t="s">
        <v>5114</v>
      </c>
      <c r="I473" s="952"/>
      <c r="J473" s="230" t="s">
        <v>2125</v>
      </c>
      <c r="K473" s="952">
        <v>1</v>
      </c>
      <c r="L473" s="231" t="s">
        <v>5807</v>
      </c>
      <c r="M473" s="194"/>
      <c r="N473" s="1167">
        <f t="shared" si="51"/>
        <v>0</v>
      </c>
      <c r="O473" s="1116" t="str">
        <f t="shared" si="56"/>
        <v>نصب بادگیر سمت چپ رادیاتور</v>
      </c>
      <c r="P473" s="1117" t="str">
        <f t="shared" si="56"/>
        <v>SX5-8401-1</v>
      </c>
      <c r="Q473" s="586" t="str">
        <f t="shared" si="52"/>
        <v>SX7H-8401310</v>
      </c>
      <c r="R473" s="585" t="str">
        <f t="shared" si="55"/>
        <v>بادگیر سمت چپ رادیاتور</v>
      </c>
      <c r="S473" s="586">
        <f t="shared" si="55"/>
        <v>1</v>
      </c>
      <c r="T473" s="589"/>
      <c r="U473" s="589"/>
      <c r="V473" s="589"/>
      <c r="W473" s="589"/>
      <c r="X473" s="590"/>
      <c r="Y473" s="590"/>
      <c r="Z473" s="589"/>
      <c r="AA473" s="724"/>
    </row>
    <row r="474" spans="1:27" ht="27" customHeight="1">
      <c r="A474" s="1167"/>
      <c r="B474" s="1228"/>
      <c r="C474" s="1154" t="s">
        <v>1248</v>
      </c>
      <c r="D474" s="1209"/>
      <c r="E474" s="1126"/>
      <c r="F474" s="1228"/>
      <c r="G474" s="952" t="s">
        <v>1</v>
      </c>
      <c r="H474" s="952" t="s">
        <v>73</v>
      </c>
      <c r="I474" s="952"/>
      <c r="J474" s="230" t="s">
        <v>1251</v>
      </c>
      <c r="K474" s="952">
        <v>2</v>
      </c>
      <c r="L474" s="231" t="s">
        <v>5873</v>
      </c>
      <c r="M474" s="194"/>
      <c r="N474" s="1167">
        <f t="shared" si="51"/>
        <v>0</v>
      </c>
      <c r="O474" s="1116"/>
      <c r="P474" s="1117"/>
      <c r="Q474" s="586" t="str">
        <f t="shared" si="52"/>
        <v>BL346</v>
      </c>
      <c r="R474" s="585" t="str">
        <f t="shared" si="55"/>
        <v>بست فشاری</v>
      </c>
      <c r="S474" s="586">
        <f t="shared" si="55"/>
        <v>2</v>
      </c>
      <c r="T474" s="589"/>
      <c r="U474" s="589"/>
      <c r="V474" s="589"/>
      <c r="W474" s="589"/>
      <c r="X474" s="590"/>
      <c r="Y474" s="590"/>
      <c r="Z474" s="589"/>
      <c r="AA474" s="724"/>
    </row>
    <row r="475" spans="1:27" ht="27" customHeight="1">
      <c r="A475" s="1167"/>
      <c r="B475" s="1228" t="s">
        <v>1276</v>
      </c>
      <c r="C475" s="1154" t="s">
        <v>2124</v>
      </c>
      <c r="D475" s="1209" t="s">
        <v>2123</v>
      </c>
      <c r="E475" s="1213"/>
      <c r="F475" s="1228">
        <v>0.42</v>
      </c>
      <c r="G475" s="952" t="s">
        <v>0</v>
      </c>
      <c r="H475" s="774" t="s">
        <v>5414</v>
      </c>
      <c r="I475" s="774" t="s">
        <v>5198</v>
      </c>
      <c r="J475" s="230" t="s">
        <v>2122</v>
      </c>
      <c r="K475" s="952">
        <v>1</v>
      </c>
      <c r="L475" s="231" t="s">
        <v>5807</v>
      </c>
      <c r="M475" s="194"/>
      <c r="N475" s="1167">
        <f t="shared" ref="N475:N480" si="60">A475</f>
        <v>0</v>
      </c>
      <c r="O475" s="1116" t="str">
        <f t="shared" si="56"/>
        <v>نصب بادگیر زیر رادیاتور</v>
      </c>
      <c r="P475" s="1117" t="str">
        <f t="shared" si="56"/>
        <v>SX5-8401-2</v>
      </c>
      <c r="Q475" s="586" t="str">
        <f t="shared" si="52"/>
        <v>SX7H-8401240S</v>
      </c>
      <c r="R475" s="585" t="str">
        <f t="shared" si="55"/>
        <v>بادگیر زیر رادیاتور</v>
      </c>
      <c r="S475" s="586">
        <f t="shared" si="55"/>
        <v>1</v>
      </c>
      <c r="T475" s="589"/>
      <c r="U475" s="589"/>
      <c r="V475" s="589"/>
      <c r="W475" s="589"/>
      <c r="X475" s="590"/>
      <c r="Y475" s="590"/>
      <c r="Z475" s="589"/>
      <c r="AA475" s="724"/>
    </row>
    <row r="476" spans="1:27" ht="27" customHeight="1">
      <c r="A476" s="1167"/>
      <c r="B476" s="1228"/>
      <c r="C476" s="1154" t="s">
        <v>1248</v>
      </c>
      <c r="D476" s="1209"/>
      <c r="E476" s="1213"/>
      <c r="F476" s="1228"/>
      <c r="G476" s="952" t="s">
        <v>1</v>
      </c>
      <c r="H476" s="952" t="s">
        <v>73</v>
      </c>
      <c r="I476" s="935"/>
      <c r="J476" s="230" t="s">
        <v>1251</v>
      </c>
      <c r="K476" s="952">
        <v>6</v>
      </c>
      <c r="L476" s="231" t="s">
        <v>5873</v>
      </c>
      <c r="M476" s="194"/>
      <c r="N476" s="1167">
        <f t="shared" si="60"/>
        <v>0</v>
      </c>
      <c r="O476" s="1116"/>
      <c r="P476" s="1117"/>
      <c r="Q476" s="586" t="str">
        <f t="shared" si="52"/>
        <v>BL346</v>
      </c>
      <c r="R476" s="585" t="str">
        <f t="shared" si="55"/>
        <v>بست فشاری</v>
      </c>
      <c r="S476" s="586">
        <f t="shared" si="55"/>
        <v>6</v>
      </c>
      <c r="T476" s="639"/>
      <c r="U476" s="639"/>
      <c r="V476" s="639"/>
      <c r="W476" s="591"/>
      <c r="X476" s="639"/>
      <c r="Y476" s="639"/>
      <c r="Z476" s="639"/>
      <c r="AA476" s="731"/>
    </row>
    <row r="477" spans="1:27" ht="27" customHeight="1">
      <c r="A477" s="1167"/>
      <c r="B477" s="1151" t="s">
        <v>1276</v>
      </c>
      <c r="C477" s="1154" t="s">
        <v>2121</v>
      </c>
      <c r="D477" s="1209" t="s">
        <v>236</v>
      </c>
      <c r="E477" s="1126" t="s">
        <v>4973</v>
      </c>
      <c r="F477" s="1151">
        <v>1.012</v>
      </c>
      <c r="G477" s="952" t="s">
        <v>0</v>
      </c>
      <c r="H477" s="952" t="s">
        <v>237</v>
      </c>
      <c r="I477" s="952"/>
      <c r="J477" s="230" t="s">
        <v>2120</v>
      </c>
      <c r="K477" s="952">
        <v>1</v>
      </c>
      <c r="L477" s="231" t="s">
        <v>5807</v>
      </c>
      <c r="M477" s="194"/>
      <c r="N477" s="1167">
        <f t="shared" si="60"/>
        <v>0</v>
      </c>
      <c r="O477" s="1116" t="str">
        <f t="shared" si="56"/>
        <v>نصب بوق الکتریکی حلزونی</v>
      </c>
      <c r="P477" s="1117" t="str">
        <f t="shared" si="56"/>
        <v>SX5-3721-2</v>
      </c>
      <c r="Q477" s="586" t="str">
        <f t="shared" ref="Q477:Q515" si="61">H477</f>
        <v>BM3-3721110</v>
      </c>
      <c r="R477" s="585" t="str">
        <f t="shared" si="55"/>
        <v>بوق الکتریکی حلزون شکل(صدای زیر)</v>
      </c>
      <c r="S477" s="586">
        <f t="shared" si="55"/>
        <v>1</v>
      </c>
      <c r="T477" s="589"/>
      <c r="U477" s="589"/>
      <c r="V477" s="589"/>
      <c r="W477" s="589"/>
      <c r="X477" s="590"/>
      <c r="Y477" s="590"/>
      <c r="Z477" s="589"/>
      <c r="AA477" s="724"/>
    </row>
    <row r="478" spans="1:27" ht="27" customHeight="1">
      <c r="A478" s="1167"/>
      <c r="B478" s="1151"/>
      <c r="C478" s="1154" t="s">
        <v>1248</v>
      </c>
      <c r="D478" s="1209"/>
      <c r="E478" s="1126"/>
      <c r="F478" s="1151"/>
      <c r="G478" s="952" t="s">
        <v>0</v>
      </c>
      <c r="H478" s="952" t="s">
        <v>2119</v>
      </c>
      <c r="I478" s="952"/>
      <c r="J478" s="230" t="s">
        <v>2118</v>
      </c>
      <c r="K478" s="952">
        <v>1</v>
      </c>
      <c r="L478" s="231" t="s">
        <v>5807</v>
      </c>
      <c r="M478" s="194"/>
      <c r="N478" s="1167">
        <f t="shared" si="60"/>
        <v>0</v>
      </c>
      <c r="O478" s="1116"/>
      <c r="P478" s="1117"/>
      <c r="Q478" s="586" t="str">
        <f t="shared" si="61"/>
        <v>BM3-3721120</v>
      </c>
      <c r="R478" s="585" t="str">
        <f t="shared" si="55"/>
        <v>بوق الکتریکی حلزونی شکل (صدای بم)</v>
      </c>
      <c r="S478" s="586">
        <f t="shared" si="55"/>
        <v>1</v>
      </c>
      <c r="T478" s="589"/>
      <c r="U478" s="589"/>
      <c r="V478" s="589"/>
      <c r="W478" s="589"/>
      <c r="X478" s="590"/>
      <c r="Y478" s="590"/>
      <c r="Z478" s="589"/>
      <c r="AA478" s="724"/>
    </row>
    <row r="479" spans="1:27" ht="27" customHeight="1" thickBot="1">
      <c r="A479" s="1168"/>
      <c r="B479" s="1232"/>
      <c r="C479" s="1186" t="s">
        <v>1248</v>
      </c>
      <c r="D479" s="1159"/>
      <c r="E479" s="1214"/>
      <c r="F479" s="1232"/>
      <c r="G479" s="953" t="s">
        <v>1</v>
      </c>
      <c r="H479" s="953" t="s">
        <v>945</v>
      </c>
      <c r="I479" s="953"/>
      <c r="J479" s="272" t="s">
        <v>1499</v>
      </c>
      <c r="K479" s="953">
        <v>2</v>
      </c>
      <c r="L479" s="250" t="s">
        <v>5882</v>
      </c>
      <c r="M479" s="194"/>
      <c r="N479" s="1168">
        <f t="shared" si="60"/>
        <v>0</v>
      </c>
      <c r="O479" s="1186"/>
      <c r="P479" s="1159"/>
      <c r="Q479" s="251" t="str">
        <f t="shared" si="61"/>
        <v>Q1460616F38</v>
      </c>
      <c r="R479" s="274" t="str">
        <f t="shared" si="55"/>
        <v>پیچ سر شش گوش واشردار</v>
      </c>
      <c r="S479" s="251">
        <f t="shared" si="55"/>
        <v>2</v>
      </c>
      <c r="T479" s="386">
        <v>6</v>
      </c>
      <c r="U479" s="386">
        <v>8</v>
      </c>
      <c r="V479" s="386">
        <v>10</v>
      </c>
      <c r="W479" s="387" t="s">
        <v>5431</v>
      </c>
      <c r="X479" s="350" t="s">
        <v>5554</v>
      </c>
      <c r="Y479" s="350" t="s">
        <v>5561</v>
      </c>
      <c r="Z479" s="283"/>
      <c r="AA479" s="285"/>
    </row>
    <row r="480" spans="1:27" ht="38.25" customHeight="1">
      <c r="A480" s="1284" t="s">
        <v>2117</v>
      </c>
      <c r="B480" s="1218" t="s">
        <v>2099</v>
      </c>
      <c r="C480" s="1215" t="s">
        <v>2116</v>
      </c>
      <c r="D480" s="1211" t="s">
        <v>228</v>
      </c>
      <c r="E480" s="1219"/>
      <c r="F480" s="1218">
        <v>0.91</v>
      </c>
      <c r="G480" s="997" t="s">
        <v>0</v>
      </c>
      <c r="H480" s="997" t="s">
        <v>85</v>
      </c>
      <c r="I480" s="997"/>
      <c r="J480" s="221" t="s">
        <v>1470</v>
      </c>
      <c r="K480" s="997">
        <v>2</v>
      </c>
      <c r="L480" s="222" t="s">
        <v>5877</v>
      </c>
      <c r="M480" s="194"/>
      <c r="N480" s="1203" t="str">
        <f t="shared" si="60"/>
        <v>P37</v>
      </c>
      <c r="O480" s="1169" t="str">
        <f t="shared" si="56"/>
        <v>نصب قاب ستون وسط بالا راست</v>
      </c>
      <c r="P480" s="1142" t="str">
        <f t="shared" si="56"/>
        <v>SX5-5402-2</v>
      </c>
      <c r="Q480" s="225" t="str">
        <f t="shared" si="61"/>
        <v>BL338</v>
      </c>
      <c r="R480" s="224" t="str">
        <f t="shared" si="55"/>
        <v>خار پلاستیکی</v>
      </c>
      <c r="S480" s="225">
        <f t="shared" si="55"/>
        <v>2</v>
      </c>
      <c r="T480" s="226"/>
      <c r="U480" s="226"/>
      <c r="V480" s="226"/>
      <c r="W480" s="226"/>
      <c r="X480" s="227"/>
      <c r="Y480" s="227"/>
      <c r="Z480" s="226"/>
      <c r="AA480" s="228"/>
    </row>
    <row r="481" spans="1:34" ht="38.25" customHeight="1">
      <c r="A481" s="1285"/>
      <c r="B481" s="1227"/>
      <c r="C481" s="1201"/>
      <c r="D481" s="1202"/>
      <c r="E481" s="1165"/>
      <c r="F481" s="1227"/>
      <c r="G481" s="952" t="s">
        <v>1</v>
      </c>
      <c r="H481" s="952" t="s">
        <v>230</v>
      </c>
      <c r="I481" s="952"/>
      <c r="J481" s="230" t="s">
        <v>2115</v>
      </c>
      <c r="K481" s="952">
        <v>1</v>
      </c>
      <c r="L481" s="231" t="s">
        <v>5886</v>
      </c>
      <c r="M481" s="194"/>
      <c r="N481" s="1204"/>
      <c r="O481" s="1116"/>
      <c r="P481" s="1117"/>
      <c r="Q481" s="586" t="str">
        <f t="shared" si="61"/>
        <v>SX5-5402220B</v>
      </c>
      <c r="R481" s="585" t="str">
        <f t="shared" si="55"/>
        <v>قاب ستون بالا وسط راست</v>
      </c>
      <c r="S481" s="586">
        <f t="shared" si="55"/>
        <v>1</v>
      </c>
      <c r="T481" s="589"/>
      <c r="U481" s="589"/>
      <c r="V481" s="589"/>
      <c r="W481" s="589"/>
      <c r="X481" s="590"/>
      <c r="Y481" s="590"/>
      <c r="Z481" s="589"/>
      <c r="AA481" s="724"/>
    </row>
    <row r="482" spans="1:34" ht="38.25" customHeight="1">
      <c r="A482" s="1285"/>
      <c r="B482" s="1161"/>
      <c r="C482" s="1153"/>
      <c r="D482" s="1121"/>
      <c r="E482" s="1123"/>
      <c r="F482" s="1161"/>
      <c r="G482" s="952" t="s">
        <v>2</v>
      </c>
      <c r="H482" s="952" t="s">
        <v>86</v>
      </c>
      <c r="I482" s="952" t="s">
        <v>5397</v>
      </c>
      <c r="J482" s="230" t="s">
        <v>1252</v>
      </c>
      <c r="K482" s="952">
        <v>2</v>
      </c>
      <c r="L482" s="231" t="s">
        <v>5877</v>
      </c>
      <c r="M482" s="194"/>
      <c r="N482" s="1204"/>
      <c r="O482" s="1116"/>
      <c r="P482" s="1117"/>
      <c r="Q482" s="586" t="str">
        <f t="shared" si="61"/>
        <v>Q2734816F38</v>
      </c>
      <c r="R482" s="585" t="str">
        <f t="shared" si="55"/>
        <v xml:space="preserve">پیچ خودکار چهارسو </v>
      </c>
      <c r="S482" s="586">
        <f t="shared" si="55"/>
        <v>2</v>
      </c>
      <c r="T482" s="614">
        <v>2.5</v>
      </c>
      <c r="U482" s="614">
        <v>3</v>
      </c>
      <c r="V482" s="614">
        <v>3.5</v>
      </c>
      <c r="W482" s="615" t="s">
        <v>5461</v>
      </c>
      <c r="X482" s="614" t="s">
        <v>5451</v>
      </c>
      <c r="Y482" s="614" t="s">
        <v>5562</v>
      </c>
      <c r="Z482" s="589"/>
      <c r="AA482" s="724"/>
    </row>
    <row r="483" spans="1:34" ht="38.25" customHeight="1">
      <c r="A483" s="1285"/>
      <c r="B483" s="1160" t="s">
        <v>2099</v>
      </c>
      <c r="C483" s="1152" t="s">
        <v>5303</v>
      </c>
      <c r="D483" s="1120" t="s">
        <v>6223</v>
      </c>
      <c r="E483" s="1122"/>
      <c r="F483" s="1160"/>
      <c r="G483" s="952" t="s">
        <v>0</v>
      </c>
      <c r="H483" s="952" t="s">
        <v>5116</v>
      </c>
      <c r="I483" s="952"/>
      <c r="J483" s="260" t="s">
        <v>5286</v>
      </c>
      <c r="K483" s="952">
        <v>1</v>
      </c>
      <c r="L483" s="231" t="s">
        <v>5887</v>
      </c>
      <c r="M483" s="194"/>
      <c r="N483" s="1204"/>
      <c r="O483" s="1116" t="s">
        <v>5303</v>
      </c>
      <c r="P483" s="1117" t="s">
        <v>5866</v>
      </c>
      <c r="Q483" s="586" t="str">
        <f t="shared" si="61"/>
        <v>SX5F-5402310KD-Y1</v>
      </c>
      <c r="R483" s="605" t="s">
        <v>5286</v>
      </c>
      <c r="S483" s="586">
        <f t="shared" si="55"/>
        <v>1</v>
      </c>
      <c r="T483" s="614"/>
      <c r="U483" s="614"/>
      <c r="V483" s="614"/>
      <c r="W483" s="615"/>
      <c r="X483" s="614"/>
      <c r="Y483" s="614"/>
      <c r="Z483" s="589"/>
      <c r="AA483" s="724"/>
    </row>
    <row r="484" spans="1:34" ht="38.25" customHeight="1">
      <c r="A484" s="1285"/>
      <c r="B484" s="1227"/>
      <c r="C484" s="1201"/>
      <c r="D484" s="1202"/>
      <c r="E484" s="1165"/>
      <c r="F484" s="1227"/>
      <c r="G484" s="952" t="s">
        <v>1</v>
      </c>
      <c r="H484" s="952" t="s">
        <v>5302</v>
      </c>
      <c r="I484" s="952"/>
      <c r="J484" s="260" t="s">
        <v>5287</v>
      </c>
      <c r="K484" s="952">
        <v>1</v>
      </c>
      <c r="L484" s="231" t="s">
        <v>5888</v>
      </c>
      <c r="M484" s="194"/>
      <c r="N484" s="1204"/>
      <c r="O484" s="1116"/>
      <c r="P484" s="1117"/>
      <c r="Q484" s="586" t="str">
        <f t="shared" si="61"/>
        <v>SX5F-5402320KD-Y1</v>
      </c>
      <c r="R484" s="605" t="s">
        <v>5287</v>
      </c>
      <c r="S484" s="586">
        <f t="shared" si="55"/>
        <v>1</v>
      </c>
      <c r="T484" s="614"/>
      <c r="U484" s="614"/>
      <c r="V484" s="614"/>
      <c r="W484" s="615"/>
      <c r="X484" s="614"/>
      <c r="Y484" s="614"/>
      <c r="Z484" s="589"/>
      <c r="AA484" s="724"/>
    </row>
    <row r="485" spans="1:34" ht="38.25" customHeight="1">
      <c r="A485" s="1285"/>
      <c r="B485" s="1227"/>
      <c r="C485" s="1201"/>
      <c r="D485" s="1202"/>
      <c r="E485" s="1165"/>
      <c r="F485" s="1227"/>
      <c r="G485" s="952" t="s">
        <v>2</v>
      </c>
      <c r="H485" s="952" t="s">
        <v>1397</v>
      </c>
      <c r="I485" s="952"/>
      <c r="J485" s="230" t="s">
        <v>1396</v>
      </c>
      <c r="K485" s="952">
        <v>16</v>
      </c>
      <c r="L485" s="231" t="s">
        <v>5877</v>
      </c>
      <c r="M485" s="194"/>
      <c r="N485" s="1204"/>
      <c r="O485" s="1116"/>
      <c r="P485" s="1117"/>
      <c r="Q485" s="586" t="str">
        <f t="shared" si="61"/>
        <v>SX6A-5402934</v>
      </c>
      <c r="R485" s="605" t="s">
        <v>1470</v>
      </c>
      <c r="S485" s="586">
        <f t="shared" si="55"/>
        <v>16</v>
      </c>
      <c r="T485" s="614"/>
      <c r="U485" s="614"/>
      <c r="V485" s="614"/>
      <c r="W485" s="615"/>
      <c r="X485" s="614"/>
      <c r="Y485" s="614"/>
      <c r="Z485" s="589"/>
      <c r="AA485" s="724"/>
    </row>
    <row r="486" spans="1:34" ht="38.25" customHeight="1">
      <c r="A486" s="1285"/>
      <c r="B486" s="935" t="s">
        <v>2099</v>
      </c>
      <c r="C486" s="929" t="s">
        <v>2114</v>
      </c>
      <c r="D486" s="931" t="s">
        <v>232</v>
      </c>
      <c r="E486" s="939"/>
      <c r="F486" s="935">
        <v>0.1</v>
      </c>
      <c r="G486" s="952" t="s">
        <v>0</v>
      </c>
      <c r="H486" s="354" t="s">
        <v>2113</v>
      </c>
      <c r="I486" s="354"/>
      <c r="J486" s="298" t="s">
        <v>2093</v>
      </c>
      <c r="K486" s="952">
        <v>1</v>
      </c>
      <c r="L486" s="231" t="s">
        <v>5877</v>
      </c>
      <c r="M486" s="194"/>
      <c r="N486" s="1204"/>
      <c r="O486" s="914" t="str">
        <f t="shared" si="56"/>
        <v>نصب کاور پیچ  قاب ستون وسط راست</v>
      </c>
      <c r="P486" s="915" t="str">
        <f t="shared" si="56"/>
        <v>SX5-5402-3</v>
      </c>
      <c r="Q486" s="635" t="str">
        <f t="shared" si="61"/>
        <v>SX5-5402217B</v>
      </c>
      <c r="R486" s="585" t="str">
        <f t="shared" si="55"/>
        <v>کاور روی پیچ  قاب ستون وسط</v>
      </c>
      <c r="S486" s="586">
        <f t="shared" si="55"/>
        <v>1</v>
      </c>
      <c r="T486" s="589"/>
      <c r="U486" s="589"/>
      <c r="V486" s="589"/>
      <c r="W486" s="589"/>
      <c r="X486" s="590"/>
      <c r="Y486" s="590"/>
      <c r="Z486" s="589"/>
      <c r="AA486" s="724"/>
    </row>
    <row r="487" spans="1:34" ht="38.25" customHeight="1">
      <c r="A487" s="1285"/>
      <c r="B487" s="1160" t="s">
        <v>2099</v>
      </c>
      <c r="C487" s="1152" t="s">
        <v>2112</v>
      </c>
      <c r="D487" s="1120" t="s">
        <v>233</v>
      </c>
      <c r="E487" s="1122"/>
      <c r="F487" s="1160">
        <v>1.84</v>
      </c>
      <c r="G487" s="952" t="s">
        <v>0</v>
      </c>
      <c r="H487" s="952" t="s">
        <v>1393</v>
      </c>
      <c r="I487" s="952"/>
      <c r="J487" s="230" t="s">
        <v>2111</v>
      </c>
      <c r="K487" s="952">
        <v>1</v>
      </c>
      <c r="L487" s="236"/>
      <c r="M487" s="194"/>
      <c r="N487" s="1204"/>
      <c r="O487" s="1116" t="str">
        <f t="shared" si="56"/>
        <v>نصب قاب ستون عقب بالا راست</v>
      </c>
      <c r="P487" s="1117" t="str">
        <f t="shared" si="56"/>
        <v>SX5F-5402-1</v>
      </c>
      <c r="Q487" s="586" t="str">
        <f t="shared" si="61"/>
        <v>-</v>
      </c>
      <c r="R487" s="585" t="str">
        <f t="shared" si="55"/>
        <v>قاب ستون عقب راست بالا-ساب شده</v>
      </c>
      <c r="S487" s="586">
        <f t="shared" si="55"/>
        <v>1</v>
      </c>
      <c r="T487" s="589"/>
      <c r="U487" s="589"/>
      <c r="V487" s="589"/>
      <c r="W487" s="589"/>
      <c r="X487" s="590"/>
      <c r="Y487" s="590"/>
      <c r="Z487" s="589"/>
      <c r="AA487" s="724"/>
    </row>
    <row r="488" spans="1:34" ht="38.25" customHeight="1">
      <c r="A488" s="1285"/>
      <c r="B488" s="1227"/>
      <c r="C488" s="1201"/>
      <c r="D488" s="1202"/>
      <c r="E488" s="1165"/>
      <c r="F488" s="1227"/>
      <c r="G488" s="952" t="s">
        <v>1</v>
      </c>
      <c r="H488" s="952" t="s">
        <v>85</v>
      </c>
      <c r="I488" s="952"/>
      <c r="J488" s="230" t="s">
        <v>1470</v>
      </c>
      <c r="K488" s="952">
        <v>1</v>
      </c>
      <c r="L488" s="231" t="s">
        <v>5877</v>
      </c>
      <c r="M488" s="194"/>
      <c r="N488" s="1204"/>
      <c r="O488" s="1116"/>
      <c r="P488" s="1117"/>
      <c r="Q488" s="586" t="str">
        <f t="shared" si="61"/>
        <v>BL338</v>
      </c>
      <c r="R488" s="585" t="str">
        <f t="shared" si="55"/>
        <v>خار پلاستیکی</v>
      </c>
      <c r="S488" s="586">
        <f t="shared" si="55"/>
        <v>1</v>
      </c>
      <c r="T488" s="589"/>
      <c r="U488" s="589"/>
      <c r="V488" s="589"/>
      <c r="W488" s="589"/>
      <c r="X488" s="590"/>
      <c r="Y488" s="590"/>
      <c r="Z488" s="589"/>
      <c r="AA488" s="724"/>
    </row>
    <row r="489" spans="1:34" ht="38.25" customHeight="1">
      <c r="A489" s="1285"/>
      <c r="B489" s="1227"/>
      <c r="C489" s="1201"/>
      <c r="D489" s="1202"/>
      <c r="E489" s="1165"/>
      <c r="F489" s="1227"/>
      <c r="G489" s="952" t="s">
        <v>2</v>
      </c>
      <c r="H489" s="952" t="s">
        <v>86</v>
      </c>
      <c r="I489" s="952" t="s">
        <v>5397</v>
      </c>
      <c r="J489" s="230" t="s">
        <v>1252</v>
      </c>
      <c r="K489" s="952">
        <v>1</v>
      </c>
      <c r="L489" s="231" t="s">
        <v>5877</v>
      </c>
      <c r="M489" s="194"/>
      <c r="N489" s="1204"/>
      <c r="O489" s="1116"/>
      <c r="P489" s="1117"/>
      <c r="Q489" s="586" t="str">
        <f t="shared" si="61"/>
        <v>Q2734816F38</v>
      </c>
      <c r="R489" s="585" t="str">
        <f t="shared" si="55"/>
        <v xml:space="preserve">پیچ خودکار چهارسو </v>
      </c>
      <c r="S489" s="586">
        <f t="shared" si="55"/>
        <v>1</v>
      </c>
      <c r="T489" s="614">
        <v>2.5</v>
      </c>
      <c r="U489" s="614">
        <v>3</v>
      </c>
      <c r="V489" s="614">
        <v>3.5</v>
      </c>
      <c r="W489" s="615" t="s">
        <v>5461</v>
      </c>
      <c r="X489" s="614" t="s">
        <v>5451</v>
      </c>
      <c r="Y489" s="614" t="s">
        <v>5562</v>
      </c>
      <c r="Z489" s="589"/>
      <c r="AA489" s="724"/>
    </row>
    <row r="490" spans="1:34" ht="38.25" customHeight="1">
      <c r="A490" s="1285"/>
      <c r="B490" s="1161"/>
      <c r="C490" s="1153"/>
      <c r="D490" s="1121"/>
      <c r="E490" s="1123"/>
      <c r="F490" s="1161"/>
      <c r="G490" s="952" t="s">
        <v>7</v>
      </c>
      <c r="H490" s="354" t="s">
        <v>6108</v>
      </c>
      <c r="I490" s="354"/>
      <c r="J490" s="230" t="s">
        <v>2110</v>
      </c>
      <c r="K490" s="952">
        <v>1</v>
      </c>
      <c r="L490" s="231" t="s">
        <v>5873</v>
      </c>
      <c r="M490" s="194"/>
      <c r="N490" s="1204"/>
      <c r="O490" s="1116"/>
      <c r="P490" s="1117"/>
      <c r="Q490" s="635" t="str">
        <f t="shared" si="61"/>
        <v>SX5-5402314B</v>
      </c>
      <c r="R490" s="585" t="str">
        <f t="shared" si="55"/>
        <v>کاور روی پیچ قاب ستون عقب راست بالا</v>
      </c>
      <c r="S490" s="586">
        <f t="shared" si="55"/>
        <v>1</v>
      </c>
      <c r="T490" s="589"/>
      <c r="U490" s="589"/>
      <c r="V490" s="589"/>
      <c r="W490" s="589"/>
      <c r="X490" s="590"/>
      <c r="Y490" s="590"/>
      <c r="Z490" s="589"/>
      <c r="AA490" s="724"/>
    </row>
    <row r="491" spans="1:34" ht="38.25" customHeight="1">
      <c r="A491" s="1285"/>
      <c r="B491" s="935" t="s">
        <v>2099</v>
      </c>
      <c r="C491" s="929" t="s">
        <v>2109</v>
      </c>
      <c r="D491" s="931" t="s">
        <v>358</v>
      </c>
      <c r="E491" s="939"/>
      <c r="F491" s="935">
        <v>2.0099999999999998</v>
      </c>
      <c r="G491" s="952" t="s">
        <v>0</v>
      </c>
      <c r="H491" s="952" t="s">
        <v>359</v>
      </c>
      <c r="I491" s="952"/>
      <c r="J491" s="230" t="s">
        <v>2108</v>
      </c>
      <c r="K491" s="952">
        <v>1</v>
      </c>
      <c r="L491" s="231" t="s">
        <v>5854</v>
      </c>
      <c r="M491" s="194"/>
      <c r="N491" s="1204"/>
      <c r="O491" s="914" t="str">
        <f t="shared" si="56"/>
        <v>نصب قاب ستون های وسط پایین راست</v>
      </c>
      <c r="P491" s="915" t="str">
        <f t="shared" si="56"/>
        <v>SX5-5402-1</v>
      </c>
      <c r="Q491" s="586" t="str">
        <f t="shared" si="61"/>
        <v>SX5F-5402240-Y1</v>
      </c>
      <c r="R491" s="585" t="str">
        <f t="shared" si="55"/>
        <v>قاب ستون پایین وسط راست</v>
      </c>
      <c r="S491" s="586">
        <f t="shared" si="55"/>
        <v>1</v>
      </c>
      <c r="T491" s="589"/>
      <c r="U491" s="589"/>
      <c r="V491" s="589"/>
      <c r="W491" s="589"/>
      <c r="X491" s="590"/>
      <c r="Y491" s="590"/>
      <c r="Z491" s="589"/>
      <c r="AA491" s="724"/>
    </row>
    <row r="492" spans="1:34" ht="38.25" customHeight="1">
      <c r="A492" s="1285"/>
      <c r="B492" s="935" t="s">
        <v>2099</v>
      </c>
      <c r="C492" s="929" t="s">
        <v>2107</v>
      </c>
      <c r="D492" s="931" t="s">
        <v>388</v>
      </c>
      <c r="E492" s="939"/>
      <c r="F492" s="935">
        <v>1.03715166666667</v>
      </c>
      <c r="G492" s="952" t="s">
        <v>0</v>
      </c>
      <c r="H492" s="952" t="s">
        <v>390</v>
      </c>
      <c r="I492" s="952"/>
      <c r="J492" s="230" t="s">
        <v>2106</v>
      </c>
      <c r="K492" s="952">
        <v>1</v>
      </c>
      <c r="L492" s="231" t="s">
        <v>5889</v>
      </c>
      <c r="M492" s="194"/>
      <c r="N492" s="1204"/>
      <c r="O492" s="914" t="str">
        <f t="shared" si="56"/>
        <v>نصب قاب درگاهی جلو راست</v>
      </c>
      <c r="P492" s="915" t="str">
        <f t="shared" si="56"/>
        <v>SX5-5402-8</v>
      </c>
      <c r="Q492" s="586" t="str">
        <f t="shared" si="61"/>
        <v>SX5-5402420</v>
      </c>
      <c r="R492" s="585" t="str">
        <f t="shared" si="55"/>
        <v>قاب درگاهی درب جلو راست</v>
      </c>
      <c r="S492" s="586">
        <f t="shared" si="55"/>
        <v>1</v>
      </c>
      <c r="T492" s="589"/>
      <c r="U492" s="589"/>
      <c r="V492" s="589"/>
      <c r="W492" s="589"/>
      <c r="X492" s="590"/>
      <c r="Y492" s="590"/>
      <c r="Z492" s="589"/>
      <c r="AA492" s="724"/>
    </row>
    <row r="493" spans="1:34" ht="38.25" customHeight="1">
      <c r="A493" s="1285"/>
      <c r="B493" s="1138" t="s">
        <v>2099</v>
      </c>
      <c r="C493" s="1152" t="s">
        <v>2105</v>
      </c>
      <c r="D493" s="1120" t="s">
        <v>385</v>
      </c>
      <c r="E493" s="1122"/>
      <c r="F493" s="1160">
        <v>0.61114166666666703</v>
      </c>
      <c r="G493" s="952" t="s">
        <v>0</v>
      </c>
      <c r="H493" s="952" t="s">
        <v>2104</v>
      </c>
      <c r="I493" s="952"/>
      <c r="J493" s="230" t="s">
        <v>2103</v>
      </c>
      <c r="K493" s="952">
        <v>1</v>
      </c>
      <c r="L493" s="231" t="s">
        <v>5890</v>
      </c>
      <c r="M493" s="194"/>
      <c r="N493" s="1204"/>
      <c r="O493" s="1116" t="str">
        <f t="shared" si="56"/>
        <v>نصب قاب ستون پایین جلو راست</v>
      </c>
      <c r="P493" s="1117" t="str">
        <f t="shared" si="56"/>
        <v>SX5-5402-7</v>
      </c>
      <c r="Q493" s="586" t="str">
        <f t="shared" si="61"/>
        <v>SX5F-5402160-Y1</v>
      </c>
      <c r="R493" s="585" t="str">
        <f t="shared" si="55"/>
        <v>قاب ستون جلو راست پایین</v>
      </c>
      <c r="S493" s="586">
        <f t="shared" si="55"/>
        <v>1</v>
      </c>
      <c r="T493" s="589"/>
      <c r="U493" s="589"/>
      <c r="V493" s="589"/>
      <c r="W493" s="589"/>
      <c r="X493" s="590"/>
      <c r="Y493" s="590"/>
      <c r="Z493" s="589"/>
      <c r="AA493" s="724"/>
    </row>
    <row r="494" spans="1:34" ht="38.25" customHeight="1">
      <c r="A494" s="1285"/>
      <c r="B494" s="1139"/>
      <c r="C494" s="1153" t="s">
        <v>1248</v>
      </c>
      <c r="D494" s="1121"/>
      <c r="E494" s="1123"/>
      <c r="F494" s="1161"/>
      <c r="G494" s="952" t="s">
        <v>1</v>
      </c>
      <c r="H494" s="952" t="s">
        <v>387</v>
      </c>
      <c r="I494" s="952"/>
      <c r="J494" s="230" t="s">
        <v>1250</v>
      </c>
      <c r="K494" s="952">
        <v>1</v>
      </c>
      <c r="L494" s="231" t="s">
        <v>5891</v>
      </c>
      <c r="M494" s="194"/>
      <c r="N494" s="1204"/>
      <c r="O494" s="1116"/>
      <c r="P494" s="1117"/>
      <c r="Q494" s="586" t="str">
        <f t="shared" si="61"/>
        <v>B-5512312</v>
      </c>
      <c r="R494" s="585" t="str">
        <f t="shared" si="55"/>
        <v>مهره پلاستیکی</v>
      </c>
      <c r="S494" s="586">
        <f t="shared" si="55"/>
        <v>1</v>
      </c>
      <c r="T494" s="589"/>
      <c r="U494" s="589"/>
      <c r="V494" s="589"/>
      <c r="W494" s="589"/>
      <c r="X494" s="590"/>
      <c r="Y494" s="590"/>
      <c r="Z494" s="589"/>
      <c r="AA494" s="724"/>
    </row>
    <row r="495" spans="1:34" ht="38.25" customHeight="1">
      <c r="A495" s="1285"/>
      <c r="B495" s="925" t="s">
        <v>2099</v>
      </c>
      <c r="C495" s="960" t="s">
        <v>2102</v>
      </c>
      <c r="D495" s="958" t="s">
        <v>2088</v>
      </c>
      <c r="E495" s="978" t="s">
        <v>4973</v>
      </c>
      <c r="F495" s="407">
        <v>0.5</v>
      </c>
      <c r="G495" s="975"/>
      <c r="H495" s="408" t="s">
        <v>1412</v>
      </c>
      <c r="I495" s="975"/>
      <c r="J495" s="409" t="s">
        <v>1828</v>
      </c>
      <c r="K495" s="975"/>
      <c r="L495" s="261"/>
      <c r="M495" s="194"/>
      <c r="N495" s="1204"/>
      <c r="O495" s="964" t="str">
        <f t="shared" si="56"/>
        <v>بستن پیچ بالا و پایین کمربند ایمنی جلو به ستون وسط راست</v>
      </c>
      <c r="P495" s="965" t="str">
        <f t="shared" si="56"/>
        <v>SX5-5810-8</v>
      </c>
      <c r="Q495" s="611" t="str">
        <f t="shared" si="61"/>
        <v>------</v>
      </c>
      <c r="R495" s="610" t="str">
        <f t="shared" si="55"/>
        <v>----------</v>
      </c>
      <c r="S495" s="586">
        <f t="shared" si="55"/>
        <v>0</v>
      </c>
      <c r="T495" s="614">
        <v>40</v>
      </c>
      <c r="U495" s="614">
        <v>45</v>
      </c>
      <c r="V495" s="614">
        <v>50</v>
      </c>
      <c r="W495" s="588" t="s">
        <v>5476</v>
      </c>
      <c r="X495" s="587" t="s">
        <v>5446</v>
      </c>
      <c r="Y495" s="614" t="s">
        <v>5563</v>
      </c>
      <c r="Z495" s="589"/>
      <c r="AA495" s="724"/>
    </row>
    <row r="496" spans="1:34" s="410" customFormat="1" ht="38.25" customHeight="1">
      <c r="A496" s="1285"/>
      <c r="B496" s="935" t="s">
        <v>2099</v>
      </c>
      <c r="C496" s="982" t="s">
        <v>2101</v>
      </c>
      <c r="D496" s="995" t="s">
        <v>2086</v>
      </c>
      <c r="E496" s="1001" t="s">
        <v>4973</v>
      </c>
      <c r="F496" s="405">
        <v>0.2</v>
      </c>
      <c r="G496" s="952"/>
      <c r="H496" s="292" t="s">
        <v>1412</v>
      </c>
      <c r="I496" s="952"/>
      <c r="J496" s="291" t="s">
        <v>1828</v>
      </c>
      <c r="K496" s="952"/>
      <c r="L496" s="236"/>
      <c r="M496" s="194"/>
      <c r="N496" s="1204"/>
      <c r="O496" s="964" t="str">
        <f t="shared" si="56"/>
        <v>بستن پیچ بالای کمربندهای ایمنی عقب به ستون عقب  راست</v>
      </c>
      <c r="P496" s="965" t="str">
        <f t="shared" si="56"/>
        <v>SX5-5810-9</v>
      </c>
      <c r="Q496" s="611" t="str">
        <f t="shared" si="61"/>
        <v>------</v>
      </c>
      <c r="R496" s="610" t="str">
        <f t="shared" si="55"/>
        <v>----------</v>
      </c>
      <c r="S496" s="586">
        <f t="shared" si="55"/>
        <v>0</v>
      </c>
      <c r="T496" s="614">
        <v>40</v>
      </c>
      <c r="U496" s="614">
        <v>45</v>
      </c>
      <c r="V496" s="614">
        <v>50</v>
      </c>
      <c r="W496" s="588" t="s">
        <v>5476</v>
      </c>
      <c r="X496" s="587" t="s">
        <v>5446</v>
      </c>
      <c r="Y496" s="614" t="s">
        <v>5563</v>
      </c>
      <c r="Z496" s="589"/>
      <c r="AA496" s="724"/>
      <c r="AB496" s="194"/>
      <c r="AC496" s="194"/>
      <c r="AD496" s="194"/>
      <c r="AE496" s="194"/>
      <c r="AF496" s="194"/>
      <c r="AG496" s="194"/>
      <c r="AH496" s="194"/>
    </row>
    <row r="497" spans="1:34" ht="38.25" customHeight="1" thickBot="1">
      <c r="A497" s="1286"/>
      <c r="B497" s="950" t="s">
        <v>2099</v>
      </c>
      <c r="C497" s="983" t="s">
        <v>2098</v>
      </c>
      <c r="D497" s="984" t="s">
        <v>2071</v>
      </c>
      <c r="E497" s="985"/>
      <c r="F497" s="950">
        <v>0.49561500000000003</v>
      </c>
      <c r="G497" s="1008" t="s">
        <v>697</v>
      </c>
      <c r="H497" s="1008" t="s">
        <v>2070</v>
      </c>
      <c r="I497" s="1008"/>
      <c r="J497" s="262" t="s">
        <v>2097</v>
      </c>
      <c r="K497" s="411">
        <v>1</v>
      </c>
      <c r="L497" s="250" t="s">
        <v>5830</v>
      </c>
      <c r="M497" s="194"/>
      <c r="N497" s="1205"/>
      <c r="O497" s="930" t="str">
        <f>C497</f>
        <v xml:space="preserve">  نصب قاب کشویی کمربند راست</v>
      </c>
      <c r="P497" s="932" t="str">
        <f>D497</f>
        <v>SX7A-5402-16</v>
      </c>
      <c r="Q497" s="251" t="str">
        <f>H497</f>
        <v>SX5-5402216</v>
      </c>
      <c r="R497" s="274" t="str">
        <f>J497</f>
        <v>قاب روی کشویی تنظیم ارتفاع کمربند ایمنی راست</v>
      </c>
      <c r="S497" s="251">
        <f>K497</f>
        <v>1</v>
      </c>
      <c r="T497" s="283"/>
      <c r="U497" s="283"/>
      <c r="V497" s="283"/>
      <c r="W497" s="283"/>
      <c r="X497" s="284"/>
      <c r="Y497" s="284"/>
      <c r="Z497" s="283"/>
      <c r="AA497" s="285"/>
    </row>
    <row r="498" spans="1:34" ht="42.75" customHeight="1">
      <c r="A498" s="1284" t="s">
        <v>2100</v>
      </c>
      <c r="B498" s="1222" t="s">
        <v>2099</v>
      </c>
      <c r="C498" s="1169" t="s">
        <v>2096</v>
      </c>
      <c r="D498" s="1142" t="s">
        <v>228</v>
      </c>
      <c r="E498" s="1221"/>
      <c r="F498" s="1222">
        <v>0.91</v>
      </c>
      <c r="G498" s="997" t="s">
        <v>0</v>
      </c>
      <c r="H498" s="997" t="s">
        <v>85</v>
      </c>
      <c r="I498" s="997"/>
      <c r="J498" s="221" t="s">
        <v>1470</v>
      </c>
      <c r="K498" s="997">
        <v>2</v>
      </c>
      <c r="L498" s="222" t="s">
        <v>5877</v>
      </c>
      <c r="M498" s="194"/>
      <c r="N498" s="1203" t="s">
        <v>2100</v>
      </c>
      <c r="O498" s="1169" t="str">
        <f t="shared" si="56"/>
        <v>نصب قاب ستون وسط بالا چپ</v>
      </c>
      <c r="P498" s="1142" t="str">
        <f t="shared" si="56"/>
        <v>SX5-5402-2</v>
      </c>
      <c r="Q498" s="225" t="str">
        <f t="shared" si="61"/>
        <v>BL338</v>
      </c>
      <c r="R498" s="224" t="str">
        <f t="shared" si="55"/>
        <v>خار پلاستیکی</v>
      </c>
      <c r="S498" s="225">
        <f t="shared" si="55"/>
        <v>2</v>
      </c>
      <c r="T498" s="226"/>
      <c r="U498" s="226"/>
      <c r="V498" s="226"/>
      <c r="W498" s="226"/>
      <c r="X498" s="227"/>
      <c r="Y498" s="227"/>
      <c r="Z498" s="226"/>
      <c r="AA498" s="228"/>
    </row>
    <row r="499" spans="1:34" ht="42.75" customHeight="1">
      <c r="A499" s="1285"/>
      <c r="B499" s="1151"/>
      <c r="C499" s="1154" t="s">
        <v>1248</v>
      </c>
      <c r="D499" s="1209"/>
      <c r="E499" s="1126"/>
      <c r="F499" s="1151"/>
      <c r="G499" s="952" t="s">
        <v>1</v>
      </c>
      <c r="H499" s="952" t="s">
        <v>229</v>
      </c>
      <c r="I499" s="952"/>
      <c r="J499" s="230" t="s">
        <v>2095</v>
      </c>
      <c r="K499" s="952">
        <v>1</v>
      </c>
      <c r="L499" s="231" t="s">
        <v>5892</v>
      </c>
      <c r="M499" s="194"/>
      <c r="N499" s="1204"/>
      <c r="O499" s="1116"/>
      <c r="P499" s="1117"/>
      <c r="Q499" s="586" t="str">
        <f t="shared" si="61"/>
        <v>SX5-5402210B</v>
      </c>
      <c r="R499" s="585" t="str">
        <f t="shared" si="55"/>
        <v>قاب ستون بالا وسط چپ</v>
      </c>
      <c r="S499" s="586">
        <f t="shared" si="55"/>
        <v>1</v>
      </c>
      <c r="T499" s="589"/>
      <c r="U499" s="589"/>
      <c r="V499" s="589"/>
      <c r="W499" s="589"/>
      <c r="X499" s="590"/>
      <c r="Y499" s="590"/>
      <c r="Z499" s="589"/>
      <c r="AA499" s="724"/>
    </row>
    <row r="500" spans="1:34" ht="42.75" customHeight="1">
      <c r="A500" s="1285"/>
      <c r="B500" s="1151"/>
      <c r="C500" s="1154" t="s">
        <v>1248</v>
      </c>
      <c r="D500" s="1209"/>
      <c r="E500" s="1126"/>
      <c r="F500" s="1151"/>
      <c r="G500" s="952" t="s">
        <v>2</v>
      </c>
      <c r="H500" s="952" t="s">
        <v>86</v>
      </c>
      <c r="I500" s="952" t="s">
        <v>5397</v>
      </c>
      <c r="J500" s="230" t="s">
        <v>1252</v>
      </c>
      <c r="K500" s="952">
        <v>2</v>
      </c>
      <c r="L500" s="231" t="s">
        <v>5877</v>
      </c>
      <c r="M500" s="194"/>
      <c r="N500" s="1204"/>
      <c r="O500" s="1116"/>
      <c r="P500" s="1117"/>
      <c r="Q500" s="586" t="str">
        <f t="shared" si="61"/>
        <v>Q2734816F38</v>
      </c>
      <c r="R500" s="585" t="str">
        <f t="shared" si="55"/>
        <v xml:space="preserve">پیچ خودکار چهارسو </v>
      </c>
      <c r="S500" s="586">
        <f t="shared" si="55"/>
        <v>2</v>
      </c>
      <c r="T500" s="614">
        <v>2.5</v>
      </c>
      <c r="U500" s="614">
        <v>3</v>
      </c>
      <c r="V500" s="614">
        <v>3.5</v>
      </c>
      <c r="W500" s="615" t="s">
        <v>5461</v>
      </c>
      <c r="X500" s="614" t="s">
        <v>5451</v>
      </c>
      <c r="Y500" s="614" t="s">
        <v>5560</v>
      </c>
      <c r="Z500" s="589"/>
      <c r="AA500" s="724"/>
    </row>
    <row r="501" spans="1:34" ht="42.75" customHeight="1">
      <c r="A501" s="1285"/>
      <c r="B501" s="935" t="s">
        <v>2099</v>
      </c>
      <c r="C501" s="929" t="s">
        <v>2094</v>
      </c>
      <c r="D501" s="931" t="s">
        <v>232</v>
      </c>
      <c r="E501" s="939"/>
      <c r="F501" s="935">
        <v>0.1</v>
      </c>
      <c r="G501" s="952" t="s">
        <v>0</v>
      </c>
      <c r="H501" s="354" t="s">
        <v>2074</v>
      </c>
      <c r="I501" s="354"/>
      <c r="J501" s="230" t="s">
        <v>2093</v>
      </c>
      <c r="K501" s="952">
        <v>1</v>
      </c>
      <c r="L501" s="231" t="s">
        <v>5877</v>
      </c>
      <c r="M501" s="194"/>
      <c r="N501" s="1204"/>
      <c r="O501" s="914" t="str">
        <f t="shared" si="56"/>
        <v>نصب کاور پیچ  قاب ستون وسط چپ</v>
      </c>
      <c r="P501" s="915" t="str">
        <f t="shared" si="56"/>
        <v>SX5-5402-3</v>
      </c>
      <c r="Q501" s="635" t="str">
        <f t="shared" si="61"/>
        <v>SX5-5402218B</v>
      </c>
      <c r="R501" s="585" t="str">
        <f t="shared" si="55"/>
        <v>کاور روی پیچ  قاب ستون وسط</v>
      </c>
      <c r="S501" s="586">
        <f t="shared" si="55"/>
        <v>1</v>
      </c>
      <c r="T501" s="589"/>
      <c r="U501" s="589"/>
      <c r="V501" s="589"/>
      <c r="W501" s="589"/>
      <c r="X501" s="590"/>
      <c r="Y501" s="590"/>
      <c r="Z501" s="589"/>
      <c r="AA501" s="724"/>
    </row>
    <row r="502" spans="1:34" ht="42.75" customHeight="1">
      <c r="A502" s="1285"/>
      <c r="B502" s="1151" t="s">
        <v>2099</v>
      </c>
      <c r="C502" s="1154" t="s">
        <v>2092</v>
      </c>
      <c r="D502" s="1209" t="s">
        <v>233</v>
      </c>
      <c r="E502" s="1126"/>
      <c r="F502" s="1151">
        <v>1.86</v>
      </c>
      <c r="G502" s="952" t="s">
        <v>0</v>
      </c>
      <c r="H502" s="952" t="s">
        <v>5285</v>
      </c>
      <c r="I502" s="952"/>
      <c r="J502" s="230" t="s">
        <v>2091</v>
      </c>
      <c r="K502" s="952">
        <v>1</v>
      </c>
      <c r="L502" s="236"/>
      <c r="M502" s="194"/>
      <c r="N502" s="1204"/>
      <c r="O502" s="1116" t="str">
        <f t="shared" si="56"/>
        <v>نصب قاب ستون عقب بالا چپ</v>
      </c>
      <c r="P502" s="1117" t="str">
        <f t="shared" si="56"/>
        <v>SX5F-5402-1</v>
      </c>
      <c r="Q502" s="586" t="str">
        <f t="shared" si="61"/>
        <v>...</v>
      </c>
      <c r="R502" s="585" t="str">
        <f t="shared" si="55"/>
        <v>قاب ستون عقب چپ بالا-ساب شده</v>
      </c>
      <c r="S502" s="586">
        <f t="shared" si="55"/>
        <v>1</v>
      </c>
      <c r="T502" s="589"/>
      <c r="U502" s="589"/>
      <c r="V502" s="589"/>
      <c r="W502" s="589"/>
      <c r="X502" s="590"/>
      <c r="Y502" s="590"/>
      <c r="Z502" s="589"/>
      <c r="AA502" s="724"/>
    </row>
    <row r="503" spans="1:34" ht="42.75" customHeight="1">
      <c r="A503" s="1285"/>
      <c r="B503" s="1151"/>
      <c r="C503" s="1154" t="s">
        <v>1248</v>
      </c>
      <c r="D503" s="1209"/>
      <c r="E503" s="1126"/>
      <c r="F503" s="1151"/>
      <c r="G503" s="952" t="s">
        <v>1</v>
      </c>
      <c r="H503" s="952" t="s">
        <v>85</v>
      </c>
      <c r="I503" s="952"/>
      <c r="J503" s="230" t="s">
        <v>1470</v>
      </c>
      <c r="K503" s="952">
        <v>1</v>
      </c>
      <c r="L503" s="231" t="s">
        <v>5877</v>
      </c>
      <c r="M503" s="194"/>
      <c r="N503" s="1204"/>
      <c r="O503" s="1116"/>
      <c r="P503" s="1117"/>
      <c r="Q503" s="586" t="str">
        <f t="shared" si="61"/>
        <v>BL338</v>
      </c>
      <c r="R503" s="585" t="str">
        <f t="shared" si="55"/>
        <v>خار پلاستیکی</v>
      </c>
      <c r="S503" s="586">
        <f t="shared" si="55"/>
        <v>1</v>
      </c>
      <c r="T503" s="589"/>
      <c r="U503" s="589"/>
      <c r="V503" s="589"/>
      <c r="W503" s="589"/>
      <c r="X503" s="590"/>
      <c r="Y503" s="590"/>
      <c r="Z503" s="589"/>
      <c r="AA503" s="724"/>
    </row>
    <row r="504" spans="1:34" ht="42.75" customHeight="1">
      <c r="A504" s="1285"/>
      <c r="B504" s="1151"/>
      <c r="C504" s="1154" t="s">
        <v>1248</v>
      </c>
      <c r="D504" s="1209"/>
      <c r="E504" s="1126"/>
      <c r="F504" s="1151"/>
      <c r="G504" s="952" t="s">
        <v>2</v>
      </c>
      <c r="H504" s="952" t="s">
        <v>86</v>
      </c>
      <c r="I504" s="952" t="s">
        <v>5397</v>
      </c>
      <c r="J504" s="230" t="s">
        <v>1252</v>
      </c>
      <c r="K504" s="952">
        <v>1</v>
      </c>
      <c r="L504" s="231" t="s">
        <v>5877</v>
      </c>
      <c r="M504" s="194"/>
      <c r="N504" s="1204"/>
      <c r="O504" s="1116"/>
      <c r="P504" s="1117"/>
      <c r="Q504" s="586" t="str">
        <f t="shared" si="61"/>
        <v>Q2734816F38</v>
      </c>
      <c r="R504" s="585" t="str">
        <f t="shared" si="55"/>
        <v xml:space="preserve">پیچ خودکار چهارسو </v>
      </c>
      <c r="S504" s="586">
        <f t="shared" si="55"/>
        <v>1</v>
      </c>
      <c r="T504" s="614">
        <v>2.5</v>
      </c>
      <c r="U504" s="614">
        <v>3</v>
      </c>
      <c r="V504" s="614">
        <v>3.5</v>
      </c>
      <c r="W504" s="615" t="s">
        <v>5461</v>
      </c>
      <c r="X504" s="614" t="s">
        <v>5451</v>
      </c>
      <c r="Y504" s="614" t="s">
        <v>5560</v>
      </c>
      <c r="Z504" s="589"/>
      <c r="AA504" s="724"/>
    </row>
    <row r="505" spans="1:34" ht="42.75" customHeight="1">
      <c r="A505" s="1285"/>
      <c r="B505" s="1151"/>
      <c r="C505" s="1154" t="s">
        <v>1248</v>
      </c>
      <c r="D505" s="1209"/>
      <c r="E505" s="1126"/>
      <c r="F505" s="1151"/>
      <c r="G505" s="952" t="s">
        <v>7</v>
      </c>
      <c r="H505" s="354" t="s">
        <v>6109</v>
      </c>
      <c r="I505" s="354"/>
      <c r="J505" s="230" t="s">
        <v>2090</v>
      </c>
      <c r="K505" s="952">
        <v>1</v>
      </c>
      <c r="L505" s="231" t="s">
        <v>5873</v>
      </c>
      <c r="M505" s="194"/>
      <c r="N505" s="1204"/>
      <c r="O505" s="1116"/>
      <c r="P505" s="1117"/>
      <c r="Q505" s="635" t="str">
        <f t="shared" si="61"/>
        <v>SX5-5402313B</v>
      </c>
      <c r="R505" s="585" t="str">
        <f t="shared" si="55"/>
        <v>کاور روی پیچ قاب ستون عقب چپ بالا</v>
      </c>
      <c r="S505" s="586">
        <f t="shared" si="55"/>
        <v>1</v>
      </c>
      <c r="T505" s="589"/>
      <c r="U505" s="589"/>
      <c r="V505" s="589"/>
      <c r="W505" s="589"/>
      <c r="X505" s="590"/>
      <c r="Y505" s="590"/>
      <c r="Z505" s="589"/>
      <c r="AA505" s="724"/>
    </row>
    <row r="506" spans="1:34" ht="42.75" customHeight="1">
      <c r="A506" s="1285"/>
      <c r="B506" s="935" t="s">
        <v>2099</v>
      </c>
      <c r="C506" s="982" t="s">
        <v>2089</v>
      </c>
      <c r="D506" s="995" t="s">
        <v>2088</v>
      </c>
      <c r="E506" s="1001" t="s">
        <v>4973</v>
      </c>
      <c r="F506" s="405">
        <v>0.51</v>
      </c>
      <c r="G506" s="952"/>
      <c r="H506" s="292" t="s">
        <v>1412</v>
      </c>
      <c r="I506" s="952"/>
      <c r="J506" s="291" t="s">
        <v>1828</v>
      </c>
      <c r="K506" s="952"/>
      <c r="L506" s="236"/>
      <c r="M506" s="194"/>
      <c r="N506" s="1204"/>
      <c r="O506" s="964" t="str">
        <f t="shared" si="56"/>
        <v>بستن پیچ بالا و پایین کمربند ایمنی جلو به ستون وسط چپ</v>
      </c>
      <c r="P506" s="965" t="str">
        <f t="shared" si="56"/>
        <v>SX5-5810-8</v>
      </c>
      <c r="Q506" s="611" t="str">
        <f t="shared" si="61"/>
        <v>------</v>
      </c>
      <c r="R506" s="610" t="str">
        <f t="shared" si="55"/>
        <v>----------</v>
      </c>
      <c r="S506" s="586">
        <f t="shared" si="55"/>
        <v>0</v>
      </c>
      <c r="T506" s="614">
        <v>40</v>
      </c>
      <c r="U506" s="614">
        <v>45</v>
      </c>
      <c r="V506" s="614">
        <v>50</v>
      </c>
      <c r="W506" s="588" t="s">
        <v>5476</v>
      </c>
      <c r="X506" s="587" t="s">
        <v>5446</v>
      </c>
      <c r="Y506" s="614" t="s">
        <v>5564</v>
      </c>
      <c r="Z506" s="589"/>
      <c r="AA506" s="724"/>
    </row>
    <row r="507" spans="1:34" ht="42.75" customHeight="1">
      <c r="A507" s="1285"/>
      <c r="B507" s="935" t="s">
        <v>2099</v>
      </c>
      <c r="C507" s="982" t="s">
        <v>2087</v>
      </c>
      <c r="D507" s="959" t="s">
        <v>2086</v>
      </c>
      <c r="E507" s="1001" t="s">
        <v>4973</v>
      </c>
      <c r="F507" s="405">
        <v>0.24</v>
      </c>
      <c r="G507" s="952"/>
      <c r="H507" s="292" t="s">
        <v>1412</v>
      </c>
      <c r="I507" s="952"/>
      <c r="J507" s="291" t="s">
        <v>1828</v>
      </c>
      <c r="K507" s="952"/>
      <c r="L507" s="236"/>
      <c r="M507" s="194"/>
      <c r="N507" s="1204"/>
      <c r="O507" s="964" t="str">
        <f t="shared" si="56"/>
        <v xml:space="preserve">بستن پیچ بالای کمربندهای ایمنی عقب به ستون عقب چپ </v>
      </c>
      <c r="P507" s="965" t="str">
        <f t="shared" si="56"/>
        <v>SX5-5810-9</v>
      </c>
      <c r="Q507" s="611" t="str">
        <f t="shared" si="61"/>
        <v>------</v>
      </c>
      <c r="R507" s="610" t="str">
        <f t="shared" si="55"/>
        <v>----------</v>
      </c>
      <c r="S507" s="586">
        <f t="shared" si="55"/>
        <v>0</v>
      </c>
      <c r="T507" s="614">
        <v>40</v>
      </c>
      <c r="U507" s="614">
        <v>45</v>
      </c>
      <c r="V507" s="614">
        <v>50</v>
      </c>
      <c r="W507" s="588" t="s">
        <v>5476</v>
      </c>
      <c r="X507" s="587" t="s">
        <v>5446</v>
      </c>
      <c r="Y507" s="614" t="s">
        <v>5564</v>
      </c>
      <c r="Z507" s="589"/>
      <c r="AA507" s="724"/>
    </row>
    <row r="508" spans="1:34" ht="42.75" customHeight="1">
      <c r="A508" s="1285"/>
      <c r="B508" s="935" t="s">
        <v>2099</v>
      </c>
      <c r="C508" s="929" t="s">
        <v>2085</v>
      </c>
      <c r="D508" s="931" t="s">
        <v>358</v>
      </c>
      <c r="E508" s="939"/>
      <c r="F508" s="935">
        <v>2.0099999999999998</v>
      </c>
      <c r="G508" s="952" t="s">
        <v>0</v>
      </c>
      <c r="H508" s="952" t="s">
        <v>779</v>
      </c>
      <c r="I508" s="952"/>
      <c r="J508" s="230" t="s">
        <v>2084</v>
      </c>
      <c r="K508" s="952">
        <v>1</v>
      </c>
      <c r="L508" s="231" t="s">
        <v>5893</v>
      </c>
      <c r="M508" s="194"/>
      <c r="N508" s="1204"/>
      <c r="O508" s="914" t="str">
        <f t="shared" si="56"/>
        <v>نصب قاب ستون های وسط پایین چپ</v>
      </c>
      <c r="P508" s="915" t="str">
        <f t="shared" si="56"/>
        <v>SX5-5402-1</v>
      </c>
      <c r="Q508" s="586" t="str">
        <f t="shared" si="61"/>
        <v>SX5F-5402230-Y1</v>
      </c>
      <c r="R508" s="585" t="str">
        <f t="shared" si="55"/>
        <v>قاب ستون پایین وسط چپ</v>
      </c>
      <c r="S508" s="586">
        <f t="shared" si="55"/>
        <v>1</v>
      </c>
      <c r="T508" s="589"/>
      <c r="U508" s="589"/>
      <c r="V508" s="589"/>
      <c r="W508" s="589"/>
      <c r="X508" s="590"/>
      <c r="Y508" s="590"/>
      <c r="Z508" s="589"/>
      <c r="AA508" s="724"/>
    </row>
    <row r="509" spans="1:34" ht="42.75" customHeight="1">
      <c r="A509" s="1285"/>
      <c r="B509" s="935" t="s">
        <v>2099</v>
      </c>
      <c r="C509" s="929" t="s">
        <v>2083</v>
      </c>
      <c r="D509" s="931" t="s">
        <v>388</v>
      </c>
      <c r="E509" s="939"/>
      <c r="F509" s="935">
        <v>1.03715166666667</v>
      </c>
      <c r="G509" s="952" t="s">
        <v>0</v>
      </c>
      <c r="H509" s="952" t="s">
        <v>389</v>
      </c>
      <c r="I509" s="952"/>
      <c r="J509" s="230" t="s">
        <v>2082</v>
      </c>
      <c r="K509" s="952">
        <v>1</v>
      </c>
      <c r="L509" s="231" t="s">
        <v>5894</v>
      </c>
      <c r="M509" s="194"/>
      <c r="N509" s="1204"/>
      <c r="O509" s="914" t="str">
        <f t="shared" si="56"/>
        <v>نصب قاب درگاهی جلو چپ</v>
      </c>
      <c r="P509" s="915" t="str">
        <f t="shared" si="56"/>
        <v>SX5-5402-8</v>
      </c>
      <c r="Q509" s="586" t="str">
        <f t="shared" si="61"/>
        <v>SX5-5402410</v>
      </c>
      <c r="R509" s="585" t="str">
        <f t="shared" si="55"/>
        <v>قاب درگاهی درب جلو چپ</v>
      </c>
      <c r="S509" s="586">
        <f t="shared" si="55"/>
        <v>1</v>
      </c>
      <c r="T509" s="589"/>
      <c r="U509" s="589"/>
      <c r="V509" s="589"/>
      <c r="W509" s="589"/>
      <c r="X509" s="590"/>
      <c r="Y509" s="590"/>
      <c r="Z509" s="589"/>
      <c r="AA509" s="724"/>
    </row>
    <row r="510" spans="1:34" ht="42.75" customHeight="1">
      <c r="A510" s="1285"/>
      <c r="B510" s="933" t="s">
        <v>2099</v>
      </c>
      <c r="C510" s="929" t="s">
        <v>2081</v>
      </c>
      <c r="D510" s="931" t="s">
        <v>384</v>
      </c>
      <c r="E510" s="939"/>
      <c r="F510" s="935">
        <v>0.61114166666666703</v>
      </c>
      <c r="G510" s="952" t="s">
        <v>0</v>
      </c>
      <c r="H510" s="952" t="s">
        <v>2080</v>
      </c>
      <c r="I510" s="952"/>
      <c r="J510" s="230" t="s">
        <v>2079</v>
      </c>
      <c r="K510" s="952">
        <v>1</v>
      </c>
      <c r="L510" s="231" t="s">
        <v>5890</v>
      </c>
      <c r="M510" s="194"/>
      <c r="N510" s="1204"/>
      <c r="O510" s="914" t="str">
        <f t="shared" si="56"/>
        <v xml:space="preserve"> نصب قاب ستون پایین جلو چپ</v>
      </c>
      <c r="P510" s="915" t="str">
        <f t="shared" si="56"/>
        <v>SX5-5402-6</v>
      </c>
      <c r="Q510" s="586" t="str">
        <f t="shared" si="61"/>
        <v>SX5F-5402150B-Y1</v>
      </c>
      <c r="R510" s="585" t="str">
        <f t="shared" si="55"/>
        <v>قاب ستون جلو چپ پایین</v>
      </c>
      <c r="S510" s="586">
        <f t="shared" si="55"/>
        <v>1</v>
      </c>
      <c r="T510" s="589"/>
      <c r="U510" s="589"/>
      <c r="V510" s="589"/>
      <c r="W510" s="589"/>
      <c r="X510" s="590"/>
      <c r="Y510" s="590"/>
      <c r="Z510" s="589"/>
      <c r="AA510" s="724"/>
    </row>
    <row r="511" spans="1:34" ht="42.75" customHeight="1">
      <c r="A511" s="1285"/>
      <c r="B511" s="956" t="s">
        <v>2099</v>
      </c>
      <c r="C511" s="926" t="s">
        <v>2078</v>
      </c>
      <c r="D511" s="927" t="s">
        <v>382</v>
      </c>
      <c r="E511" s="928" t="s">
        <v>37</v>
      </c>
      <c r="F511" s="925">
        <v>0.13505</v>
      </c>
      <c r="G511" s="975" t="s">
        <v>0</v>
      </c>
      <c r="H511" s="975" t="s">
        <v>383</v>
      </c>
      <c r="I511" s="975"/>
      <c r="J511" s="241" t="s">
        <v>2077</v>
      </c>
      <c r="K511" s="975">
        <v>1</v>
      </c>
      <c r="L511" s="231" t="s">
        <v>5891</v>
      </c>
      <c r="M511" s="194"/>
      <c r="N511" s="1204"/>
      <c r="O511" s="914" t="str">
        <f t="shared" si="56"/>
        <v>نصب دستگیره باز کننده درب موتور</v>
      </c>
      <c r="P511" s="915" t="str">
        <f t="shared" si="56"/>
        <v>SX5-8402-9</v>
      </c>
      <c r="Q511" s="586" t="str">
        <f t="shared" si="61"/>
        <v>DM5L-8402210</v>
      </c>
      <c r="R511" s="585" t="str">
        <f t="shared" si="55"/>
        <v>دستگیره باز کننده درب موتور</v>
      </c>
      <c r="S511" s="586">
        <f t="shared" si="55"/>
        <v>1</v>
      </c>
      <c r="T511" s="589"/>
      <c r="U511" s="589"/>
      <c r="V511" s="589"/>
      <c r="W511" s="589"/>
      <c r="X511" s="590"/>
      <c r="Y511" s="590"/>
      <c r="Z511" s="589"/>
      <c r="AA511" s="724"/>
    </row>
    <row r="512" spans="1:34" s="412" customFormat="1" ht="42.75" customHeight="1">
      <c r="A512" s="1285"/>
      <c r="B512" s="1329" t="s">
        <v>2099</v>
      </c>
      <c r="C512" s="1154" t="s">
        <v>5289</v>
      </c>
      <c r="D512" s="1209" t="s">
        <v>5290</v>
      </c>
      <c r="E512" s="1122"/>
      <c r="F512" s="1160">
        <v>0.1</v>
      </c>
      <c r="G512" s="975" t="s">
        <v>0</v>
      </c>
      <c r="H512" s="975" t="s">
        <v>2064</v>
      </c>
      <c r="I512" s="975"/>
      <c r="J512" s="241" t="s">
        <v>5291</v>
      </c>
      <c r="K512" s="975">
        <v>1</v>
      </c>
      <c r="L512" s="231" t="s">
        <v>5880</v>
      </c>
      <c r="M512" s="194"/>
      <c r="N512" s="1204"/>
      <c r="O512" s="1116" t="s">
        <v>5289</v>
      </c>
      <c r="P512" s="1117" t="s">
        <v>5290</v>
      </c>
      <c r="Q512" s="586" t="str">
        <f t="shared" si="61"/>
        <v>SX5F-5402-0003-1</v>
      </c>
      <c r="R512" s="585" t="s">
        <v>5291</v>
      </c>
      <c r="S512" s="586">
        <f t="shared" si="55"/>
        <v>1</v>
      </c>
      <c r="T512" s="589"/>
      <c r="U512" s="589"/>
      <c r="V512" s="589"/>
      <c r="W512" s="589"/>
      <c r="X512" s="590"/>
      <c r="Y512" s="590"/>
      <c r="Z512" s="589"/>
      <c r="AA512" s="724"/>
      <c r="AB512" s="194"/>
      <c r="AC512" s="194"/>
      <c r="AD512" s="194"/>
      <c r="AE512" s="194"/>
      <c r="AF512" s="194"/>
      <c r="AG512" s="194"/>
      <c r="AH512" s="194"/>
    </row>
    <row r="513" spans="1:34" s="267" customFormat="1" ht="56.25" customHeight="1">
      <c r="A513" s="1285"/>
      <c r="B513" s="1265"/>
      <c r="C513" s="1154"/>
      <c r="D513" s="1209"/>
      <c r="E513" s="1123"/>
      <c r="F513" s="1161"/>
      <c r="G513" s="952" t="s">
        <v>1</v>
      </c>
      <c r="H513" s="952" t="s">
        <v>1397</v>
      </c>
      <c r="I513" s="952"/>
      <c r="J513" s="230" t="s">
        <v>1396</v>
      </c>
      <c r="K513" s="952">
        <v>1</v>
      </c>
      <c r="L513" s="231" t="s">
        <v>5877</v>
      </c>
      <c r="M513" s="194"/>
      <c r="N513" s="1204"/>
      <c r="O513" s="1116"/>
      <c r="P513" s="1117"/>
      <c r="Q513" s="586" t="str">
        <f t="shared" si="61"/>
        <v>SX6A-5402934</v>
      </c>
      <c r="R513" s="585" t="s">
        <v>1396</v>
      </c>
      <c r="S513" s="586">
        <f t="shared" si="55"/>
        <v>1</v>
      </c>
      <c r="T513" s="589"/>
      <c r="U513" s="589"/>
      <c r="V513" s="589"/>
      <c r="W513" s="589"/>
      <c r="X513" s="590"/>
      <c r="Y513" s="590"/>
      <c r="Z513" s="589"/>
      <c r="AA513" s="724"/>
      <c r="AB513" s="194"/>
      <c r="AC513" s="194"/>
      <c r="AD513" s="194"/>
      <c r="AE513" s="194"/>
      <c r="AF513" s="194"/>
      <c r="AG513" s="194"/>
      <c r="AH513" s="194"/>
    </row>
    <row r="514" spans="1:34" ht="42.75" customHeight="1">
      <c r="A514" s="1285"/>
      <c r="B514" s="1228" t="s">
        <v>2099</v>
      </c>
      <c r="C514" s="1153" t="s">
        <v>2076</v>
      </c>
      <c r="D514" s="1121" t="s">
        <v>5288</v>
      </c>
      <c r="E514" s="1126"/>
      <c r="F514" s="1151">
        <v>0.1</v>
      </c>
      <c r="G514" s="977" t="s">
        <v>0</v>
      </c>
      <c r="H514" s="977" t="s">
        <v>2067</v>
      </c>
      <c r="I514" s="413"/>
      <c r="J514" s="298" t="s">
        <v>2075</v>
      </c>
      <c r="K514" s="977">
        <v>1</v>
      </c>
      <c r="L514" s="231" t="s">
        <v>5895</v>
      </c>
      <c r="M514" s="194"/>
      <c r="N514" s="1204"/>
      <c r="O514" s="1116" t="str">
        <f t="shared" si="56"/>
        <v>پيش مونتاژ مجموعه قاب ستون جلو بالا چپ با بلندگو</v>
      </c>
      <c r="P514" s="1117" t="str">
        <f t="shared" si="56"/>
        <v>SX5-5402-9L-A</v>
      </c>
      <c r="Q514" s="655" t="str">
        <f t="shared" si="61"/>
        <v>SX5F-5402-0002-1</v>
      </c>
      <c r="R514" s="585" t="str">
        <f t="shared" si="55"/>
        <v>مجموعه قاب ستون جلو بالا چپ با بلندگو</v>
      </c>
      <c r="S514" s="586">
        <f t="shared" si="55"/>
        <v>1</v>
      </c>
      <c r="T514" s="589"/>
      <c r="U514" s="589"/>
      <c r="V514" s="589"/>
      <c r="W514" s="589"/>
      <c r="X514" s="590"/>
      <c r="Y514" s="590"/>
      <c r="Z514" s="589"/>
      <c r="AA514" s="724"/>
    </row>
    <row r="515" spans="1:34" ht="42.75" customHeight="1" thickBot="1">
      <c r="A515" s="1286"/>
      <c r="B515" s="1237"/>
      <c r="C515" s="1186"/>
      <c r="D515" s="1159"/>
      <c r="E515" s="1214"/>
      <c r="F515" s="1232"/>
      <c r="G515" s="953" t="s">
        <v>1</v>
      </c>
      <c r="H515" s="953" t="s">
        <v>1397</v>
      </c>
      <c r="I515" s="271"/>
      <c r="J515" s="272" t="s">
        <v>1396</v>
      </c>
      <c r="K515" s="953">
        <v>1</v>
      </c>
      <c r="L515" s="250" t="s">
        <v>5877</v>
      </c>
      <c r="M515" s="194"/>
      <c r="N515" s="1205"/>
      <c r="O515" s="1186"/>
      <c r="P515" s="1159"/>
      <c r="Q515" s="749" t="str">
        <f t="shared" si="61"/>
        <v>SX6A-5402934</v>
      </c>
      <c r="R515" s="274" t="str">
        <f t="shared" si="55"/>
        <v>مهره فشاری (خار)</v>
      </c>
      <c r="S515" s="251">
        <f t="shared" si="55"/>
        <v>1</v>
      </c>
      <c r="T515" s="283"/>
      <c r="U515" s="283"/>
      <c r="V515" s="283"/>
      <c r="W515" s="283"/>
      <c r="X515" s="284"/>
      <c r="Y515" s="284"/>
      <c r="Z515" s="283"/>
      <c r="AA515" s="285"/>
    </row>
    <row r="516" spans="1:34" ht="42.75" customHeight="1">
      <c r="A516" s="1175" t="s">
        <v>2073</v>
      </c>
      <c r="B516" s="946" t="s">
        <v>2060</v>
      </c>
      <c r="C516" s="943" t="s">
        <v>2072</v>
      </c>
      <c r="D516" s="944" t="s">
        <v>2071</v>
      </c>
      <c r="E516" s="945"/>
      <c r="F516" s="946">
        <v>0.49561500000000003</v>
      </c>
      <c r="G516" s="997" t="s">
        <v>697</v>
      </c>
      <c r="H516" s="997" t="s">
        <v>2070</v>
      </c>
      <c r="I516" s="997"/>
      <c r="J516" s="221" t="s">
        <v>2069</v>
      </c>
      <c r="K516" s="997">
        <v>1</v>
      </c>
      <c r="L516" s="222" t="s">
        <v>5830</v>
      </c>
      <c r="M516" s="194"/>
      <c r="N516" s="1166" t="s">
        <v>2073</v>
      </c>
      <c r="O516" s="943" t="str">
        <f>C516</f>
        <v xml:space="preserve">  نصب قاب کشویی کمربند چپ</v>
      </c>
      <c r="P516" s="944" t="str">
        <f>D516</f>
        <v>SX7A-5402-16</v>
      </c>
      <c r="Q516" s="225" t="str">
        <f>H516</f>
        <v>SX5-5402216</v>
      </c>
      <c r="R516" s="224" t="str">
        <f>J516</f>
        <v>قاب روی کشویی تنظیم ارتفاع کمربند ایمنی چپ</v>
      </c>
      <c r="S516" s="225">
        <f>K516</f>
        <v>1</v>
      </c>
      <c r="T516" s="226"/>
      <c r="U516" s="226"/>
      <c r="V516" s="226"/>
      <c r="W516" s="226"/>
      <c r="X516" s="227"/>
      <c r="Y516" s="227"/>
      <c r="Z516" s="226"/>
      <c r="AA516" s="228"/>
    </row>
    <row r="517" spans="1:34" ht="42.75" customHeight="1">
      <c r="A517" s="1176"/>
      <c r="B517" s="1228" t="s">
        <v>2060</v>
      </c>
      <c r="C517" s="1296" t="s">
        <v>2068</v>
      </c>
      <c r="D517" s="1162" t="s">
        <v>304</v>
      </c>
      <c r="E517" s="1212"/>
      <c r="F517" s="1151">
        <v>0.98</v>
      </c>
      <c r="G517" s="952" t="s">
        <v>0</v>
      </c>
      <c r="H517" s="292" t="s">
        <v>1371</v>
      </c>
      <c r="I517" s="952"/>
      <c r="J517" s="230" t="s">
        <v>2066</v>
      </c>
      <c r="K517" s="952">
        <v>1</v>
      </c>
      <c r="L517" s="236"/>
      <c r="M517" s="194"/>
      <c r="N517" s="1167"/>
      <c r="O517" s="1145" t="str">
        <f>C517</f>
        <v>نصب قاب ستون جلو بالا چپ</v>
      </c>
      <c r="P517" s="1185" t="str">
        <f>D517</f>
        <v>SX5-5402-9</v>
      </c>
      <c r="Q517" s="586" t="str">
        <f t="shared" ref="Q517:Q581" si="62">H517</f>
        <v>---</v>
      </c>
      <c r="R517" s="585" t="str">
        <f t="shared" ref="R517:S570" si="63">J517</f>
        <v>قاب ستون جلو چپ بالا</v>
      </c>
      <c r="S517" s="586">
        <f t="shared" si="63"/>
        <v>1</v>
      </c>
      <c r="T517" s="589"/>
      <c r="U517" s="589"/>
      <c r="V517" s="589"/>
      <c r="W517" s="589"/>
      <c r="X517" s="590"/>
      <c r="Y517" s="590"/>
      <c r="Z517" s="589"/>
      <c r="AA517" s="724"/>
    </row>
    <row r="518" spans="1:34" ht="42.75" customHeight="1">
      <c r="A518" s="1176"/>
      <c r="B518" s="1228"/>
      <c r="C518" s="1296" t="s">
        <v>1248</v>
      </c>
      <c r="D518" s="1162"/>
      <c r="E518" s="1212"/>
      <c r="F518" s="1151"/>
      <c r="G518" s="952" t="s">
        <v>1</v>
      </c>
      <c r="H518" s="952" t="s">
        <v>2062</v>
      </c>
      <c r="I518" s="952"/>
      <c r="J518" s="230" t="s">
        <v>2061</v>
      </c>
      <c r="K518" s="952">
        <v>1</v>
      </c>
      <c r="L518" s="231" t="s">
        <v>5830</v>
      </c>
      <c r="M518" s="194"/>
      <c r="N518" s="1167"/>
      <c r="O518" s="1145"/>
      <c r="P518" s="1185"/>
      <c r="Q518" s="586" t="str">
        <f t="shared" si="62"/>
        <v>BL334B</v>
      </c>
      <c r="R518" s="585" t="str">
        <f t="shared" si="63"/>
        <v>خار</v>
      </c>
      <c r="S518" s="586">
        <f t="shared" si="63"/>
        <v>1</v>
      </c>
      <c r="T518" s="589"/>
      <c r="U518" s="589"/>
      <c r="V518" s="589"/>
      <c r="W518" s="589"/>
      <c r="X518" s="590"/>
      <c r="Y518" s="590"/>
      <c r="Z518" s="589"/>
      <c r="AA518" s="724"/>
    </row>
    <row r="519" spans="1:34" ht="42.75" customHeight="1">
      <c r="A519" s="1176"/>
      <c r="B519" s="1228" t="s">
        <v>2060</v>
      </c>
      <c r="C519" s="1296" t="s">
        <v>2065</v>
      </c>
      <c r="D519" s="1162" t="s">
        <v>304</v>
      </c>
      <c r="E519" s="1212"/>
      <c r="F519" s="1151">
        <v>0.98</v>
      </c>
      <c r="G519" s="952" t="s">
        <v>0</v>
      </c>
      <c r="H519" s="292" t="s">
        <v>1371</v>
      </c>
      <c r="I519" s="952"/>
      <c r="J519" s="230" t="s">
        <v>2063</v>
      </c>
      <c r="K519" s="952">
        <v>1</v>
      </c>
      <c r="L519" s="236"/>
      <c r="M519" s="194"/>
      <c r="N519" s="1167"/>
      <c r="O519" s="1145" t="str">
        <f>C519</f>
        <v>نصب قاب ستون جلو بالا راست</v>
      </c>
      <c r="P519" s="1185" t="str">
        <f>D519</f>
        <v>SX5-5402-9</v>
      </c>
      <c r="Q519" s="586" t="str">
        <f t="shared" si="62"/>
        <v>---</v>
      </c>
      <c r="R519" s="585" t="str">
        <f t="shared" si="63"/>
        <v>قاب ستون جلو راست بالا</v>
      </c>
      <c r="S519" s="586">
        <f t="shared" si="63"/>
        <v>1</v>
      </c>
      <c r="T519" s="589"/>
      <c r="U519" s="589"/>
      <c r="V519" s="589"/>
      <c r="W519" s="589"/>
      <c r="X519" s="590"/>
      <c r="Y519" s="590"/>
      <c r="Z519" s="589"/>
      <c r="AA519" s="724"/>
    </row>
    <row r="520" spans="1:34" ht="42.75" customHeight="1">
      <c r="A520" s="1176"/>
      <c r="B520" s="1228"/>
      <c r="C520" s="1296" t="s">
        <v>1248</v>
      </c>
      <c r="D520" s="1162"/>
      <c r="E520" s="1212"/>
      <c r="F520" s="1151"/>
      <c r="G520" s="952" t="s">
        <v>1</v>
      </c>
      <c r="H520" s="952" t="s">
        <v>2062</v>
      </c>
      <c r="I520" s="952"/>
      <c r="J520" s="230" t="s">
        <v>2061</v>
      </c>
      <c r="K520" s="952">
        <v>1</v>
      </c>
      <c r="L520" s="231" t="s">
        <v>5830</v>
      </c>
      <c r="M520" s="194"/>
      <c r="N520" s="1167"/>
      <c r="O520" s="1145"/>
      <c r="P520" s="1185"/>
      <c r="Q520" s="586" t="str">
        <f t="shared" si="62"/>
        <v>BL334B</v>
      </c>
      <c r="R520" s="585" t="str">
        <f t="shared" si="63"/>
        <v>خار</v>
      </c>
      <c r="S520" s="586">
        <f t="shared" si="63"/>
        <v>1</v>
      </c>
      <c r="T520" s="589"/>
      <c r="U520" s="589"/>
      <c r="V520" s="589"/>
      <c r="W520" s="589"/>
      <c r="X520" s="590"/>
      <c r="Y520" s="590"/>
      <c r="Z520" s="589"/>
      <c r="AA520" s="724"/>
    </row>
    <row r="521" spans="1:34" ht="42.75" customHeight="1">
      <c r="A521" s="1176"/>
      <c r="B521" s="1151" t="s">
        <v>2060</v>
      </c>
      <c r="C521" s="1154" t="s">
        <v>2059</v>
      </c>
      <c r="D521" s="1209" t="s">
        <v>214</v>
      </c>
      <c r="E521" s="1126" t="s">
        <v>4973</v>
      </c>
      <c r="F521" s="1151">
        <v>1.7649999999999999</v>
      </c>
      <c r="G521" s="952" t="s">
        <v>0</v>
      </c>
      <c r="H521" s="952" t="s">
        <v>215</v>
      </c>
      <c r="I521" s="952" t="s">
        <v>5241</v>
      </c>
      <c r="J521" s="230" t="s">
        <v>2058</v>
      </c>
      <c r="K521" s="952">
        <v>1</v>
      </c>
      <c r="L521" s="231" t="s">
        <v>5884</v>
      </c>
      <c r="M521" s="194"/>
      <c r="N521" s="1167"/>
      <c r="O521" s="1116" t="str">
        <f>C521</f>
        <v>مونتاژ قفل درب محفظه موتور</v>
      </c>
      <c r="P521" s="1117" t="str">
        <f>D521</f>
        <v>SX5-8402-6</v>
      </c>
      <c r="Q521" s="586" t="str">
        <f>I521</f>
        <v>SX5B-8400370</v>
      </c>
      <c r="R521" s="585" t="str">
        <f t="shared" si="63"/>
        <v>قفل درب محفظه موتور</v>
      </c>
      <c r="S521" s="586">
        <f t="shared" si="63"/>
        <v>1</v>
      </c>
      <c r="T521" s="589"/>
      <c r="U521" s="589"/>
      <c r="V521" s="589"/>
      <c r="W521" s="589"/>
      <c r="X521" s="590"/>
      <c r="Y521" s="590"/>
      <c r="Z521" s="589"/>
      <c r="AA521" s="724"/>
    </row>
    <row r="522" spans="1:34" ht="42.75" customHeight="1">
      <c r="A522" s="1176"/>
      <c r="B522" s="1151"/>
      <c r="C522" s="1154" t="s">
        <v>1248</v>
      </c>
      <c r="D522" s="1209"/>
      <c r="E522" s="1126"/>
      <c r="F522" s="1151"/>
      <c r="G522" s="952" t="s">
        <v>1</v>
      </c>
      <c r="H522" s="952" t="s">
        <v>2057</v>
      </c>
      <c r="J522" s="230" t="s">
        <v>2056</v>
      </c>
      <c r="K522" s="952">
        <v>1</v>
      </c>
      <c r="L522" s="231" t="s">
        <v>5882</v>
      </c>
      <c r="M522" s="194"/>
      <c r="N522" s="1167"/>
      <c r="O522" s="1116"/>
      <c r="P522" s="1117"/>
      <c r="Q522" s="586" t="str">
        <f t="shared" si="62"/>
        <v>BS3-8402060A</v>
      </c>
      <c r="R522" s="585" t="str">
        <f t="shared" si="63"/>
        <v>براکت محافظ کابل بازکننده درب موتور</v>
      </c>
      <c r="S522" s="586">
        <f t="shared" si="63"/>
        <v>1</v>
      </c>
      <c r="T522" s="589"/>
      <c r="U522" s="589"/>
      <c r="V522" s="589"/>
      <c r="W522" s="589"/>
      <c r="X522" s="590"/>
      <c r="Y522" s="590"/>
      <c r="Z522" s="589"/>
      <c r="AA522" s="724"/>
    </row>
    <row r="523" spans="1:34" ht="42.75" customHeight="1">
      <c r="A523" s="1176"/>
      <c r="B523" s="1151"/>
      <c r="C523" s="1154" t="s">
        <v>1248</v>
      </c>
      <c r="D523" s="1209"/>
      <c r="E523" s="1126"/>
      <c r="F523" s="1151"/>
      <c r="G523" s="952" t="s">
        <v>2</v>
      </c>
      <c r="H523" s="952" t="s">
        <v>217</v>
      </c>
      <c r="I523" s="952"/>
      <c r="J523" s="230" t="s">
        <v>2016</v>
      </c>
      <c r="K523" s="952">
        <v>3</v>
      </c>
      <c r="L523" s="231" t="s">
        <v>5882</v>
      </c>
      <c r="M523" s="194"/>
      <c r="N523" s="1167"/>
      <c r="O523" s="1116"/>
      <c r="P523" s="1117"/>
      <c r="Q523" s="586" t="str">
        <f t="shared" si="62"/>
        <v>Q1460816F38</v>
      </c>
      <c r="R523" s="585" t="str">
        <f t="shared" si="63"/>
        <v>پیچ شش گوش</v>
      </c>
      <c r="S523" s="586">
        <f t="shared" si="63"/>
        <v>3</v>
      </c>
      <c r="T523" s="614">
        <v>19</v>
      </c>
      <c r="U523" s="614">
        <v>20</v>
      </c>
      <c r="V523" s="614">
        <v>22</v>
      </c>
      <c r="W523" s="615" t="s">
        <v>5445</v>
      </c>
      <c r="X523" s="614" t="s">
        <v>5435</v>
      </c>
      <c r="Y523" s="639" t="s">
        <v>5565</v>
      </c>
      <c r="Z523" s="589"/>
      <c r="AA523" s="724"/>
    </row>
    <row r="524" spans="1:34" ht="42.75" customHeight="1" thickBot="1">
      <c r="A524" s="1236"/>
      <c r="B524" s="1232"/>
      <c r="C524" s="1186" t="s">
        <v>1248</v>
      </c>
      <c r="D524" s="1159"/>
      <c r="E524" s="1214"/>
      <c r="F524" s="1232"/>
      <c r="G524" s="953" t="s">
        <v>864</v>
      </c>
      <c r="H524" s="953" t="s">
        <v>218</v>
      </c>
      <c r="I524" s="953"/>
      <c r="J524" s="272" t="s">
        <v>1983</v>
      </c>
      <c r="K524" s="953">
        <v>1</v>
      </c>
      <c r="L524" s="250" t="s">
        <v>5896</v>
      </c>
      <c r="M524" s="194"/>
      <c r="N524" s="1168"/>
      <c r="O524" s="1186"/>
      <c r="P524" s="1159"/>
      <c r="Q524" s="251" t="str">
        <f t="shared" si="62"/>
        <v>Q1840816F38</v>
      </c>
      <c r="R524" s="274" t="str">
        <f t="shared" si="63"/>
        <v>پیچ نصب استپر به بدنه</v>
      </c>
      <c r="S524" s="251">
        <f t="shared" si="63"/>
        <v>1</v>
      </c>
      <c r="T524" s="386">
        <v>6</v>
      </c>
      <c r="U524" s="386">
        <v>8</v>
      </c>
      <c r="V524" s="386">
        <v>10</v>
      </c>
      <c r="W524" s="387" t="s">
        <v>5431</v>
      </c>
      <c r="X524" s="386" t="s">
        <v>5432</v>
      </c>
      <c r="Y524" s="386" t="s">
        <v>5566</v>
      </c>
      <c r="Z524" s="386"/>
      <c r="AA524" s="369"/>
    </row>
    <row r="525" spans="1:34" ht="42.75" customHeight="1">
      <c r="A525" s="1166" t="s">
        <v>2055</v>
      </c>
      <c r="B525" s="1270" t="s">
        <v>2060</v>
      </c>
      <c r="C525" s="1169" t="s">
        <v>2054</v>
      </c>
      <c r="D525" s="1142" t="s">
        <v>203</v>
      </c>
      <c r="E525" s="1221" t="s">
        <v>4973</v>
      </c>
      <c r="F525" s="1283">
        <v>6.24</v>
      </c>
      <c r="G525" s="322" t="s">
        <v>0</v>
      </c>
      <c r="H525" s="771" t="s">
        <v>5782</v>
      </c>
      <c r="I525" s="771" t="s">
        <v>5784</v>
      </c>
      <c r="J525" s="221" t="s">
        <v>2053</v>
      </c>
      <c r="K525" s="997">
        <v>1</v>
      </c>
      <c r="L525" s="222" t="s">
        <v>5893</v>
      </c>
      <c r="M525" s="194"/>
      <c r="N525" s="1166" t="str">
        <f t="shared" ref="N525:N550" si="64">A525</f>
        <v>P40</v>
      </c>
      <c r="O525" s="1169" t="str">
        <f>C525</f>
        <v>نصب مجموعه اکسل جلو</v>
      </c>
      <c r="P525" s="1142" t="str">
        <f>D525</f>
        <v>SX5-2904-2</v>
      </c>
      <c r="Q525" s="225" t="str">
        <f t="shared" si="62"/>
        <v>SX5KCT-2904-0001C2</v>
      </c>
      <c r="R525" s="224" t="str">
        <f t="shared" si="63"/>
        <v>کمک فنر و دیسک و توپی جلو چپ</v>
      </c>
      <c r="S525" s="225">
        <f t="shared" si="63"/>
        <v>1</v>
      </c>
      <c r="T525" s="226"/>
      <c r="U525" s="226"/>
      <c r="V525" s="226"/>
      <c r="W525" s="226"/>
      <c r="X525" s="227"/>
      <c r="Y525" s="227"/>
      <c r="Z525" s="226"/>
      <c r="AA525" s="228"/>
    </row>
    <row r="526" spans="1:34" ht="42.75" customHeight="1">
      <c r="A526" s="1167"/>
      <c r="B526" s="1228"/>
      <c r="C526" s="1154" t="s">
        <v>1248</v>
      </c>
      <c r="D526" s="1209"/>
      <c r="E526" s="1126"/>
      <c r="F526" s="1223"/>
      <c r="G526" s="414" t="s">
        <v>0</v>
      </c>
      <c r="H526" s="774" t="s">
        <v>5783</v>
      </c>
      <c r="I526" s="774" t="s">
        <v>5785</v>
      </c>
      <c r="J526" s="230" t="s">
        <v>2052</v>
      </c>
      <c r="K526" s="952">
        <v>1</v>
      </c>
      <c r="L526" s="231" t="s">
        <v>5854</v>
      </c>
      <c r="M526" s="194"/>
      <c r="N526" s="1167">
        <f t="shared" si="64"/>
        <v>0</v>
      </c>
      <c r="O526" s="1116"/>
      <c r="P526" s="1117"/>
      <c r="Q526" s="586" t="str">
        <f t="shared" si="62"/>
        <v>SX5KCT-2904-0002C2</v>
      </c>
      <c r="R526" s="585" t="str">
        <f t="shared" si="63"/>
        <v>کمک فنر و دیسک و توپی جلو راست</v>
      </c>
      <c r="S526" s="586">
        <f t="shared" si="63"/>
        <v>1</v>
      </c>
      <c r="T526" s="589"/>
      <c r="U526" s="589"/>
      <c r="V526" s="589"/>
      <c r="W526" s="589"/>
      <c r="X526" s="590"/>
      <c r="Y526" s="590"/>
      <c r="Z526" s="589"/>
      <c r="AA526" s="724"/>
    </row>
    <row r="527" spans="1:34" ht="42.75" customHeight="1">
      <c r="A527" s="1167"/>
      <c r="B527" s="1228"/>
      <c r="C527" s="1154" t="s">
        <v>1248</v>
      </c>
      <c r="D527" s="1209"/>
      <c r="E527" s="1126"/>
      <c r="F527" s="1223"/>
      <c r="G527" s="414" t="s">
        <v>1</v>
      </c>
      <c r="H527" s="415" t="s">
        <v>4957</v>
      </c>
      <c r="I527" s="416"/>
      <c r="J527" s="230" t="s">
        <v>2018</v>
      </c>
      <c r="K527" s="952">
        <v>6</v>
      </c>
      <c r="L527" s="231" t="s">
        <v>5891</v>
      </c>
      <c r="M527" s="194"/>
      <c r="N527" s="1167">
        <f t="shared" si="64"/>
        <v>0</v>
      </c>
      <c r="O527" s="1116"/>
      <c r="P527" s="1117"/>
      <c r="Q527" s="586" t="str">
        <f t="shared" si="62"/>
        <v>LQ1840821TF38</v>
      </c>
      <c r="R527" s="585" t="str">
        <f t="shared" si="63"/>
        <v>پیچ  نصب کمک فنر جلو
مهره  نصب کمک فنر جلو</v>
      </c>
      <c r="S527" s="586">
        <f t="shared" si="63"/>
        <v>6</v>
      </c>
      <c r="T527" s="587">
        <v>26</v>
      </c>
      <c r="U527" s="587">
        <v>28</v>
      </c>
      <c r="V527" s="587">
        <v>30</v>
      </c>
      <c r="W527" s="588" t="s">
        <v>5445</v>
      </c>
      <c r="X527" s="587" t="s">
        <v>5435</v>
      </c>
      <c r="Y527" s="587" t="s">
        <v>5567</v>
      </c>
      <c r="Z527" s="587"/>
      <c r="AA527" s="728"/>
    </row>
    <row r="528" spans="1:34" ht="42.75" customHeight="1">
      <c r="A528" s="1167"/>
      <c r="B528" s="1228"/>
      <c r="C528" s="1154" t="s">
        <v>1248</v>
      </c>
      <c r="D528" s="1209"/>
      <c r="E528" s="1126"/>
      <c r="F528" s="1223"/>
      <c r="G528" s="414" t="s">
        <v>2</v>
      </c>
      <c r="H528" s="415" t="s">
        <v>204</v>
      </c>
      <c r="I528" s="416"/>
      <c r="J528" s="230" t="s">
        <v>1825</v>
      </c>
      <c r="K528" s="952">
        <v>2</v>
      </c>
      <c r="L528" s="231" t="s">
        <v>5897</v>
      </c>
      <c r="M528" s="194"/>
      <c r="N528" s="1167">
        <f t="shared" si="64"/>
        <v>0</v>
      </c>
      <c r="O528" s="1116"/>
      <c r="P528" s="1117"/>
      <c r="Q528" s="586" t="str">
        <f t="shared" si="62"/>
        <v>35MA-06073</v>
      </c>
      <c r="R528" s="585" t="str">
        <f t="shared" si="63"/>
        <v>بست دوشاخه کشویی</v>
      </c>
      <c r="S528" s="586">
        <f t="shared" si="63"/>
        <v>2</v>
      </c>
      <c r="T528" s="589"/>
      <c r="U528" s="589"/>
      <c r="V528" s="589"/>
      <c r="W528" s="589"/>
      <c r="X528" s="590"/>
      <c r="Y528" s="590"/>
      <c r="Z528" s="589"/>
      <c r="AA528" s="724"/>
    </row>
    <row r="529" spans="1:27" ht="42.75" customHeight="1">
      <c r="A529" s="1167"/>
      <c r="B529" s="952" t="s">
        <v>2060</v>
      </c>
      <c r="C529" s="929" t="s">
        <v>2051</v>
      </c>
      <c r="D529" s="931" t="s">
        <v>302</v>
      </c>
      <c r="E529" s="939"/>
      <c r="F529" s="935">
        <v>0.47341499999999997</v>
      </c>
      <c r="G529" s="952" t="s">
        <v>0</v>
      </c>
      <c r="H529" s="977" t="s">
        <v>5110</v>
      </c>
      <c r="I529" s="993" t="s">
        <v>6113</v>
      </c>
      <c r="J529" s="230" t="s">
        <v>2050</v>
      </c>
      <c r="K529" s="952">
        <v>1</v>
      </c>
      <c r="L529" s="231" t="s">
        <v>5879</v>
      </c>
      <c r="M529" s="194"/>
      <c r="N529" s="1167">
        <f t="shared" si="64"/>
        <v>0</v>
      </c>
      <c r="O529" s="914" t="str">
        <f>C529</f>
        <v>نصب سنسور دمای بیرون</v>
      </c>
      <c r="P529" s="915" t="str">
        <f>D529</f>
        <v>SX5-8112-1</v>
      </c>
      <c r="Q529" s="586" t="str">
        <f t="shared" si="62"/>
        <v>C20-8112120</v>
      </c>
      <c r="R529" s="585" t="str">
        <f t="shared" si="63"/>
        <v>سنسور دمای هوای بیرون</v>
      </c>
      <c r="S529" s="586">
        <f t="shared" si="63"/>
        <v>1</v>
      </c>
      <c r="T529" s="589"/>
      <c r="U529" s="589"/>
      <c r="V529" s="589"/>
      <c r="W529" s="589"/>
      <c r="X529" s="590"/>
      <c r="Y529" s="590"/>
      <c r="Z529" s="589"/>
      <c r="AA529" s="724"/>
    </row>
    <row r="530" spans="1:27" ht="42.75" customHeight="1">
      <c r="A530" s="1167"/>
      <c r="B530" s="1151" t="s">
        <v>2060</v>
      </c>
      <c r="C530" s="1154" t="s">
        <v>2049</v>
      </c>
      <c r="D530" s="1209" t="s">
        <v>254</v>
      </c>
      <c r="E530" s="1126"/>
      <c r="F530" s="1151">
        <v>0.87</v>
      </c>
      <c r="G530" s="952" t="s">
        <v>0</v>
      </c>
      <c r="H530" s="952" t="s">
        <v>255</v>
      </c>
      <c r="I530" s="952"/>
      <c r="J530" s="230" t="s">
        <v>2048</v>
      </c>
      <c r="K530" s="952">
        <v>2</v>
      </c>
      <c r="L530" s="231" t="s">
        <v>5879</v>
      </c>
      <c r="M530" s="194"/>
      <c r="N530" s="1167">
        <f t="shared" si="64"/>
        <v>0</v>
      </c>
      <c r="O530" s="1116" t="str">
        <f>C530</f>
        <v>نصب ضربه گیر درب صندوق روی بدنه</v>
      </c>
      <c r="P530" s="1117" t="str">
        <f>D530</f>
        <v>SX5-6305-3</v>
      </c>
      <c r="Q530" s="586" t="str">
        <f t="shared" si="62"/>
        <v>SX5-6305610</v>
      </c>
      <c r="R530" s="585" t="str">
        <f t="shared" si="63"/>
        <v>ضربه گیر درب صندوق - بر روی بدنه</v>
      </c>
      <c r="S530" s="586">
        <f t="shared" si="63"/>
        <v>2</v>
      </c>
      <c r="T530" s="589"/>
      <c r="U530" s="589"/>
      <c r="V530" s="589"/>
      <c r="W530" s="589"/>
      <c r="X530" s="590"/>
      <c r="Y530" s="590"/>
      <c r="Z530" s="589"/>
      <c r="AA530" s="724"/>
    </row>
    <row r="531" spans="1:27" ht="42.75" customHeight="1" thickBot="1">
      <c r="A531" s="1168"/>
      <c r="B531" s="1232"/>
      <c r="C531" s="1186" t="s">
        <v>1248</v>
      </c>
      <c r="D531" s="1159"/>
      <c r="E531" s="1214"/>
      <c r="F531" s="1232"/>
      <c r="G531" s="953" t="s">
        <v>1</v>
      </c>
      <c r="H531" s="953" t="s">
        <v>256</v>
      </c>
      <c r="I531" s="953"/>
      <c r="J531" s="272" t="s">
        <v>1529</v>
      </c>
      <c r="K531" s="953">
        <v>2</v>
      </c>
      <c r="L531" s="250" t="s">
        <v>5879</v>
      </c>
      <c r="M531" s="194"/>
      <c r="N531" s="1168">
        <f t="shared" si="64"/>
        <v>0</v>
      </c>
      <c r="O531" s="1186"/>
      <c r="P531" s="1159"/>
      <c r="Q531" s="251" t="str">
        <f t="shared" si="62"/>
        <v>Q2150635F38</v>
      </c>
      <c r="R531" s="274" t="str">
        <f t="shared" si="63"/>
        <v xml:space="preserve">پیچ سر سوکتی شش گوش </v>
      </c>
      <c r="S531" s="251">
        <f t="shared" si="63"/>
        <v>2</v>
      </c>
      <c r="T531" s="341">
        <v>3</v>
      </c>
      <c r="U531" s="341">
        <v>5</v>
      </c>
      <c r="V531" s="341">
        <v>7</v>
      </c>
      <c r="W531" s="750"/>
      <c r="X531" s="341" t="s">
        <v>5451</v>
      </c>
      <c r="Y531" s="341" t="s">
        <v>5568</v>
      </c>
      <c r="Z531" s="283"/>
      <c r="AA531" s="285"/>
    </row>
    <row r="532" spans="1:27" ht="42.75" customHeight="1">
      <c r="A532" s="1166" t="s">
        <v>2047</v>
      </c>
      <c r="B532" s="1270" t="s">
        <v>2046</v>
      </c>
      <c r="C532" s="1169" t="s">
        <v>2045</v>
      </c>
      <c r="D532" s="1142" t="s">
        <v>257</v>
      </c>
      <c r="E532" s="1221" t="s">
        <v>4973</v>
      </c>
      <c r="F532" s="1222">
        <v>2.98</v>
      </c>
      <c r="G532" s="997" t="s">
        <v>0</v>
      </c>
      <c r="H532" s="997" t="s">
        <v>139</v>
      </c>
      <c r="I532" s="997"/>
      <c r="J532" s="221" t="s">
        <v>2044</v>
      </c>
      <c r="K532" s="997">
        <v>2</v>
      </c>
      <c r="L532" s="222" t="s">
        <v>5879</v>
      </c>
      <c r="M532" s="194"/>
      <c r="N532" s="1166" t="str">
        <f t="shared" si="64"/>
        <v>P41</v>
      </c>
      <c r="O532" s="1169" t="str">
        <f>C532</f>
        <v>نصب چراغهای عقب روی بدنه</v>
      </c>
      <c r="P532" s="1142" t="str">
        <f>D532</f>
        <v>SX7-4133-1</v>
      </c>
      <c r="Q532" s="225" t="str">
        <f t="shared" si="62"/>
        <v>BM3-4133012</v>
      </c>
      <c r="R532" s="224" t="str">
        <f t="shared" si="63"/>
        <v>پین تثبیت کننده کوتاه</v>
      </c>
      <c r="S532" s="225">
        <f t="shared" si="63"/>
        <v>2</v>
      </c>
      <c r="T532" s="226"/>
      <c r="U532" s="226"/>
      <c r="V532" s="226"/>
      <c r="W532" s="226"/>
      <c r="X532" s="227"/>
      <c r="Y532" s="227"/>
      <c r="Z532" s="226"/>
      <c r="AA532" s="228"/>
    </row>
    <row r="533" spans="1:27" ht="42.75" customHeight="1">
      <c r="A533" s="1167"/>
      <c r="B533" s="1228"/>
      <c r="C533" s="1154" t="s">
        <v>1248</v>
      </c>
      <c r="D533" s="1209"/>
      <c r="E533" s="1126"/>
      <c r="F533" s="1151"/>
      <c r="G533" s="952" t="s">
        <v>1</v>
      </c>
      <c r="H533" s="952" t="s">
        <v>258</v>
      </c>
      <c r="I533" s="952"/>
      <c r="J533" s="230" t="s">
        <v>2043</v>
      </c>
      <c r="K533" s="952">
        <v>2</v>
      </c>
      <c r="L533" s="231" t="s">
        <v>5879</v>
      </c>
      <c r="M533" s="194"/>
      <c r="N533" s="1167">
        <f t="shared" si="64"/>
        <v>0</v>
      </c>
      <c r="O533" s="1116"/>
      <c r="P533" s="1117"/>
      <c r="Q533" s="586" t="str">
        <f t="shared" si="62"/>
        <v>BM3-4133013</v>
      </c>
      <c r="R533" s="585" t="str">
        <f t="shared" si="63"/>
        <v>پین بیضی پایین</v>
      </c>
      <c r="S533" s="586">
        <f t="shared" si="63"/>
        <v>2</v>
      </c>
      <c r="T533" s="589"/>
      <c r="U533" s="589"/>
      <c r="V533" s="589"/>
      <c r="W533" s="589"/>
      <c r="X533" s="590"/>
      <c r="Y533" s="590"/>
      <c r="Z533" s="589"/>
      <c r="AA533" s="724"/>
    </row>
    <row r="534" spans="1:27" ht="42.75" customHeight="1">
      <c r="A534" s="1167"/>
      <c r="B534" s="1228"/>
      <c r="C534" s="1154" t="s">
        <v>1248</v>
      </c>
      <c r="D534" s="1209"/>
      <c r="E534" s="1126"/>
      <c r="F534" s="1151"/>
      <c r="G534" s="952" t="s">
        <v>2</v>
      </c>
      <c r="H534" s="952" t="s">
        <v>259</v>
      </c>
      <c r="I534" s="952"/>
      <c r="J534" s="230" t="s">
        <v>2042</v>
      </c>
      <c r="K534" s="952">
        <v>2</v>
      </c>
      <c r="L534" s="231" t="s">
        <v>5879</v>
      </c>
      <c r="M534" s="194"/>
      <c r="N534" s="1167">
        <f t="shared" si="64"/>
        <v>0</v>
      </c>
      <c r="O534" s="1116"/>
      <c r="P534" s="1117"/>
      <c r="Q534" s="586" t="str">
        <f t="shared" si="62"/>
        <v>BS3-4133311</v>
      </c>
      <c r="R534" s="585" t="str">
        <f t="shared" si="63"/>
        <v>بست فشاری نصب چراغ عقب</v>
      </c>
      <c r="S534" s="586">
        <f t="shared" si="63"/>
        <v>2</v>
      </c>
      <c r="T534" s="589"/>
      <c r="U534" s="589"/>
      <c r="V534" s="589"/>
      <c r="W534" s="589"/>
      <c r="X534" s="590"/>
      <c r="Y534" s="590"/>
      <c r="Z534" s="589"/>
      <c r="AA534" s="724"/>
    </row>
    <row r="535" spans="1:27" ht="42.75" customHeight="1">
      <c r="A535" s="1167"/>
      <c r="B535" s="1228"/>
      <c r="C535" s="1154" t="s">
        <v>1248</v>
      </c>
      <c r="D535" s="1209"/>
      <c r="E535" s="1126"/>
      <c r="F535" s="1151"/>
      <c r="G535" s="952" t="s">
        <v>7</v>
      </c>
      <c r="H535" s="952" t="s">
        <v>260</v>
      </c>
      <c r="I535" s="952"/>
      <c r="J535" s="230" t="s">
        <v>2041</v>
      </c>
      <c r="K535" s="952">
        <v>1</v>
      </c>
      <c r="L535" s="231" t="s">
        <v>5898</v>
      </c>
      <c r="M535" s="194"/>
      <c r="N535" s="1167">
        <f t="shared" si="64"/>
        <v>0</v>
      </c>
      <c r="O535" s="1116"/>
      <c r="P535" s="1117"/>
      <c r="Q535" s="586" t="str">
        <f t="shared" si="62"/>
        <v>SX3A-4133010A</v>
      </c>
      <c r="R535" s="585" t="str">
        <f t="shared" si="63"/>
        <v>چراغ عقب چپ روی بدنه</v>
      </c>
      <c r="S535" s="586">
        <f t="shared" si="63"/>
        <v>1</v>
      </c>
      <c r="T535" s="589"/>
      <c r="U535" s="589"/>
      <c r="V535" s="589"/>
      <c r="W535" s="589"/>
      <c r="X535" s="590"/>
      <c r="Y535" s="590"/>
      <c r="Z535" s="589"/>
      <c r="AA535" s="724"/>
    </row>
    <row r="536" spans="1:27" ht="42.75" customHeight="1">
      <c r="A536" s="1167"/>
      <c r="B536" s="1228"/>
      <c r="C536" s="1154" t="s">
        <v>1248</v>
      </c>
      <c r="D536" s="1209"/>
      <c r="E536" s="1126"/>
      <c r="F536" s="1151"/>
      <c r="G536" s="952" t="s">
        <v>7</v>
      </c>
      <c r="H536" s="952" t="s">
        <v>261</v>
      </c>
      <c r="I536" s="952"/>
      <c r="J536" s="230" t="s">
        <v>2040</v>
      </c>
      <c r="K536" s="952">
        <v>1</v>
      </c>
      <c r="L536" s="231" t="s">
        <v>5899</v>
      </c>
      <c r="M536" s="194"/>
      <c r="N536" s="1167">
        <f t="shared" si="64"/>
        <v>0</v>
      </c>
      <c r="O536" s="1116"/>
      <c r="P536" s="1117"/>
      <c r="Q536" s="586" t="str">
        <f t="shared" si="62"/>
        <v>SX3A-4133020A</v>
      </c>
      <c r="R536" s="585" t="str">
        <f t="shared" si="63"/>
        <v>چراغ عقب راست روی بدنه</v>
      </c>
      <c r="S536" s="586">
        <f t="shared" si="63"/>
        <v>1</v>
      </c>
      <c r="T536" s="589"/>
      <c r="U536" s="589"/>
      <c r="V536" s="589"/>
      <c r="W536" s="589"/>
      <c r="X536" s="590"/>
      <c r="Y536" s="590"/>
      <c r="Z536" s="589"/>
      <c r="AA536" s="724"/>
    </row>
    <row r="537" spans="1:27" ht="42.75" customHeight="1">
      <c r="A537" s="1167"/>
      <c r="B537" s="1228"/>
      <c r="C537" s="1154" t="s">
        <v>1248</v>
      </c>
      <c r="D537" s="1209"/>
      <c r="E537" s="1126"/>
      <c r="F537" s="1151"/>
      <c r="G537" s="952" t="s">
        <v>9</v>
      </c>
      <c r="H537" s="952" t="s">
        <v>245</v>
      </c>
      <c r="I537" s="952"/>
      <c r="J537" s="230" t="s">
        <v>2039</v>
      </c>
      <c r="K537" s="952">
        <v>4</v>
      </c>
      <c r="L537" s="231" t="s">
        <v>5879</v>
      </c>
      <c r="M537" s="194"/>
      <c r="N537" s="1167">
        <f t="shared" si="64"/>
        <v>0</v>
      </c>
      <c r="O537" s="1116"/>
      <c r="P537" s="1117"/>
      <c r="Q537" s="586" t="str">
        <f t="shared" si="62"/>
        <v>LQ141M620</v>
      </c>
      <c r="R537" s="585" t="str">
        <f t="shared" si="63"/>
        <v xml:space="preserve">پیچ  سر عدسی </v>
      </c>
      <c r="S537" s="586">
        <f t="shared" si="63"/>
        <v>4</v>
      </c>
      <c r="T537" s="614">
        <v>3</v>
      </c>
      <c r="U537" s="614">
        <v>5</v>
      </c>
      <c r="V537" s="614">
        <v>7</v>
      </c>
      <c r="W537" s="615" t="s">
        <v>5431</v>
      </c>
      <c r="X537" s="614" t="s">
        <v>5451</v>
      </c>
      <c r="Y537" s="614" t="s">
        <v>5569</v>
      </c>
      <c r="Z537" s="589"/>
      <c r="AA537" s="724"/>
    </row>
    <row r="538" spans="1:27" ht="42.75" customHeight="1">
      <c r="A538" s="1167"/>
      <c r="B538" s="1151" t="s">
        <v>2032</v>
      </c>
      <c r="C538" s="1154" t="s">
        <v>2038</v>
      </c>
      <c r="D538" s="1209" t="s">
        <v>243</v>
      </c>
      <c r="E538" s="1126" t="s">
        <v>4973</v>
      </c>
      <c r="F538" s="1151">
        <v>3.43</v>
      </c>
      <c r="G538" s="952" t="s">
        <v>0</v>
      </c>
      <c r="H538" s="952" t="s">
        <v>5173</v>
      </c>
      <c r="I538" s="952" t="s">
        <v>2037</v>
      </c>
      <c r="J538" s="230" t="s">
        <v>2036</v>
      </c>
      <c r="K538" s="952">
        <v>1</v>
      </c>
      <c r="L538" s="231" t="s">
        <v>5898</v>
      </c>
      <c r="M538" s="194"/>
      <c r="N538" s="1167">
        <f t="shared" si="64"/>
        <v>0</v>
      </c>
      <c r="O538" s="1116" t="str">
        <f>C538</f>
        <v>نصب چراغ های جلو</v>
      </c>
      <c r="P538" s="1117" t="str">
        <f>D538</f>
        <v>SX5-4121-1</v>
      </c>
      <c r="Q538" s="586" t="str">
        <f t="shared" si="62"/>
        <v>SX5-4121110C</v>
      </c>
      <c r="R538" s="585" t="str">
        <f t="shared" si="63"/>
        <v>چراغ جلو چپ</v>
      </c>
      <c r="S538" s="586">
        <f t="shared" si="63"/>
        <v>1</v>
      </c>
      <c r="T538" s="589"/>
      <c r="U538" s="589"/>
      <c r="V538" s="589"/>
      <c r="W538" s="589"/>
      <c r="X538" s="590"/>
      <c r="Y538" s="590"/>
      <c r="Z538" s="589"/>
      <c r="AA538" s="724"/>
    </row>
    <row r="539" spans="1:27" ht="42.75" customHeight="1">
      <c r="A539" s="1167"/>
      <c r="B539" s="1151"/>
      <c r="C539" s="1154" t="s">
        <v>1248</v>
      </c>
      <c r="D539" s="1209"/>
      <c r="E539" s="1126"/>
      <c r="F539" s="1151"/>
      <c r="G539" s="952" t="s">
        <v>0</v>
      </c>
      <c r="H539" s="952" t="s">
        <v>5174</v>
      </c>
      <c r="I539" s="952" t="s">
        <v>244</v>
      </c>
      <c r="J539" s="230" t="s">
        <v>2035</v>
      </c>
      <c r="K539" s="952">
        <v>1</v>
      </c>
      <c r="L539" s="231" t="s">
        <v>5899</v>
      </c>
      <c r="M539" s="194"/>
      <c r="N539" s="1167">
        <f t="shared" si="64"/>
        <v>0</v>
      </c>
      <c r="O539" s="1116"/>
      <c r="P539" s="1117"/>
      <c r="Q539" s="586" t="str">
        <f t="shared" si="62"/>
        <v>SX5-4121120C</v>
      </c>
      <c r="R539" s="585" t="str">
        <f t="shared" si="63"/>
        <v>چراغ جلو راست</v>
      </c>
      <c r="S539" s="586">
        <f t="shared" si="63"/>
        <v>1</v>
      </c>
      <c r="T539" s="589"/>
      <c r="U539" s="589"/>
      <c r="V539" s="589"/>
      <c r="W539" s="589"/>
      <c r="X539" s="590"/>
      <c r="Y539" s="590"/>
      <c r="Z539" s="589"/>
      <c r="AA539" s="724"/>
    </row>
    <row r="540" spans="1:27" ht="42.75" customHeight="1" thickBot="1">
      <c r="A540" s="1168"/>
      <c r="B540" s="1232"/>
      <c r="C540" s="1186" t="s">
        <v>1248</v>
      </c>
      <c r="D540" s="1159"/>
      <c r="E540" s="1214"/>
      <c r="F540" s="1232"/>
      <c r="G540" s="953" t="s">
        <v>1</v>
      </c>
      <c r="H540" s="953" t="s">
        <v>2034</v>
      </c>
      <c r="I540" s="953"/>
      <c r="J540" s="272" t="s">
        <v>2039</v>
      </c>
      <c r="K540" s="953">
        <v>10</v>
      </c>
      <c r="L540" s="250" t="s">
        <v>5879</v>
      </c>
      <c r="M540" s="194"/>
      <c r="N540" s="1168">
        <f t="shared" si="64"/>
        <v>0</v>
      </c>
      <c r="O540" s="1186"/>
      <c r="P540" s="1159"/>
      <c r="Q540" s="251" t="str">
        <f t="shared" si="62"/>
        <v>LQ141M620</v>
      </c>
      <c r="R540" s="274" t="str">
        <f t="shared" si="63"/>
        <v xml:space="preserve">پیچ  سر عدسی </v>
      </c>
      <c r="S540" s="251">
        <f t="shared" si="63"/>
        <v>10</v>
      </c>
      <c r="T540" s="386">
        <v>3</v>
      </c>
      <c r="U540" s="386">
        <v>6</v>
      </c>
      <c r="V540" s="386">
        <v>9</v>
      </c>
      <c r="W540" s="387" t="s">
        <v>5431</v>
      </c>
      <c r="X540" s="386" t="s">
        <v>5451</v>
      </c>
      <c r="Y540" s="386" t="s">
        <v>5569</v>
      </c>
      <c r="Z540" s="283"/>
      <c r="AA540" s="285"/>
    </row>
    <row r="541" spans="1:27" ht="42.75" customHeight="1">
      <c r="A541" s="1166" t="s">
        <v>2033</v>
      </c>
      <c r="B541" s="1271" t="s">
        <v>1793</v>
      </c>
      <c r="C541" s="966" t="s">
        <v>2026</v>
      </c>
      <c r="D541" s="967" t="s">
        <v>6082</v>
      </c>
      <c r="E541" s="945" t="s">
        <v>4973</v>
      </c>
      <c r="F541" s="1014">
        <v>0.6</v>
      </c>
      <c r="G541" s="997"/>
      <c r="H541" s="255" t="s">
        <v>1393</v>
      </c>
      <c r="I541" s="255"/>
      <c r="J541" s="256" t="s">
        <v>1393</v>
      </c>
      <c r="K541" s="997"/>
      <c r="L541" s="257"/>
      <c r="M541" s="194"/>
      <c r="N541" s="1166" t="str">
        <f t="shared" si="64"/>
        <v>P42</v>
      </c>
      <c r="O541" s="966" t="str">
        <f t="shared" ref="O541:O543" si="65">C541</f>
        <v>ترک و مارک پیچ قفل درب های سمت چپ</v>
      </c>
      <c r="P541" s="967" t="str">
        <f>D541</f>
        <v>SX5-6205-3A</v>
      </c>
      <c r="Q541" s="346" t="str">
        <f t="shared" si="62"/>
        <v>-</v>
      </c>
      <c r="R541" s="345" t="str">
        <f t="shared" si="63"/>
        <v>-</v>
      </c>
      <c r="S541" s="225">
        <f t="shared" si="63"/>
        <v>0</v>
      </c>
      <c r="T541" s="417">
        <v>3</v>
      </c>
      <c r="U541" s="417">
        <v>3.5</v>
      </c>
      <c r="V541" s="417">
        <v>4</v>
      </c>
      <c r="W541" s="418" t="s">
        <v>5543</v>
      </c>
      <c r="X541" s="417" t="s">
        <v>5442</v>
      </c>
      <c r="Y541" s="417" t="s">
        <v>5571</v>
      </c>
      <c r="Z541" s="226"/>
      <c r="AA541" s="228"/>
    </row>
    <row r="542" spans="1:27" ht="42.75" customHeight="1">
      <c r="A542" s="1167"/>
      <c r="B542" s="1227"/>
      <c r="C542" s="982" t="s">
        <v>2025</v>
      </c>
      <c r="D542" s="995" t="s">
        <v>6082</v>
      </c>
      <c r="E542" s="939" t="s">
        <v>4973</v>
      </c>
      <c r="F542" s="951">
        <v>0.6</v>
      </c>
      <c r="G542" s="952"/>
      <c r="H542" s="292" t="s">
        <v>1393</v>
      </c>
      <c r="I542" s="292"/>
      <c r="J542" s="291" t="s">
        <v>1393</v>
      </c>
      <c r="K542" s="952"/>
      <c r="L542" s="299"/>
      <c r="M542" s="194"/>
      <c r="N542" s="1167">
        <f t="shared" si="64"/>
        <v>0</v>
      </c>
      <c r="O542" s="964" t="str">
        <f t="shared" si="65"/>
        <v>ترک و مارک مارک پیچ قفل درب های سمت راست</v>
      </c>
      <c r="P542" s="965" t="str">
        <f>D542</f>
        <v>SX5-6205-3A</v>
      </c>
      <c r="Q542" s="611" t="str">
        <f t="shared" si="62"/>
        <v>-</v>
      </c>
      <c r="R542" s="610" t="str">
        <f t="shared" si="63"/>
        <v>-</v>
      </c>
      <c r="S542" s="586">
        <f t="shared" si="63"/>
        <v>0</v>
      </c>
      <c r="T542" s="614">
        <v>3</v>
      </c>
      <c r="U542" s="614">
        <v>3.5</v>
      </c>
      <c r="V542" s="614">
        <v>4</v>
      </c>
      <c r="W542" s="615" t="s">
        <v>5543</v>
      </c>
      <c r="X542" s="614" t="s">
        <v>5442</v>
      </c>
      <c r="Y542" s="614" t="s">
        <v>5571</v>
      </c>
      <c r="Z542" s="589"/>
      <c r="AA542" s="724"/>
    </row>
    <row r="543" spans="1:27" ht="42.75" customHeight="1">
      <c r="A543" s="1167"/>
      <c r="B543" s="1227"/>
      <c r="C543" s="1154" t="s">
        <v>2024</v>
      </c>
      <c r="D543" s="1209" t="s">
        <v>6083</v>
      </c>
      <c r="E543" s="1213"/>
      <c r="F543" s="1151">
        <v>0.5</v>
      </c>
      <c r="G543" s="952" t="s">
        <v>2</v>
      </c>
      <c r="H543" s="952" t="s">
        <v>1393</v>
      </c>
      <c r="I543" s="952"/>
      <c r="J543" s="230" t="s">
        <v>1247</v>
      </c>
      <c r="K543" s="952">
        <v>2</v>
      </c>
      <c r="L543" s="236"/>
      <c r="M543" s="194"/>
      <c r="N543" s="1167">
        <f t="shared" si="64"/>
        <v>0</v>
      </c>
      <c r="O543" s="1116" t="str">
        <f t="shared" si="65"/>
        <v>ترک و مارک رادیاتور</v>
      </c>
      <c r="P543" s="1117" t="str">
        <f>D543</f>
        <v>SX5K-1300-3A</v>
      </c>
      <c r="Q543" s="586" t="str">
        <f t="shared" si="62"/>
        <v>-</v>
      </c>
      <c r="R543" s="585" t="str">
        <f t="shared" si="63"/>
        <v>پیچ فلنجی سر شش گوش</v>
      </c>
      <c r="S543" s="586">
        <f t="shared" si="63"/>
        <v>2</v>
      </c>
      <c r="T543" s="639">
        <v>6</v>
      </c>
      <c r="U543" s="639">
        <v>8</v>
      </c>
      <c r="V543" s="639">
        <v>10</v>
      </c>
      <c r="W543" s="591" t="s">
        <v>5431</v>
      </c>
      <c r="X543" s="639" t="s">
        <v>5442</v>
      </c>
      <c r="Y543" s="639" t="s">
        <v>5572</v>
      </c>
      <c r="Z543" s="589"/>
      <c r="AA543" s="724"/>
    </row>
    <row r="544" spans="1:27" ht="42.75" customHeight="1">
      <c r="A544" s="1167"/>
      <c r="B544" s="1227"/>
      <c r="C544" s="1154"/>
      <c r="D544" s="1209"/>
      <c r="E544" s="1213"/>
      <c r="F544" s="1151"/>
      <c r="G544" s="952" t="s">
        <v>9</v>
      </c>
      <c r="H544" s="952" t="s">
        <v>1393</v>
      </c>
      <c r="I544" s="952"/>
      <c r="J544" s="230" t="s">
        <v>1247</v>
      </c>
      <c r="K544" s="952">
        <v>3</v>
      </c>
      <c r="L544" s="236"/>
      <c r="M544" s="194"/>
      <c r="N544" s="1167">
        <f t="shared" si="64"/>
        <v>0</v>
      </c>
      <c r="O544" s="1116"/>
      <c r="P544" s="1117"/>
      <c r="Q544" s="586" t="str">
        <f t="shared" si="62"/>
        <v>-</v>
      </c>
      <c r="R544" s="585" t="str">
        <f t="shared" si="63"/>
        <v>پیچ فلنجی سر شش گوش</v>
      </c>
      <c r="S544" s="586">
        <f t="shared" si="63"/>
        <v>3</v>
      </c>
      <c r="T544" s="639">
        <v>6</v>
      </c>
      <c r="U544" s="639">
        <v>8</v>
      </c>
      <c r="V544" s="639">
        <v>10</v>
      </c>
      <c r="W544" s="591" t="s">
        <v>5431</v>
      </c>
      <c r="X544" s="639" t="s">
        <v>5442</v>
      </c>
      <c r="Y544" s="639" t="s">
        <v>5572</v>
      </c>
      <c r="Z544" s="589"/>
      <c r="AA544" s="724"/>
    </row>
    <row r="545" spans="1:34" ht="42.75" customHeight="1">
      <c r="A545" s="1167"/>
      <c r="B545" s="1227"/>
      <c r="C545" s="929" t="s">
        <v>2023</v>
      </c>
      <c r="D545" s="931" t="s">
        <v>6084</v>
      </c>
      <c r="E545" s="1013"/>
      <c r="F545" s="935">
        <v>0.3</v>
      </c>
      <c r="G545" s="952" t="s">
        <v>1</v>
      </c>
      <c r="H545" s="952" t="s">
        <v>1393</v>
      </c>
      <c r="I545" s="935"/>
      <c r="J545" s="230" t="s">
        <v>2022</v>
      </c>
      <c r="K545" s="952">
        <v>2</v>
      </c>
      <c r="L545" s="236"/>
      <c r="M545" s="194"/>
      <c r="N545" s="1167">
        <f t="shared" si="64"/>
        <v>0</v>
      </c>
      <c r="O545" s="914" t="str">
        <f t="shared" ref="O545:O557" si="66">C545</f>
        <v>ترک و مارک براکت کندانسور</v>
      </c>
      <c r="P545" s="915" t="str">
        <f t="shared" ref="P545:P551" si="67">D545</f>
        <v>SX5K-1300-1A</v>
      </c>
      <c r="Q545" s="586" t="str">
        <f t="shared" si="62"/>
        <v>-</v>
      </c>
      <c r="R545" s="585" t="str">
        <f t="shared" si="63"/>
        <v>پیچ سر شش گوش با واشر</v>
      </c>
      <c r="S545" s="586">
        <f t="shared" si="63"/>
        <v>2</v>
      </c>
      <c r="T545" s="639">
        <v>6</v>
      </c>
      <c r="U545" s="639">
        <v>8</v>
      </c>
      <c r="V545" s="639">
        <v>10</v>
      </c>
      <c r="W545" s="591" t="s">
        <v>5431</v>
      </c>
      <c r="X545" s="639" t="s">
        <v>5442</v>
      </c>
      <c r="Y545" s="639" t="s">
        <v>5572</v>
      </c>
      <c r="Z545" s="589"/>
      <c r="AA545" s="724"/>
    </row>
    <row r="546" spans="1:34" ht="42.75" customHeight="1">
      <c r="A546" s="1167"/>
      <c r="B546" s="1227"/>
      <c r="C546" s="982" t="s">
        <v>2021</v>
      </c>
      <c r="D546" s="995" t="s">
        <v>6085</v>
      </c>
      <c r="E546" s="996" t="s">
        <v>4973</v>
      </c>
      <c r="F546" s="935">
        <v>0.7</v>
      </c>
      <c r="G546" s="952"/>
      <c r="H546" s="292" t="s">
        <v>1393</v>
      </c>
      <c r="I546" s="952"/>
      <c r="J546" s="291" t="s">
        <v>1393</v>
      </c>
      <c r="K546" s="385"/>
      <c r="L546" s="419"/>
      <c r="M546" s="194"/>
      <c r="N546" s="1167">
        <f t="shared" si="64"/>
        <v>0</v>
      </c>
      <c r="O546" s="964" t="str">
        <f t="shared" si="66"/>
        <v xml:space="preserve">ترک و مارک پیچ بالایی کمربندهای ایمنی عقب </v>
      </c>
      <c r="P546" s="965" t="str">
        <f t="shared" si="67"/>
        <v>SX5-5810-11A</v>
      </c>
      <c r="Q546" s="611" t="str">
        <f t="shared" si="62"/>
        <v>-</v>
      </c>
      <c r="R546" s="610" t="str">
        <f t="shared" si="63"/>
        <v>-</v>
      </c>
      <c r="S546" s="646">
        <f t="shared" si="63"/>
        <v>0</v>
      </c>
      <c r="T546" s="614">
        <v>40</v>
      </c>
      <c r="U546" s="614">
        <v>45</v>
      </c>
      <c r="V546" s="614">
        <v>50</v>
      </c>
      <c r="W546" s="588" t="s">
        <v>5476</v>
      </c>
      <c r="X546" s="587" t="s">
        <v>5504</v>
      </c>
      <c r="Y546" s="587" t="s">
        <v>5573</v>
      </c>
      <c r="Z546" s="589"/>
      <c r="AA546" s="724"/>
    </row>
    <row r="547" spans="1:34" ht="42.75" customHeight="1">
      <c r="A547" s="1167"/>
      <c r="B547" s="1227"/>
      <c r="C547" s="982" t="s">
        <v>2020</v>
      </c>
      <c r="D547" s="995" t="s">
        <v>6086</v>
      </c>
      <c r="E547" s="996" t="s">
        <v>4973</v>
      </c>
      <c r="F547" s="935">
        <v>0.7</v>
      </c>
      <c r="G547" s="952"/>
      <c r="H547" s="292" t="s">
        <v>1393</v>
      </c>
      <c r="I547" s="952"/>
      <c r="J547" s="291" t="s">
        <v>1393</v>
      </c>
      <c r="K547" s="385"/>
      <c r="L547" s="419"/>
      <c r="M547" s="194"/>
      <c r="N547" s="1167">
        <f t="shared" si="64"/>
        <v>0</v>
      </c>
      <c r="O547" s="964" t="str">
        <f t="shared" si="66"/>
        <v xml:space="preserve">ترک و مارک پیچ های بالا و پایین کمربندهای ایمنی جلو  </v>
      </c>
      <c r="P547" s="965" t="str">
        <f t="shared" si="67"/>
        <v>SX5-5810-10A</v>
      </c>
      <c r="Q547" s="611" t="str">
        <f t="shared" si="62"/>
        <v>-</v>
      </c>
      <c r="R547" s="610" t="str">
        <f t="shared" si="63"/>
        <v>-</v>
      </c>
      <c r="S547" s="646">
        <f t="shared" si="63"/>
        <v>0</v>
      </c>
      <c r="T547" s="614">
        <v>40</v>
      </c>
      <c r="U547" s="614">
        <v>45</v>
      </c>
      <c r="V547" s="614">
        <v>50</v>
      </c>
      <c r="W547" s="588" t="s">
        <v>5476</v>
      </c>
      <c r="X547" s="587" t="s">
        <v>5504</v>
      </c>
      <c r="Y547" s="587" t="s">
        <v>5573</v>
      </c>
      <c r="Z547" s="589"/>
      <c r="AA547" s="724"/>
    </row>
    <row r="548" spans="1:34" ht="42.75" customHeight="1">
      <c r="A548" s="1167"/>
      <c r="B548" s="1227"/>
      <c r="C548" s="964" t="s">
        <v>6148</v>
      </c>
      <c r="D548" s="965"/>
      <c r="E548" s="990"/>
      <c r="F548" s="913"/>
      <c r="G548" s="941"/>
      <c r="H548" s="842"/>
      <c r="I548" s="941"/>
      <c r="J548" s="830"/>
      <c r="K548" s="844"/>
      <c r="L548" s="845"/>
      <c r="M548" s="194"/>
      <c r="N548" s="1167"/>
      <c r="O548" s="964" t="str">
        <f t="shared" si="66"/>
        <v>ترک و مار پیچ استپر درب های جانبی جلو و عقب</v>
      </c>
      <c r="P548" s="965"/>
      <c r="Q548" s="611"/>
      <c r="R548" s="610"/>
      <c r="S548" s="646"/>
      <c r="T548" s="614"/>
      <c r="U548" s="614"/>
      <c r="V548" s="614"/>
      <c r="W548" s="588"/>
      <c r="X548" s="587"/>
      <c r="Y548" s="587"/>
      <c r="Z548" s="589"/>
      <c r="AA548" s="724"/>
    </row>
    <row r="549" spans="1:34" ht="42.75" customHeight="1">
      <c r="A549" s="1167"/>
      <c r="B549" s="1227"/>
      <c r="C549" s="929" t="s">
        <v>2019</v>
      </c>
      <c r="D549" s="931" t="s">
        <v>6087</v>
      </c>
      <c r="E549" s="939"/>
      <c r="F549" s="951">
        <v>0.7</v>
      </c>
      <c r="G549" s="952" t="s">
        <v>2</v>
      </c>
      <c r="H549" s="952" t="s">
        <v>1393</v>
      </c>
      <c r="I549" s="952"/>
      <c r="J549" s="230" t="s">
        <v>2018</v>
      </c>
      <c r="K549" s="952">
        <v>6</v>
      </c>
      <c r="L549" s="236"/>
      <c r="M549" s="194"/>
      <c r="N549" s="1167">
        <f t="shared" si="64"/>
        <v>0</v>
      </c>
      <c r="O549" s="914" t="str">
        <f t="shared" si="66"/>
        <v>ترک و مارک مجموعه اکسل جلو</v>
      </c>
      <c r="P549" s="915" t="str">
        <f t="shared" si="67"/>
        <v>SX5-2904-2A</v>
      </c>
      <c r="Q549" s="586" t="str">
        <f t="shared" si="62"/>
        <v>-</v>
      </c>
      <c r="R549" s="585" t="str">
        <f t="shared" si="63"/>
        <v>پیچ  نصب کمک فنر جلو
مهره  نصب کمک فنر جلو</v>
      </c>
      <c r="S549" s="586">
        <f t="shared" si="63"/>
        <v>6</v>
      </c>
      <c r="T549" s="587">
        <v>26</v>
      </c>
      <c r="U549" s="587">
        <v>28</v>
      </c>
      <c r="V549" s="587">
        <v>30</v>
      </c>
      <c r="W549" s="588" t="s">
        <v>5445</v>
      </c>
      <c r="X549" s="587" t="s">
        <v>5448</v>
      </c>
      <c r="Y549" s="592" t="s">
        <v>5574</v>
      </c>
      <c r="Z549" s="589"/>
      <c r="AA549" s="724"/>
    </row>
    <row r="550" spans="1:34" ht="42.75" customHeight="1" thickBot="1">
      <c r="A550" s="1168"/>
      <c r="B550" s="1242"/>
      <c r="C550" s="930" t="s">
        <v>2017</v>
      </c>
      <c r="D550" s="932" t="s">
        <v>6088</v>
      </c>
      <c r="E550" s="942"/>
      <c r="F550" s="936">
        <v>0.4</v>
      </c>
      <c r="G550" s="953" t="s">
        <v>2</v>
      </c>
      <c r="H550" s="953" t="s">
        <v>1393</v>
      </c>
      <c r="I550" s="953"/>
      <c r="J550" s="272" t="s">
        <v>2016</v>
      </c>
      <c r="K550" s="953">
        <v>3</v>
      </c>
      <c r="L550" s="263"/>
      <c r="M550" s="194"/>
      <c r="N550" s="1168">
        <f t="shared" si="64"/>
        <v>0</v>
      </c>
      <c r="O550" s="930" t="str">
        <f t="shared" si="66"/>
        <v>ترک و مارک قفل درب محفظه موتور</v>
      </c>
      <c r="P550" s="932" t="str">
        <f t="shared" si="67"/>
        <v>SX5-8402-6A</v>
      </c>
      <c r="Q550" s="251" t="str">
        <f t="shared" si="62"/>
        <v>-</v>
      </c>
      <c r="R550" s="274" t="str">
        <f t="shared" si="63"/>
        <v>پیچ شش گوش</v>
      </c>
      <c r="S550" s="251">
        <f t="shared" si="63"/>
        <v>3</v>
      </c>
      <c r="T550" s="386">
        <v>19</v>
      </c>
      <c r="U550" s="386">
        <v>20</v>
      </c>
      <c r="V550" s="386">
        <v>22</v>
      </c>
      <c r="W550" s="387" t="s">
        <v>5445</v>
      </c>
      <c r="X550" s="386" t="s">
        <v>5442</v>
      </c>
      <c r="Y550" s="420" t="s">
        <v>5575</v>
      </c>
      <c r="Z550" s="283"/>
      <c r="AA550" s="285"/>
    </row>
    <row r="551" spans="1:34" ht="42.75" customHeight="1">
      <c r="A551" s="1135" t="s">
        <v>2027</v>
      </c>
      <c r="B551" s="1222" t="s">
        <v>2031</v>
      </c>
      <c r="C551" s="1169" t="s">
        <v>2030</v>
      </c>
      <c r="D551" s="1142" t="s">
        <v>611</v>
      </c>
      <c r="E551" s="1221"/>
      <c r="F551" s="1222">
        <v>5.12</v>
      </c>
      <c r="G551" s="997" t="s">
        <v>0</v>
      </c>
      <c r="H551" s="997" t="s">
        <v>5385</v>
      </c>
      <c r="I551" s="997" t="s">
        <v>5108</v>
      </c>
      <c r="J551" s="221" t="s">
        <v>2029</v>
      </c>
      <c r="K551" s="997">
        <v>1</v>
      </c>
      <c r="L551" s="222" t="s">
        <v>5900</v>
      </c>
      <c r="M551" s="194"/>
      <c r="N551" s="1135" t="str">
        <f t="shared" ref="N551:N553" si="68">A551</f>
        <v>P43</v>
      </c>
      <c r="O551" s="1169" t="str">
        <f>C551</f>
        <v>مونتاژ سپر جلو</v>
      </c>
      <c r="P551" s="1142" t="str">
        <f t="shared" si="67"/>
        <v>SX5K-2803-1</v>
      </c>
      <c r="Q551" s="225" t="str">
        <f t="shared" ref="Q551:Q553" si="69">H551</f>
        <v>SX5KCT-2803-0002A-BR</v>
      </c>
      <c r="R551" s="224" t="str">
        <f t="shared" ref="R551:R553" si="70">J551</f>
        <v>مجموعه سپر جلو</v>
      </c>
      <c r="S551" s="225">
        <f t="shared" ref="S551:S553" si="71">K551</f>
        <v>1</v>
      </c>
      <c r="T551" s="226"/>
      <c r="U551" s="226"/>
      <c r="V551" s="226"/>
      <c r="W551" s="226"/>
      <c r="X551" s="227"/>
      <c r="Y551" s="227"/>
      <c r="Z551" s="226"/>
      <c r="AA551" s="228"/>
    </row>
    <row r="552" spans="1:34" ht="42.75" customHeight="1">
      <c r="A552" s="1136"/>
      <c r="B552" s="1115"/>
      <c r="C552" s="1116" t="s">
        <v>1248</v>
      </c>
      <c r="D552" s="1117"/>
      <c r="E552" s="1118"/>
      <c r="F552" s="1115"/>
      <c r="G552" s="941" t="s">
        <v>1</v>
      </c>
      <c r="H552" s="941" t="s">
        <v>1500</v>
      </c>
      <c r="I552" s="941"/>
      <c r="J552" s="647" t="s">
        <v>1499</v>
      </c>
      <c r="K552" s="941">
        <v>4</v>
      </c>
      <c r="L552" s="802" t="s">
        <v>5896</v>
      </c>
      <c r="M552" s="194"/>
      <c r="N552" s="1136">
        <f t="shared" si="68"/>
        <v>0</v>
      </c>
      <c r="O552" s="1116"/>
      <c r="P552" s="1117"/>
      <c r="Q552" s="586" t="str">
        <f t="shared" si="69"/>
        <v>LQ146B0625TF38</v>
      </c>
      <c r="R552" s="585" t="str">
        <f t="shared" si="70"/>
        <v>پیچ سر شش گوش واشردار</v>
      </c>
      <c r="S552" s="586">
        <f t="shared" si="71"/>
        <v>4</v>
      </c>
      <c r="T552" s="614">
        <v>3</v>
      </c>
      <c r="U552" s="614">
        <v>5</v>
      </c>
      <c r="V552" s="614">
        <v>7</v>
      </c>
      <c r="W552" s="615" t="s">
        <v>5431</v>
      </c>
      <c r="X552" s="614" t="s">
        <v>5485</v>
      </c>
      <c r="Y552" s="614" t="s">
        <v>5570</v>
      </c>
      <c r="Z552" s="589"/>
      <c r="AA552" s="724"/>
    </row>
    <row r="553" spans="1:34" ht="42.75" customHeight="1" thickBot="1">
      <c r="A553" s="1137"/>
      <c r="B553" s="1232"/>
      <c r="C553" s="1186" t="s">
        <v>1248</v>
      </c>
      <c r="D553" s="1159"/>
      <c r="E553" s="1214"/>
      <c r="F553" s="1232"/>
      <c r="G553" s="953" t="s">
        <v>2</v>
      </c>
      <c r="H553" s="953" t="s">
        <v>2028</v>
      </c>
      <c r="I553" s="953"/>
      <c r="J553" s="272" t="s">
        <v>1498</v>
      </c>
      <c r="K553" s="953">
        <v>4</v>
      </c>
      <c r="L553" s="250" t="s">
        <v>5896</v>
      </c>
      <c r="M553" s="194"/>
      <c r="N553" s="1136">
        <f t="shared" si="68"/>
        <v>0</v>
      </c>
      <c r="O553" s="1116"/>
      <c r="P553" s="1117"/>
      <c r="Q553" s="586" t="str">
        <f t="shared" si="69"/>
        <v>Q32006F38</v>
      </c>
      <c r="R553" s="585" t="str">
        <f t="shared" si="70"/>
        <v xml:space="preserve">مهره فلنجی سر شش گوش </v>
      </c>
      <c r="S553" s="586">
        <f t="shared" si="71"/>
        <v>4</v>
      </c>
      <c r="T553" s="614">
        <v>3</v>
      </c>
      <c r="U553" s="614">
        <v>4</v>
      </c>
      <c r="V553" s="614">
        <v>5</v>
      </c>
      <c r="W553" s="615" t="s">
        <v>5431</v>
      </c>
      <c r="X553" s="614" t="s">
        <v>5485</v>
      </c>
      <c r="Y553" s="614" t="s">
        <v>5570</v>
      </c>
      <c r="Z553" s="589"/>
      <c r="AA553" s="724"/>
    </row>
    <row r="554" spans="1:34" ht="38.25" customHeight="1" thickBot="1">
      <c r="A554" s="421"/>
      <c r="B554" s="422"/>
      <c r="C554" s="423" t="s">
        <v>1248</v>
      </c>
      <c r="D554" s="424"/>
      <c r="E554" s="422"/>
      <c r="F554" s="422"/>
      <c r="G554" s="422"/>
      <c r="H554" s="425" t="s">
        <v>2015</v>
      </c>
      <c r="I554" s="422"/>
      <c r="J554" s="426"/>
      <c r="K554" s="422"/>
      <c r="L554" s="427"/>
      <c r="M554" s="194"/>
      <c r="N554" s="1384" t="s">
        <v>2015</v>
      </c>
      <c r="O554" s="1385"/>
      <c r="P554" s="1385"/>
      <c r="Q554" s="1385"/>
      <c r="R554" s="1385"/>
      <c r="S554" s="1385"/>
      <c r="T554" s="1385"/>
      <c r="U554" s="1385"/>
      <c r="V554" s="1385"/>
      <c r="W554" s="1385"/>
      <c r="X554" s="1385"/>
      <c r="Y554" s="1385"/>
      <c r="Z554" s="1385"/>
      <c r="AA554" s="1386"/>
    </row>
    <row r="555" spans="1:34" s="776" customFormat="1" ht="46.5" customHeight="1">
      <c r="A555" s="1177" t="s">
        <v>2014</v>
      </c>
      <c r="B555" s="946" t="s">
        <v>1971</v>
      </c>
      <c r="C555" s="428" t="s">
        <v>5280</v>
      </c>
      <c r="D555" s="429" t="s">
        <v>5282</v>
      </c>
      <c r="E555" s="430"/>
      <c r="F555" s="431" t="s">
        <v>5278</v>
      </c>
      <c r="G555" s="430"/>
      <c r="H555" s="432" t="s">
        <v>5283</v>
      </c>
      <c r="I555" s="430"/>
      <c r="J555" s="433" t="s">
        <v>5284</v>
      </c>
      <c r="K555" s="430"/>
      <c r="L555" s="434"/>
      <c r="M555" s="194"/>
      <c r="N555" s="1135" t="str">
        <f>A555</f>
        <v>P44</v>
      </c>
      <c r="O555" s="428" t="s">
        <v>5280</v>
      </c>
      <c r="P555" s="429" t="s">
        <v>5282</v>
      </c>
      <c r="Q555" s="717" t="s">
        <v>5278</v>
      </c>
      <c r="R555" s="718" t="s">
        <v>5278</v>
      </c>
      <c r="S555" s="718" t="s">
        <v>5285</v>
      </c>
      <c r="T555" s="226"/>
      <c r="U555" s="226"/>
      <c r="V555" s="226"/>
      <c r="W555" s="226"/>
      <c r="X555" s="227"/>
      <c r="Y555" s="227"/>
      <c r="Z555" s="226"/>
      <c r="AA555" s="228"/>
      <c r="AB555" s="775"/>
      <c r="AC555" s="775"/>
      <c r="AD555" s="775"/>
      <c r="AE555" s="775"/>
      <c r="AF555" s="775"/>
      <c r="AG555" s="775"/>
      <c r="AH555" s="775"/>
    </row>
    <row r="556" spans="1:34" ht="39.75" customHeight="1">
      <c r="A556" s="1178"/>
      <c r="B556" s="918" t="s">
        <v>1971</v>
      </c>
      <c r="C556" s="955" t="s">
        <v>2013</v>
      </c>
      <c r="D556" s="1007" t="s">
        <v>2012</v>
      </c>
      <c r="E556" s="979"/>
      <c r="F556" s="918" t="s">
        <v>5404</v>
      </c>
      <c r="G556" s="918" t="s">
        <v>0</v>
      </c>
      <c r="H556" s="918" t="s">
        <v>2011</v>
      </c>
      <c r="I556" s="918"/>
      <c r="J556" s="268" t="s">
        <v>2010</v>
      </c>
      <c r="K556" s="1039" t="s">
        <v>6210</v>
      </c>
      <c r="L556" s="435" t="s">
        <v>5911</v>
      </c>
      <c r="M556" s="194"/>
      <c r="N556" s="1136"/>
      <c r="O556" s="962" t="str">
        <f t="shared" si="66"/>
        <v xml:space="preserve">ترمیم PVC زیر بدنه  </v>
      </c>
      <c r="P556" s="963" t="str">
        <f>D556</f>
        <v>SX5-2803-7</v>
      </c>
      <c r="Q556" s="629" t="str">
        <f>H556</f>
        <v>C0432783BK</v>
      </c>
      <c r="R556" s="607" t="str">
        <f t="shared" si="63"/>
        <v>عایق زیر بدنه هوا خشک</v>
      </c>
      <c r="S556" s="704" t="str">
        <f t="shared" si="63"/>
        <v>10  گرم</v>
      </c>
      <c r="T556" s="589"/>
      <c r="U556" s="589"/>
      <c r="V556" s="589"/>
      <c r="W556" s="589"/>
      <c r="X556" s="590"/>
      <c r="Y556" s="590"/>
      <c r="Z556" s="589"/>
      <c r="AA556" s="724"/>
    </row>
    <row r="557" spans="1:34" ht="39.75" customHeight="1">
      <c r="A557" s="1178"/>
      <c r="B557" s="1151" t="s">
        <v>1971</v>
      </c>
      <c r="C557" s="1154" t="s">
        <v>2009</v>
      </c>
      <c r="D557" s="1209" t="s">
        <v>309</v>
      </c>
      <c r="E557" s="1126"/>
      <c r="F557" s="1151">
        <v>1.75</v>
      </c>
      <c r="G557" s="952" t="s">
        <v>0</v>
      </c>
      <c r="H557" s="952" t="s">
        <v>310</v>
      </c>
      <c r="I557" s="952"/>
      <c r="J557" s="230" t="s">
        <v>2008</v>
      </c>
      <c r="K557" s="952">
        <v>1</v>
      </c>
      <c r="L557" s="231" t="s">
        <v>5912</v>
      </c>
      <c r="M557" s="194"/>
      <c r="N557" s="1136"/>
      <c r="O557" s="1116" t="str">
        <f t="shared" si="66"/>
        <v>نصب سپر حرارتی جلو</v>
      </c>
      <c r="P557" s="1117" t="str">
        <f>D557</f>
        <v>SX5-1200-8</v>
      </c>
      <c r="Q557" s="586" t="str">
        <f t="shared" si="62"/>
        <v>BS3-1208107A</v>
      </c>
      <c r="R557" s="585" t="str">
        <f t="shared" si="63"/>
        <v>سپر حرارتی جلو</v>
      </c>
      <c r="S557" s="586">
        <f t="shared" si="63"/>
        <v>1</v>
      </c>
      <c r="T557" s="589"/>
      <c r="U557" s="589"/>
      <c r="V557" s="589"/>
      <c r="W557" s="589"/>
      <c r="X557" s="590"/>
      <c r="Y557" s="590"/>
      <c r="Z557" s="589"/>
      <c r="AA557" s="724"/>
    </row>
    <row r="558" spans="1:34" ht="39.75" customHeight="1">
      <c r="A558" s="1178"/>
      <c r="B558" s="1151"/>
      <c r="C558" s="1154" t="s">
        <v>1248</v>
      </c>
      <c r="D558" s="1209"/>
      <c r="E558" s="1126"/>
      <c r="F558" s="1151"/>
      <c r="G558" s="952" t="s">
        <v>1</v>
      </c>
      <c r="H558" s="952" t="s">
        <v>1794</v>
      </c>
      <c r="I558" s="952"/>
      <c r="J558" s="230" t="s">
        <v>1972</v>
      </c>
      <c r="K558" s="952">
        <v>3</v>
      </c>
      <c r="L558" s="231" t="s">
        <v>5913</v>
      </c>
      <c r="M558" s="194"/>
      <c r="N558" s="1136"/>
      <c r="O558" s="1116"/>
      <c r="P558" s="1117"/>
      <c r="Q558" s="586" t="str">
        <f t="shared" si="62"/>
        <v>Q32206F38L</v>
      </c>
      <c r="R558" s="585" t="str">
        <f t="shared" si="63"/>
        <v xml:space="preserve">مهره شش گوش فلنجی </v>
      </c>
      <c r="S558" s="586">
        <f t="shared" si="63"/>
        <v>3</v>
      </c>
      <c r="T558" s="656">
        <v>6</v>
      </c>
      <c r="U558" s="656">
        <v>8</v>
      </c>
      <c r="V558" s="656">
        <v>10</v>
      </c>
      <c r="W558" s="657" t="s">
        <v>5431</v>
      </c>
      <c r="X558" s="656" t="s">
        <v>5432</v>
      </c>
      <c r="Y558" s="656" t="s">
        <v>5576</v>
      </c>
      <c r="Z558" s="589"/>
      <c r="AA558" s="724"/>
    </row>
    <row r="559" spans="1:34" ht="39.75" customHeight="1">
      <c r="A559" s="1178"/>
      <c r="B559" s="933" t="s">
        <v>1971</v>
      </c>
      <c r="C559" s="929" t="s">
        <v>2007</v>
      </c>
      <c r="D559" s="931" t="s">
        <v>2006</v>
      </c>
      <c r="E559" s="939"/>
      <c r="F559" s="952">
        <v>0.2</v>
      </c>
      <c r="G559" s="952" t="s">
        <v>0</v>
      </c>
      <c r="H559" s="952" t="s">
        <v>196</v>
      </c>
      <c r="I559" s="952"/>
      <c r="J559" s="230" t="s">
        <v>1250</v>
      </c>
      <c r="K559" s="952">
        <v>8</v>
      </c>
      <c r="L559" s="231" t="s">
        <v>5914</v>
      </c>
      <c r="M559" s="194"/>
      <c r="N559" s="1136"/>
      <c r="O559" s="914" t="str">
        <f>C559</f>
        <v>نصب مهره پلاستیکی های قاب رکاب دو طرف</v>
      </c>
      <c r="P559" s="915" t="str">
        <f>D559</f>
        <v>SX5-5504-2-C</v>
      </c>
      <c r="Q559" s="586" t="str">
        <f t="shared" si="62"/>
        <v>BL338A</v>
      </c>
      <c r="R559" s="585" t="str">
        <f t="shared" si="63"/>
        <v>مهره پلاستیکی</v>
      </c>
      <c r="S559" s="586">
        <f t="shared" si="63"/>
        <v>8</v>
      </c>
      <c r="T559" s="589"/>
      <c r="U559" s="589"/>
      <c r="V559" s="589"/>
      <c r="W559" s="589"/>
      <c r="X559" s="590"/>
      <c r="Y559" s="590"/>
      <c r="Z559" s="589"/>
      <c r="AA559" s="724"/>
    </row>
    <row r="560" spans="1:34" ht="39.75" customHeight="1">
      <c r="A560" s="1178"/>
      <c r="B560" s="1160" t="s">
        <v>1971</v>
      </c>
      <c r="C560" s="1152" t="s">
        <v>2005</v>
      </c>
      <c r="D560" s="1120" t="s">
        <v>337</v>
      </c>
      <c r="E560" s="1122"/>
      <c r="F560" s="1160">
        <v>0.95</v>
      </c>
      <c r="G560" s="952" t="s">
        <v>0</v>
      </c>
      <c r="H560" s="952" t="s">
        <v>2004</v>
      </c>
      <c r="I560" s="952"/>
      <c r="J560" s="230" t="s">
        <v>2003</v>
      </c>
      <c r="K560" s="952">
        <v>1</v>
      </c>
      <c r="L560" s="231" t="s">
        <v>5915</v>
      </c>
      <c r="M560" s="194"/>
      <c r="N560" s="1136"/>
      <c r="O560" s="1152" t="str">
        <f>C560</f>
        <v>نصب سپر حرارتی میانی</v>
      </c>
      <c r="P560" s="1120" t="str">
        <f>D560</f>
        <v>SX5-1200-2</v>
      </c>
      <c r="Q560" s="586" t="str">
        <f t="shared" si="62"/>
        <v>SX5-1208104</v>
      </c>
      <c r="R560" s="585" t="str">
        <f t="shared" si="63"/>
        <v>سپر حرارتی میانی</v>
      </c>
      <c r="S560" s="586">
        <f t="shared" si="63"/>
        <v>1</v>
      </c>
      <c r="T560" s="589"/>
      <c r="U560" s="589"/>
      <c r="V560" s="589"/>
      <c r="W560" s="589"/>
      <c r="X560" s="590"/>
      <c r="Y560" s="590"/>
      <c r="Z560" s="589"/>
      <c r="AA560" s="724"/>
    </row>
    <row r="561" spans="1:27" ht="39.75" customHeight="1">
      <c r="A561" s="1178"/>
      <c r="B561" s="1227"/>
      <c r="C561" s="1201"/>
      <c r="D561" s="1202"/>
      <c r="E561" s="1165"/>
      <c r="F561" s="1227"/>
      <c r="G561" s="233" t="s">
        <v>1</v>
      </c>
      <c r="H561" s="233" t="s">
        <v>1794</v>
      </c>
      <c r="I561" s="233"/>
      <c r="J561" s="230" t="s">
        <v>1498</v>
      </c>
      <c r="K561" s="952">
        <v>3</v>
      </c>
      <c r="L561" s="231" t="s">
        <v>5913</v>
      </c>
      <c r="M561" s="194"/>
      <c r="N561" s="1136"/>
      <c r="O561" s="1201"/>
      <c r="P561" s="1202"/>
      <c r="Q561" s="658" t="str">
        <f t="shared" si="62"/>
        <v>Q32206F38L</v>
      </c>
      <c r="R561" s="585" t="str">
        <f t="shared" si="63"/>
        <v xml:space="preserve">مهره فلنجی سر شش گوش </v>
      </c>
      <c r="S561" s="586">
        <f t="shared" si="63"/>
        <v>3</v>
      </c>
      <c r="T561" s="656">
        <v>6</v>
      </c>
      <c r="U561" s="656">
        <v>8</v>
      </c>
      <c r="V561" s="656">
        <v>10</v>
      </c>
      <c r="W561" s="657" t="s">
        <v>5431</v>
      </c>
      <c r="X561" s="656" t="s">
        <v>5432</v>
      </c>
      <c r="Y561" s="656" t="s">
        <v>5576</v>
      </c>
      <c r="Z561" s="589"/>
      <c r="AA561" s="724"/>
    </row>
    <row r="562" spans="1:27" ht="39.75" customHeight="1">
      <c r="A562" s="1178"/>
      <c r="B562" s="1161"/>
      <c r="C562" s="1153"/>
      <c r="D562" s="1121"/>
      <c r="E562" s="1123"/>
      <c r="F562" s="1161"/>
      <c r="G562" s="797" t="s">
        <v>2</v>
      </c>
      <c r="H562" s="797" t="s">
        <v>56</v>
      </c>
      <c r="I562" s="797"/>
      <c r="J562" s="647" t="s">
        <v>1250</v>
      </c>
      <c r="K562" s="941">
        <v>2</v>
      </c>
      <c r="L562" s="802" t="s">
        <v>5914</v>
      </c>
      <c r="M562" s="194"/>
      <c r="N562" s="1136"/>
      <c r="O562" s="1153"/>
      <c r="P562" s="1121"/>
      <c r="Q562" s="658" t="str">
        <f t="shared" si="62"/>
        <v>BL929A1</v>
      </c>
      <c r="R562" s="585" t="str">
        <f t="shared" si="63"/>
        <v>مهره پلاستیکی</v>
      </c>
      <c r="S562" s="586">
        <f t="shared" si="63"/>
        <v>2</v>
      </c>
      <c r="T562" s="656"/>
      <c r="U562" s="656"/>
      <c r="V562" s="656"/>
      <c r="W562" s="657"/>
      <c r="X562" s="656"/>
      <c r="Y562" s="656"/>
      <c r="Z562" s="589"/>
      <c r="AA562" s="724"/>
    </row>
    <row r="563" spans="1:27" ht="39.75" customHeight="1">
      <c r="A563" s="1178"/>
      <c r="B563" s="1151" t="s">
        <v>1971</v>
      </c>
      <c r="C563" s="1154" t="s">
        <v>2002</v>
      </c>
      <c r="D563" s="1209" t="s">
        <v>2001</v>
      </c>
      <c r="E563" s="1126"/>
      <c r="F563" s="1151">
        <v>0.87</v>
      </c>
      <c r="G563" s="952" t="s">
        <v>0</v>
      </c>
      <c r="H563" s="952" t="s">
        <v>1500</v>
      </c>
      <c r="I563" s="952"/>
      <c r="J563" s="230" t="s">
        <v>1499</v>
      </c>
      <c r="K563" s="952">
        <v>3</v>
      </c>
      <c r="L563" s="231" t="s">
        <v>5914</v>
      </c>
      <c r="M563" s="194"/>
      <c r="N563" s="1136"/>
      <c r="O563" s="1116" t="str">
        <f>C563</f>
        <v>مونتاژ قطعات زیر سپر جلو</v>
      </c>
      <c r="P563" s="1117" t="str">
        <f>D563</f>
        <v>SX5K-2803-2</v>
      </c>
      <c r="Q563" s="586" t="str">
        <f t="shared" si="62"/>
        <v>LQ146B0625TF38</v>
      </c>
      <c r="R563" s="585" t="str">
        <f t="shared" si="63"/>
        <v>پیچ سر شش گوش واشردار</v>
      </c>
      <c r="S563" s="586">
        <f t="shared" si="63"/>
        <v>3</v>
      </c>
      <c r="T563" s="656">
        <v>6</v>
      </c>
      <c r="U563" s="656">
        <v>8</v>
      </c>
      <c r="V563" s="656">
        <v>10</v>
      </c>
      <c r="W563" s="659" t="s">
        <v>5431</v>
      </c>
      <c r="X563" s="660" t="s">
        <v>5432</v>
      </c>
      <c r="Y563" s="656" t="s">
        <v>5576</v>
      </c>
      <c r="Z563" s="589"/>
      <c r="AA563" s="724"/>
    </row>
    <row r="564" spans="1:27" ht="39.75" customHeight="1">
      <c r="A564" s="1178"/>
      <c r="B564" s="1151"/>
      <c r="C564" s="1154" t="s">
        <v>1248</v>
      </c>
      <c r="D564" s="1209"/>
      <c r="E564" s="1126"/>
      <c r="F564" s="1151"/>
      <c r="G564" s="952" t="s">
        <v>1</v>
      </c>
      <c r="H564" s="952" t="s">
        <v>73</v>
      </c>
      <c r="I564" s="952"/>
      <c r="J564" s="230" t="s">
        <v>1251</v>
      </c>
      <c r="K564" s="952">
        <v>1</v>
      </c>
      <c r="L564" s="231" t="s">
        <v>5916</v>
      </c>
      <c r="M564" s="194"/>
      <c r="N564" s="1136"/>
      <c r="O564" s="1116"/>
      <c r="P564" s="1117"/>
      <c r="Q564" s="586" t="str">
        <f t="shared" si="62"/>
        <v>BL346</v>
      </c>
      <c r="R564" s="585" t="str">
        <f t="shared" si="63"/>
        <v>بست فشاری</v>
      </c>
      <c r="S564" s="586">
        <f t="shared" si="63"/>
        <v>1</v>
      </c>
      <c r="T564" s="589"/>
      <c r="U564" s="589"/>
      <c r="V564" s="589"/>
      <c r="W564" s="589"/>
      <c r="X564" s="590"/>
      <c r="Y564" s="590"/>
      <c r="Z564" s="589"/>
      <c r="AA564" s="724"/>
    </row>
    <row r="565" spans="1:27" ht="39.75" customHeight="1">
      <c r="A565" s="1178"/>
      <c r="B565" s="933" t="s">
        <v>1971</v>
      </c>
      <c r="C565" s="929" t="s">
        <v>2000</v>
      </c>
      <c r="D565" s="931" t="s">
        <v>1999</v>
      </c>
      <c r="E565" s="939"/>
      <c r="F565" s="935">
        <v>0.43</v>
      </c>
      <c r="G565" s="952" t="s">
        <v>0</v>
      </c>
      <c r="H565" s="952" t="s">
        <v>73</v>
      </c>
      <c r="I565" s="952"/>
      <c r="J565" s="230" t="s">
        <v>1251</v>
      </c>
      <c r="K565" s="952">
        <v>3</v>
      </c>
      <c r="L565" s="231" t="s">
        <v>5916</v>
      </c>
      <c r="M565" s="194"/>
      <c r="N565" s="1136"/>
      <c r="O565" s="914" t="str">
        <f t="shared" ref="O565:O567" si="72">C565</f>
        <v xml:space="preserve">نصب بستهای زیر سپر عقب  </v>
      </c>
      <c r="P565" s="915" t="str">
        <f>D565</f>
        <v>SX5-5512-10</v>
      </c>
      <c r="Q565" s="586" t="str">
        <f t="shared" si="62"/>
        <v>BL346</v>
      </c>
      <c r="R565" s="585" t="str">
        <f t="shared" si="63"/>
        <v>بست فشاری</v>
      </c>
      <c r="S565" s="586">
        <f t="shared" si="63"/>
        <v>3</v>
      </c>
      <c r="T565" s="589"/>
      <c r="U565" s="589"/>
      <c r="V565" s="589"/>
      <c r="W565" s="589"/>
      <c r="X565" s="590"/>
      <c r="Y565" s="590"/>
      <c r="Z565" s="589"/>
      <c r="AA565" s="724"/>
    </row>
    <row r="566" spans="1:27" ht="39.75" customHeight="1">
      <c r="A566" s="1178"/>
      <c r="B566" s="933" t="s">
        <v>1971</v>
      </c>
      <c r="C566" s="929" t="s">
        <v>1998</v>
      </c>
      <c r="D566" s="931"/>
      <c r="E566" s="939"/>
      <c r="F566" s="952">
        <v>1.89</v>
      </c>
      <c r="G566" s="952" t="s">
        <v>0</v>
      </c>
      <c r="H566" s="952" t="s">
        <v>5285</v>
      </c>
      <c r="I566" s="952" t="s">
        <v>5285</v>
      </c>
      <c r="J566" s="230" t="s">
        <v>5285</v>
      </c>
      <c r="K566" s="952" t="s">
        <v>5285</v>
      </c>
      <c r="L566" s="236"/>
      <c r="M566" s="194"/>
      <c r="N566" s="1136"/>
      <c r="O566" s="914" t="str">
        <f t="shared" si="72"/>
        <v>نصب لوله ترمز چرخ هاي جلو به ديسك و توپی</v>
      </c>
      <c r="P566" s="915">
        <f>D566</f>
        <v>0</v>
      </c>
      <c r="Q566" s="586" t="str">
        <f t="shared" si="62"/>
        <v>...</v>
      </c>
      <c r="R566" s="585" t="str">
        <f t="shared" si="63"/>
        <v>...</v>
      </c>
      <c r="S566" s="586" t="str">
        <f t="shared" si="63"/>
        <v>...</v>
      </c>
      <c r="T566" s="589"/>
      <c r="U566" s="589"/>
      <c r="V566" s="589"/>
      <c r="W566" s="589"/>
      <c r="X566" s="590"/>
      <c r="Y566" s="590" t="s">
        <v>5577</v>
      </c>
      <c r="Z566" s="589"/>
      <c r="AA566" s="724"/>
    </row>
    <row r="567" spans="1:27" ht="39.75" customHeight="1">
      <c r="A567" s="1178"/>
      <c r="B567" s="1228" t="s">
        <v>1971</v>
      </c>
      <c r="C567" s="1154" t="s">
        <v>1997</v>
      </c>
      <c r="D567" s="1209" t="s">
        <v>314</v>
      </c>
      <c r="E567" s="1126"/>
      <c r="F567" s="1220">
        <v>0.50736999999999999</v>
      </c>
      <c r="G567" s="952" t="s">
        <v>0</v>
      </c>
      <c r="H567" s="952" t="s">
        <v>1996</v>
      </c>
      <c r="I567" s="952"/>
      <c r="J567" s="230" t="s">
        <v>1995</v>
      </c>
      <c r="K567" s="952">
        <v>2</v>
      </c>
      <c r="L567" s="231" t="s">
        <v>5917</v>
      </c>
      <c r="M567" s="194"/>
      <c r="N567" s="1136"/>
      <c r="O567" s="1116" t="str">
        <f t="shared" si="72"/>
        <v xml:space="preserve">نصب ضربه گیر لاستیکی سیستم تعلیق عقب  </v>
      </c>
      <c r="P567" s="1117" t="str">
        <f>D567</f>
        <v>SX5-2915-2</v>
      </c>
      <c r="Q567" s="586" t="str">
        <f t="shared" si="62"/>
        <v>S60-2915030</v>
      </c>
      <c r="R567" s="585" t="str">
        <f t="shared" si="63"/>
        <v>ضربه گیر لاستیکی سیستم تعلیق عقب</v>
      </c>
      <c r="S567" s="586">
        <f t="shared" si="63"/>
        <v>2</v>
      </c>
      <c r="T567" s="589"/>
      <c r="U567" s="589"/>
      <c r="V567" s="589"/>
      <c r="W567" s="589"/>
      <c r="X567" s="590"/>
      <c r="Y567" s="590"/>
      <c r="Z567" s="589"/>
      <c r="AA567" s="724"/>
    </row>
    <row r="568" spans="1:27" ht="39.75" customHeight="1">
      <c r="A568" s="1178"/>
      <c r="B568" s="1228"/>
      <c r="C568" s="1154" t="s">
        <v>1248</v>
      </c>
      <c r="D568" s="1209"/>
      <c r="E568" s="1126"/>
      <c r="F568" s="1220"/>
      <c r="G568" s="952" t="s">
        <v>1</v>
      </c>
      <c r="H568" s="952" t="s">
        <v>316</v>
      </c>
      <c r="I568" s="952"/>
      <c r="J568" s="230" t="s">
        <v>1951</v>
      </c>
      <c r="K568" s="952">
        <v>2</v>
      </c>
      <c r="L568" s="231" t="s">
        <v>5913</v>
      </c>
      <c r="M568" s="194"/>
      <c r="N568" s="1136"/>
      <c r="O568" s="1116"/>
      <c r="P568" s="1117"/>
      <c r="Q568" s="586" t="str">
        <f t="shared" si="62"/>
        <v>B20-2915031B</v>
      </c>
      <c r="R568" s="585" t="str">
        <f t="shared" si="63"/>
        <v>پیچ نگهدارنده ضربه گیر</v>
      </c>
      <c r="S568" s="586">
        <f t="shared" si="63"/>
        <v>2</v>
      </c>
      <c r="T568" s="656">
        <v>23</v>
      </c>
      <c r="U568" s="656">
        <v>25</v>
      </c>
      <c r="V568" s="656">
        <v>27</v>
      </c>
      <c r="W568" s="657" t="s">
        <v>5509</v>
      </c>
      <c r="X568" s="656" t="s">
        <v>5578</v>
      </c>
      <c r="Y568" s="656" t="s">
        <v>5579</v>
      </c>
      <c r="Z568" s="656" t="s">
        <v>5448</v>
      </c>
      <c r="AA568" s="732" t="s">
        <v>5580</v>
      </c>
    </row>
    <row r="569" spans="1:27" ht="39.75" customHeight="1">
      <c r="A569" s="1178"/>
      <c r="B569" s="1220" t="s">
        <v>1971</v>
      </c>
      <c r="C569" s="1154" t="s">
        <v>1994</v>
      </c>
      <c r="D569" s="1209" t="s">
        <v>311</v>
      </c>
      <c r="E569" s="1126" t="s">
        <v>4973</v>
      </c>
      <c r="F569" s="1151">
        <v>0.79457500000000003</v>
      </c>
      <c r="G569" s="952" t="s">
        <v>697</v>
      </c>
      <c r="H569" s="952" t="s">
        <v>1993</v>
      </c>
      <c r="I569" s="952"/>
      <c r="J569" s="230" t="s">
        <v>1992</v>
      </c>
      <c r="K569" s="952">
        <v>1</v>
      </c>
      <c r="L569" s="231" t="s">
        <v>5911</v>
      </c>
      <c r="M569" s="194"/>
      <c r="N569" s="1136"/>
      <c r="O569" s="1116" t="str">
        <f>C569</f>
        <v>مونتاژ براکت نگهدارنده کابل ترمز دستی</v>
      </c>
      <c r="P569" s="1117" t="str">
        <f>D569</f>
        <v>SX5-3508-3</v>
      </c>
      <c r="Q569" s="586" t="str">
        <f t="shared" si="62"/>
        <v>SX5-3508131</v>
      </c>
      <c r="R569" s="585" t="str">
        <f t="shared" si="63"/>
        <v>براکت نصب کابل ترمز دستی - چپ</v>
      </c>
      <c r="S569" s="586">
        <f t="shared" si="63"/>
        <v>1</v>
      </c>
      <c r="T569" s="589"/>
      <c r="U569" s="589"/>
      <c r="V569" s="589"/>
      <c r="W569" s="589"/>
      <c r="X569" s="590"/>
      <c r="Y569" s="590"/>
      <c r="Z569" s="589"/>
      <c r="AA569" s="724"/>
    </row>
    <row r="570" spans="1:27" ht="39.75" customHeight="1">
      <c r="A570" s="1178"/>
      <c r="B570" s="1220"/>
      <c r="C570" s="1154" t="s">
        <v>1248</v>
      </c>
      <c r="D570" s="1209"/>
      <c r="E570" s="1126"/>
      <c r="F570" s="1151"/>
      <c r="G570" s="952" t="s">
        <v>697</v>
      </c>
      <c r="H570" s="952" t="s">
        <v>1991</v>
      </c>
      <c r="I570" s="952"/>
      <c r="J570" s="230" t="s">
        <v>1990</v>
      </c>
      <c r="K570" s="952">
        <v>1</v>
      </c>
      <c r="L570" s="231" t="s">
        <v>5911</v>
      </c>
      <c r="M570" s="194"/>
      <c r="N570" s="1136"/>
      <c r="O570" s="1116"/>
      <c r="P570" s="1117"/>
      <c r="Q570" s="586" t="str">
        <f t="shared" si="62"/>
        <v>SX5-3508141</v>
      </c>
      <c r="R570" s="585" t="str">
        <f t="shared" si="63"/>
        <v>براکت نصب کابل ترمز دستی - راست</v>
      </c>
      <c r="S570" s="586">
        <f t="shared" si="63"/>
        <v>1</v>
      </c>
      <c r="T570" s="589"/>
      <c r="U570" s="589"/>
      <c r="V570" s="589"/>
      <c r="W570" s="589"/>
      <c r="X570" s="590"/>
      <c r="Y570" s="590"/>
      <c r="Z570" s="589"/>
      <c r="AA570" s="724"/>
    </row>
    <row r="571" spans="1:27" ht="39.75" customHeight="1" thickBot="1">
      <c r="A571" s="1179"/>
      <c r="B571" s="1239"/>
      <c r="C571" s="1186" t="s">
        <v>1248</v>
      </c>
      <c r="D571" s="1159"/>
      <c r="E571" s="1214"/>
      <c r="F571" s="1232"/>
      <c r="G571" s="953" t="s">
        <v>717</v>
      </c>
      <c r="H571" s="436" t="s">
        <v>218</v>
      </c>
      <c r="I571" s="436"/>
      <c r="J571" s="272" t="s">
        <v>1499</v>
      </c>
      <c r="K571" s="953">
        <v>4</v>
      </c>
      <c r="L571" s="250" t="s">
        <v>5913</v>
      </c>
      <c r="M571" s="194"/>
      <c r="N571" s="1137"/>
      <c r="O571" s="1186"/>
      <c r="P571" s="1159"/>
      <c r="Q571" s="437" t="str">
        <f>H571</f>
        <v>Q1840816F38</v>
      </c>
      <c r="R571" s="274" t="str">
        <f t="shared" ref="R571:S621" si="73">J571</f>
        <v>پیچ سر شش گوش واشردار</v>
      </c>
      <c r="S571" s="251">
        <f t="shared" si="73"/>
        <v>4</v>
      </c>
      <c r="T571" s="438">
        <v>6</v>
      </c>
      <c r="U571" s="438">
        <v>8</v>
      </c>
      <c r="V571" s="438">
        <v>10</v>
      </c>
      <c r="W571" s="439" t="s">
        <v>5431</v>
      </c>
      <c r="X571" s="440" t="s">
        <v>5432</v>
      </c>
      <c r="Y571" s="440" t="s">
        <v>5576</v>
      </c>
      <c r="Z571" s="283"/>
      <c r="AA571" s="285"/>
    </row>
    <row r="572" spans="1:27" ht="39.75" customHeight="1">
      <c r="A572" s="1177" t="s">
        <v>5144</v>
      </c>
      <c r="B572" s="1222" t="s">
        <v>1971</v>
      </c>
      <c r="C572" s="1169" t="s">
        <v>1989</v>
      </c>
      <c r="D572" s="1142" t="s">
        <v>341</v>
      </c>
      <c r="E572" s="1221" t="s">
        <v>4973</v>
      </c>
      <c r="F572" s="1291">
        <v>2.74</v>
      </c>
      <c r="G572" s="997" t="s">
        <v>0</v>
      </c>
      <c r="H572" s="997" t="s">
        <v>5104</v>
      </c>
      <c r="I572" s="997"/>
      <c r="J572" s="221" t="s">
        <v>1791</v>
      </c>
      <c r="K572" s="997">
        <v>1</v>
      </c>
      <c r="L572" s="222" t="s">
        <v>5918</v>
      </c>
      <c r="M572" s="194"/>
      <c r="N572" s="1135" t="s">
        <v>5144</v>
      </c>
      <c r="O572" s="1169" t="str">
        <f>C572</f>
        <v>نصب لوله های رابط ترمز عقب</v>
      </c>
      <c r="P572" s="1142" t="str">
        <f>D572</f>
        <v>SX5-3506-3</v>
      </c>
      <c r="Q572" s="225" t="str">
        <f t="shared" si="62"/>
        <v>SX5-3506380</v>
      </c>
      <c r="R572" s="224" t="str">
        <f t="shared" si="73"/>
        <v>لوله رابط ترمز عقب راست</v>
      </c>
      <c r="S572" s="225">
        <f t="shared" si="73"/>
        <v>1</v>
      </c>
      <c r="T572" s="441">
        <v>15</v>
      </c>
      <c r="U572" s="441">
        <v>16</v>
      </c>
      <c r="V572" s="441">
        <v>17</v>
      </c>
      <c r="W572" s="442" t="s">
        <v>5513</v>
      </c>
      <c r="X572" s="441" t="s">
        <v>5581</v>
      </c>
      <c r="Y572" s="441" t="s">
        <v>5582</v>
      </c>
      <c r="Z572" s="226"/>
      <c r="AA572" s="228"/>
    </row>
    <row r="573" spans="1:27" ht="39.75" customHeight="1">
      <c r="A573" s="1178"/>
      <c r="B573" s="1151"/>
      <c r="C573" s="1154" t="s">
        <v>1248</v>
      </c>
      <c r="D573" s="1209"/>
      <c r="E573" s="1126"/>
      <c r="F573" s="1292"/>
      <c r="G573" s="952" t="s">
        <v>1</v>
      </c>
      <c r="H573" s="952" t="s">
        <v>342</v>
      </c>
      <c r="I573" s="952"/>
      <c r="J573" s="230" t="s">
        <v>1790</v>
      </c>
      <c r="K573" s="952">
        <v>1</v>
      </c>
      <c r="L573" s="231" t="s">
        <v>5918</v>
      </c>
      <c r="M573" s="194"/>
      <c r="N573" s="1136"/>
      <c r="O573" s="1116"/>
      <c r="P573" s="1117"/>
      <c r="Q573" s="586" t="str">
        <f t="shared" si="62"/>
        <v>SX5-3506370</v>
      </c>
      <c r="R573" s="585" t="str">
        <f t="shared" si="73"/>
        <v>لوله رابط ترمز عقب چپ</v>
      </c>
      <c r="S573" s="586">
        <f t="shared" si="73"/>
        <v>1</v>
      </c>
      <c r="T573" s="656">
        <v>15</v>
      </c>
      <c r="U573" s="656">
        <v>16</v>
      </c>
      <c r="V573" s="656">
        <v>17</v>
      </c>
      <c r="W573" s="657" t="s">
        <v>5513</v>
      </c>
      <c r="X573" s="656" t="s">
        <v>5581</v>
      </c>
      <c r="Y573" s="656" t="s">
        <v>5582</v>
      </c>
      <c r="Z573" s="589"/>
      <c r="AA573" s="724"/>
    </row>
    <row r="574" spans="1:27" ht="39.75" customHeight="1">
      <c r="A574" s="1178"/>
      <c r="B574" s="1151"/>
      <c r="C574" s="1154" t="s">
        <v>1248</v>
      </c>
      <c r="D574" s="1209"/>
      <c r="E574" s="1126"/>
      <c r="F574" s="1292"/>
      <c r="G574" s="952" t="s">
        <v>7</v>
      </c>
      <c r="H574" s="952" t="s">
        <v>14</v>
      </c>
      <c r="I574" s="952"/>
      <c r="J574" s="230" t="s">
        <v>1988</v>
      </c>
      <c r="K574" s="952">
        <v>3</v>
      </c>
      <c r="L574" s="231" t="s">
        <v>5919</v>
      </c>
      <c r="M574" s="194"/>
      <c r="N574" s="1136"/>
      <c r="O574" s="1116"/>
      <c r="P574" s="1117"/>
      <c r="Q574" s="586" t="str">
        <f t="shared" si="62"/>
        <v>A13-3506711</v>
      </c>
      <c r="R574" s="585" t="str">
        <f t="shared" si="73"/>
        <v xml:space="preserve">بست پلاستیکی لوله ترمز - دو خانه  </v>
      </c>
      <c r="S574" s="586">
        <f t="shared" si="73"/>
        <v>3</v>
      </c>
      <c r="T574" s="589"/>
      <c r="U574" s="589"/>
      <c r="V574" s="589"/>
      <c r="W574" s="589"/>
      <c r="X574" s="590"/>
      <c r="Y574" s="590"/>
      <c r="Z574" s="589"/>
      <c r="AA574" s="724"/>
    </row>
    <row r="575" spans="1:27" ht="39.75" customHeight="1">
      <c r="A575" s="1178"/>
      <c r="B575" s="1151"/>
      <c r="C575" s="1154" t="s">
        <v>1248</v>
      </c>
      <c r="D575" s="1209"/>
      <c r="E575" s="1126"/>
      <c r="F575" s="1292"/>
      <c r="G575" s="952" t="s">
        <v>9</v>
      </c>
      <c r="H575" s="952" t="s">
        <v>343</v>
      </c>
      <c r="I575" s="952"/>
      <c r="J575" s="230" t="s">
        <v>1987</v>
      </c>
      <c r="K575" s="952">
        <v>1</v>
      </c>
      <c r="L575" s="231" t="s">
        <v>5911</v>
      </c>
      <c r="M575" s="194"/>
      <c r="N575" s="1136"/>
      <c r="O575" s="1116"/>
      <c r="P575" s="1117"/>
      <c r="Q575" s="586" t="str">
        <f t="shared" si="62"/>
        <v>35MA-06089</v>
      </c>
      <c r="R575" s="585" t="str">
        <f t="shared" si="73"/>
        <v>بست پلاستیکی دو خانه پیچی</v>
      </c>
      <c r="S575" s="586">
        <f t="shared" si="73"/>
        <v>1</v>
      </c>
      <c r="T575" s="589"/>
      <c r="U575" s="589"/>
      <c r="V575" s="589"/>
      <c r="W575" s="589"/>
      <c r="X575" s="590"/>
      <c r="Y575" s="590"/>
      <c r="Z575" s="589"/>
      <c r="AA575" s="724"/>
    </row>
    <row r="576" spans="1:27" ht="39.75" customHeight="1">
      <c r="A576" s="1178"/>
      <c r="B576" s="1151" t="s">
        <v>1971</v>
      </c>
      <c r="C576" s="1154" t="s">
        <v>1986</v>
      </c>
      <c r="D576" s="1209" t="s">
        <v>617</v>
      </c>
      <c r="E576" s="1126" t="s">
        <v>4973</v>
      </c>
      <c r="F576" s="1151">
        <v>1.84</v>
      </c>
      <c r="G576" s="952" t="s">
        <v>0</v>
      </c>
      <c r="H576" s="952" t="s">
        <v>618</v>
      </c>
      <c r="I576" s="952"/>
      <c r="J576" s="230" t="s">
        <v>1985</v>
      </c>
      <c r="K576" s="952">
        <v>1</v>
      </c>
      <c r="L576" s="231" t="s">
        <v>5915</v>
      </c>
      <c r="M576" s="194"/>
      <c r="N576" s="1136"/>
      <c r="O576" s="1116" t="str">
        <f>C576</f>
        <v>نصب لوله انتهایی ترمز عقب چپ</v>
      </c>
      <c r="P576" s="1117" t="str">
        <f>D576</f>
        <v>SX5-3506-2</v>
      </c>
      <c r="Q576" s="586" t="str">
        <f t="shared" si="62"/>
        <v>SX5H-3506630</v>
      </c>
      <c r="R576" s="585" t="str">
        <f t="shared" si="73"/>
        <v xml:space="preserve"> لوله فولادی ترمز </v>
      </c>
      <c r="S576" s="586">
        <f t="shared" si="73"/>
        <v>1</v>
      </c>
      <c r="T576" s="589"/>
      <c r="U576" s="589"/>
      <c r="V576" s="589"/>
      <c r="W576" s="589"/>
      <c r="X576" s="590"/>
      <c r="Y576" s="590"/>
      <c r="Z576" s="589"/>
      <c r="AA576" s="724"/>
    </row>
    <row r="577" spans="1:34" ht="39.75" customHeight="1">
      <c r="A577" s="1178"/>
      <c r="B577" s="1151"/>
      <c r="C577" s="1154" t="s">
        <v>1248</v>
      </c>
      <c r="D577" s="1209"/>
      <c r="E577" s="1126"/>
      <c r="F577" s="1151"/>
      <c r="G577" s="952" t="s">
        <v>1</v>
      </c>
      <c r="H577" s="952" t="s">
        <v>619</v>
      </c>
      <c r="I577" s="952"/>
      <c r="J577" s="230" t="s">
        <v>1688</v>
      </c>
      <c r="K577" s="952">
        <v>2</v>
      </c>
      <c r="L577" s="231" t="s">
        <v>5919</v>
      </c>
      <c r="M577" s="194"/>
      <c r="N577" s="1136"/>
      <c r="O577" s="1116"/>
      <c r="P577" s="1117"/>
      <c r="Q577" s="586" t="str">
        <f t="shared" si="62"/>
        <v>35MA-06087</v>
      </c>
      <c r="R577" s="585" t="str">
        <f t="shared" si="73"/>
        <v>بست لوله تک خانه</v>
      </c>
      <c r="S577" s="586">
        <f t="shared" si="73"/>
        <v>2</v>
      </c>
      <c r="T577" s="589"/>
      <c r="U577" s="589"/>
      <c r="V577" s="589"/>
      <c r="W577" s="589"/>
      <c r="X577" s="590"/>
      <c r="Y577" s="590"/>
      <c r="Z577" s="589"/>
      <c r="AA577" s="724"/>
    </row>
    <row r="578" spans="1:34" ht="39.75" customHeight="1">
      <c r="A578" s="1178"/>
      <c r="B578" s="1151"/>
      <c r="C578" s="1154" t="s">
        <v>1248</v>
      </c>
      <c r="D578" s="1209"/>
      <c r="E578" s="1126"/>
      <c r="F578" s="1151"/>
      <c r="G578" s="952" t="s">
        <v>2</v>
      </c>
      <c r="H578" s="952" t="s">
        <v>620</v>
      </c>
      <c r="I578" s="234"/>
      <c r="J578" s="230" t="s">
        <v>1984</v>
      </c>
      <c r="K578" s="952">
        <v>1</v>
      </c>
      <c r="L578" s="231" t="s">
        <v>5920</v>
      </c>
      <c r="M578" s="194"/>
      <c r="N578" s="1136"/>
      <c r="O578" s="1116"/>
      <c r="P578" s="1117"/>
      <c r="Q578" s="586" t="str">
        <f t="shared" si="62"/>
        <v>SX5-3506631</v>
      </c>
      <c r="R578" s="585" t="str">
        <f t="shared" si="73"/>
        <v>بست لوله سه خانه</v>
      </c>
      <c r="S578" s="586">
        <f t="shared" si="73"/>
        <v>1</v>
      </c>
      <c r="T578" s="589"/>
      <c r="U578" s="589"/>
      <c r="V578" s="589"/>
      <c r="W578" s="589"/>
      <c r="X578" s="590"/>
      <c r="Y578" s="590"/>
      <c r="Z578" s="589"/>
      <c r="AA578" s="724"/>
    </row>
    <row r="579" spans="1:34" ht="39.75" customHeight="1">
      <c r="A579" s="1178"/>
      <c r="B579" s="1151"/>
      <c r="C579" s="1154" t="s">
        <v>1248</v>
      </c>
      <c r="D579" s="1209"/>
      <c r="E579" s="1126"/>
      <c r="F579" s="1151"/>
      <c r="G579" s="952" t="s">
        <v>7</v>
      </c>
      <c r="H579" s="935" t="s">
        <v>218</v>
      </c>
      <c r="I579" s="234"/>
      <c r="J579" s="230" t="s">
        <v>1983</v>
      </c>
      <c r="K579" s="952">
        <v>2</v>
      </c>
      <c r="L579" s="231" t="s">
        <v>5913</v>
      </c>
      <c r="M579" s="194"/>
      <c r="N579" s="1136"/>
      <c r="O579" s="1116"/>
      <c r="P579" s="1117"/>
      <c r="Q579" s="629" t="str">
        <f t="shared" si="62"/>
        <v>Q1840816F38</v>
      </c>
      <c r="R579" s="585" t="str">
        <f t="shared" si="73"/>
        <v>پیچ نصب استپر به بدنه</v>
      </c>
      <c r="S579" s="586">
        <f t="shared" si="73"/>
        <v>2</v>
      </c>
      <c r="T579" s="656">
        <v>6</v>
      </c>
      <c r="U579" s="656">
        <v>8</v>
      </c>
      <c r="V579" s="656">
        <v>10</v>
      </c>
      <c r="W579" s="659" t="s">
        <v>5431</v>
      </c>
      <c r="X579" s="660" t="s">
        <v>5432</v>
      </c>
      <c r="Y579" s="660" t="s">
        <v>5583</v>
      </c>
      <c r="Z579" s="589"/>
      <c r="AA579" s="724"/>
    </row>
    <row r="580" spans="1:34" ht="39.75" customHeight="1">
      <c r="A580" s="1178"/>
      <c r="B580" s="1151"/>
      <c r="C580" s="1154" t="s">
        <v>1248</v>
      </c>
      <c r="D580" s="1209"/>
      <c r="E580" s="1126"/>
      <c r="F580" s="1151"/>
      <c r="G580" s="952" t="s">
        <v>9</v>
      </c>
      <c r="H580" s="935" t="s">
        <v>126</v>
      </c>
      <c r="I580" s="935"/>
      <c r="J580" s="230" t="s">
        <v>1499</v>
      </c>
      <c r="K580" s="952">
        <v>1</v>
      </c>
      <c r="L580" s="231" t="s">
        <v>5913</v>
      </c>
      <c r="M580" s="194"/>
      <c r="N580" s="1136"/>
      <c r="O580" s="1116"/>
      <c r="P580" s="1117"/>
      <c r="Q580" s="629" t="str">
        <f t="shared" si="62"/>
        <v>Q1460616F38</v>
      </c>
      <c r="R580" s="585" t="str">
        <f t="shared" si="73"/>
        <v>پیچ سر شش گوش واشردار</v>
      </c>
      <c r="S580" s="586">
        <f t="shared" si="73"/>
        <v>1</v>
      </c>
      <c r="T580" s="656">
        <v>15</v>
      </c>
      <c r="U580" s="656">
        <v>16</v>
      </c>
      <c r="V580" s="656">
        <v>17</v>
      </c>
      <c r="W580" s="657" t="s">
        <v>5513</v>
      </c>
      <c r="X580" s="656" t="s">
        <v>5581</v>
      </c>
      <c r="Y580" s="656" t="s">
        <v>5584</v>
      </c>
      <c r="Z580" s="589"/>
      <c r="AA580" s="724"/>
    </row>
    <row r="581" spans="1:34" ht="39.75" customHeight="1">
      <c r="A581" s="1178"/>
      <c r="B581" s="1151"/>
      <c r="C581" s="1154" t="s">
        <v>1248</v>
      </c>
      <c r="D581" s="1209"/>
      <c r="E581" s="1126"/>
      <c r="F581" s="1151"/>
      <c r="G581" s="952" t="s">
        <v>10</v>
      </c>
      <c r="H581" s="952" t="s">
        <v>621</v>
      </c>
      <c r="I581" s="952"/>
      <c r="J581" s="230" t="s">
        <v>1982</v>
      </c>
      <c r="K581" s="952">
        <v>3</v>
      </c>
      <c r="L581" s="231" t="s">
        <v>5913</v>
      </c>
      <c r="M581" s="194"/>
      <c r="N581" s="1136"/>
      <c r="O581" s="1116"/>
      <c r="P581" s="1117"/>
      <c r="Q581" s="586" t="str">
        <f t="shared" si="62"/>
        <v>35MA-06081</v>
      </c>
      <c r="R581" s="585" t="str">
        <f t="shared" si="73"/>
        <v>بست پلاستیکی تک خانه</v>
      </c>
      <c r="S581" s="586">
        <f t="shared" si="73"/>
        <v>3</v>
      </c>
      <c r="T581" s="589"/>
      <c r="U581" s="589"/>
      <c r="V581" s="589"/>
      <c r="W581" s="589"/>
      <c r="X581" s="590"/>
      <c r="Y581" s="590"/>
      <c r="Z581" s="589"/>
      <c r="AA581" s="724"/>
    </row>
    <row r="582" spans="1:34" ht="39.75" customHeight="1">
      <c r="A582" s="1178"/>
      <c r="B582" s="935" t="s">
        <v>1971</v>
      </c>
      <c r="C582" s="929" t="s">
        <v>1981</v>
      </c>
      <c r="D582" s="931" t="s">
        <v>1980</v>
      </c>
      <c r="E582" s="939" t="s">
        <v>4973</v>
      </c>
      <c r="F582" s="952">
        <v>0.69852833333333297</v>
      </c>
      <c r="G582" s="952" t="s">
        <v>697</v>
      </c>
      <c r="H582" s="952" t="s">
        <v>5207</v>
      </c>
      <c r="I582" s="952"/>
      <c r="J582" s="230" t="s">
        <v>1979</v>
      </c>
      <c r="K582" s="952">
        <v>1</v>
      </c>
      <c r="L582" s="231" t="s">
        <v>5911</v>
      </c>
      <c r="M582" s="194"/>
      <c r="N582" s="1136"/>
      <c r="O582" s="914" t="str">
        <f>C582</f>
        <v xml:space="preserve">  نصب دسته سیم زیر شاسی</v>
      </c>
      <c r="P582" s="915" t="str">
        <f>D582</f>
        <v>SX5K-4010-1</v>
      </c>
      <c r="Q582" s="586" t="str">
        <f t="shared" ref="Q582:Q633" si="74">H582</f>
        <v>SX5F-4010030S</v>
      </c>
      <c r="R582" s="585" t="str">
        <f t="shared" si="73"/>
        <v>دسته سیم زیر شاسی</v>
      </c>
      <c r="S582" s="586">
        <f t="shared" si="73"/>
        <v>1</v>
      </c>
      <c r="T582" s="589"/>
      <c r="U582" s="589"/>
      <c r="V582" s="589"/>
      <c r="W582" s="589"/>
      <c r="X582" s="590"/>
      <c r="Y582" s="590"/>
      <c r="Z582" s="589"/>
      <c r="AA582" s="724"/>
    </row>
    <row r="583" spans="1:34" ht="39.75" customHeight="1">
      <c r="A583" s="1178"/>
      <c r="B583" s="1160" t="s">
        <v>1971</v>
      </c>
      <c r="C583" s="1152" t="s">
        <v>1978</v>
      </c>
      <c r="D583" s="1120" t="s">
        <v>1977</v>
      </c>
      <c r="E583" s="1331" t="s">
        <v>4973</v>
      </c>
      <c r="F583" s="1377">
        <v>0.96499999999999997</v>
      </c>
      <c r="G583" s="233" t="s">
        <v>0</v>
      </c>
      <c r="H583" s="234" t="s">
        <v>1976</v>
      </c>
      <c r="I583" s="234"/>
      <c r="J583" s="230" t="s">
        <v>1973</v>
      </c>
      <c r="K583" s="385">
        <v>1</v>
      </c>
      <c r="L583" s="231" t="s">
        <v>5919</v>
      </c>
      <c r="M583" s="194"/>
      <c r="N583" s="1136"/>
      <c r="O583" s="1152" t="str">
        <f>C583</f>
        <v xml:space="preserve">مونتاژ بست های لوله های سوخت و ترمز زیر بدنه  </v>
      </c>
      <c r="P583" s="1120" t="str">
        <f>D583</f>
        <v>SX5-1104-7</v>
      </c>
      <c r="Q583" s="593" t="str">
        <f t="shared" si="74"/>
        <v>SX5H-1104602</v>
      </c>
      <c r="R583" s="605" t="str">
        <f t="shared" si="73"/>
        <v>بست لوله پنج خانه</v>
      </c>
      <c r="S583" s="646">
        <f t="shared" si="73"/>
        <v>1</v>
      </c>
      <c r="T583" s="589"/>
      <c r="U583" s="589"/>
      <c r="V583" s="589"/>
      <c r="W583" s="589"/>
      <c r="X583" s="590"/>
      <c r="Y583" s="590"/>
      <c r="Z583" s="589"/>
      <c r="AA583" s="724"/>
    </row>
    <row r="584" spans="1:34" ht="39.75" customHeight="1">
      <c r="A584" s="1178"/>
      <c r="B584" s="1161"/>
      <c r="C584" s="1153" t="s">
        <v>1248</v>
      </c>
      <c r="D584" s="1121"/>
      <c r="E584" s="1323"/>
      <c r="F584" s="1378"/>
      <c r="G584" s="233" t="s">
        <v>1</v>
      </c>
      <c r="H584" s="234" t="s">
        <v>1975</v>
      </c>
      <c r="I584" s="234" t="s">
        <v>1974</v>
      </c>
      <c r="J584" s="230" t="s">
        <v>1973</v>
      </c>
      <c r="K584" s="385">
        <v>4</v>
      </c>
      <c r="L584" s="231" t="s">
        <v>5921</v>
      </c>
      <c r="M584" s="194"/>
      <c r="N584" s="1136"/>
      <c r="O584" s="1153"/>
      <c r="P584" s="1121"/>
      <c r="Q584" s="593" t="str">
        <f t="shared" si="74"/>
        <v>SX5H-1104601</v>
      </c>
      <c r="R584" s="605" t="str">
        <f t="shared" si="73"/>
        <v>بست لوله پنج خانه</v>
      </c>
      <c r="S584" s="646">
        <f t="shared" si="73"/>
        <v>4</v>
      </c>
      <c r="T584" s="589"/>
      <c r="U584" s="589"/>
      <c r="V584" s="589"/>
      <c r="W584" s="589"/>
      <c r="X584" s="590"/>
      <c r="Y584" s="590"/>
      <c r="Z584" s="589"/>
      <c r="AA584" s="724"/>
    </row>
    <row r="585" spans="1:34" ht="39.75" customHeight="1">
      <c r="A585" s="1178"/>
      <c r="B585" s="1160" t="s">
        <v>1971</v>
      </c>
      <c r="C585" s="1154" t="s">
        <v>1970</v>
      </c>
      <c r="D585" s="1209" t="s">
        <v>5799</v>
      </c>
      <c r="E585" s="1126" t="s">
        <v>4973</v>
      </c>
      <c r="F585" s="1151">
        <v>1.84</v>
      </c>
      <c r="G585" s="952" t="s">
        <v>0</v>
      </c>
      <c r="H585" s="952" t="s">
        <v>307</v>
      </c>
      <c r="I585" s="952" t="s">
        <v>5213</v>
      </c>
      <c r="J585" s="230" t="s">
        <v>1969</v>
      </c>
      <c r="K585" s="952">
        <v>1</v>
      </c>
      <c r="L585" s="231" t="s">
        <v>5922</v>
      </c>
      <c r="M585" s="194"/>
      <c r="N585" s="1136"/>
      <c r="O585" s="1116" t="str">
        <f>C585</f>
        <v xml:space="preserve">  مونتاژ کنیستر</v>
      </c>
      <c r="P585" s="1117" t="str">
        <f>D585</f>
        <v>SX5K-1130-2</v>
      </c>
      <c r="Q585" s="586" t="str">
        <f t="shared" si="74"/>
        <v>SX5H-1130010A</v>
      </c>
      <c r="R585" s="585" t="str">
        <f t="shared" si="73"/>
        <v>مجموعه کنیستر</v>
      </c>
      <c r="S585" s="586">
        <f t="shared" si="73"/>
        <v>1</v>
      </c>
      <c r="T585" s="589"/>
      <c r="U585" s="589"/>
      <c r="V585" s="589"/>
      <c r="W585" s="589"/>
      <c r="X585" s="590"/>
      <c r="Y585" s="590"/>
      <c r="Z585" s="589"/>
      <c r="AA585" s="724"/>
    </row>
    <row r="586" spans="1:34" ht="39.75" customHeight="1" thickBot="1">
      <c r="A586" s="1179"/>
      <c r="B586" s="1242"/>
      <c r="C586" s="1186" t="s">
        <v>1248</v>
      </c>
      <c r="D586" s="1159"/>
      <c r="E586" s="1214"/>
      <c r="F586" s="1232"/>
      <c r="G586" s="953" t="s">
        <v>1</v>
      </c>
      <c r="H586" s="934" t="s">
        <v>6007</v>
      </c>
      <c r="I586" s="934" t="s">
        <v>5800</v>
      </c>
      <c r="J586" s="272" t="s">
        <v>1587</v>
      </c>
      <c r="K586" s="953">
        <v>3</v>
      </c>
      <c r="L586" s="250" t="s">
        <v>5919</v>
      </c>
      <c r="M586" s="194"/>
      <c r="N586" s="1137"/>
      <c r="O586" s="1186"/>
      <c r="P586" s="1159"/>
      <c r="Q586" s="716" t="str">
        <f t="shared" si="74"/>
        <v>Q140B0620F38L</v>
      </c>
      <c r="R586" s="274" t="str">
        <f t="shared" si="73"/>
        <v xml:space="preserve">پیچ فلنجی سر شش گوش </v>
      </c>
      <c r="S586" s="251">
        <f t="shared" si="73"/>
        <v>3</v>
      </c>
      <c r="T586" s="438">
        <v>6</v>
      </c>
      <c r="U586" s="438">
        <v>8</v>
      </c>
      <c r="V586" s="438">
        <v>10</v>
      </c>
      <c r="W586" s="439" t="s">
        <v>5431</v>
      </c>
      <c r="X586" s="440" t="s">
        <v>5432</v>
      </c>
      <c r="Y586" s="440" t="s">
        <v>5583</v>
      </c>
      <c r="Z586" s="283"/>
      <c r="AA586" s="285"/>
    </row>
    <row r="587" spans="1:34" s="195" customFormat="1" ht="39.75" customHeight="1">
      <c r="A587" s="1166" t="s">
        <v>1968</v>
      </c>
      <c r="B587" s="946" t="s">
        <v>1953</v>
      </c>
      <c r="C587" s="943" t="s">
        <v>1967</v>
      </c>
      <c r="D587" s="944" t="s">
        <v>1966</v>
      </c>
      <c r="E587" s="945" t="s">
        <v>4973</v>
      </c>
      <c r="F587" s="946">
        <v>0.98</v>
      </c>
      <c r="G587" s="997" t="s">
        <v>0</v>
      </c>
      <c r="H587" s="997" t="s">
        <v>1965</v>
      </c>
      <c r="I587" s="997" t="s">
        <v>1978</v>
      </c>
      <c r="J587" s="221" t="s">
        <v>1964</v>
      </c>
      <c r="K587" s="997">
        <v>1</v>
      </c>
      <c r="L587" s="222" t="s">
        <v>5914</v>
      </c>
      <c r="M587" s="194"/>
      <c r="N587" s="1166" t="str">
        <f t="shared" ref="N587:N621" si="75">A587</f>
        <v>P46</v>
      </c>
      <c r="O587" s="943" t="str">
        <f>C587</f>
        <v xml:space="preserve">  نصب لوله کنیستر</v>
      </c>
      <c r="P587" s="944" t="str">
        <f>D587</f>
        <v>SX5K-1130-3</v>
      </c>
      <c r="Q587" s="225" t="str">
        <f t="shared" si="74"/>
        <v>SX5H-1130015</v>
      </c>
      <c r="R587" s="224" t="str">
        <f t="shared" si="73"/>
        <v>لوله کنیستر</v>
      </c>
      <c r="S587" s="225">
        <f t="shared" si="73"/>
        <v>1</v>
      </c>
      <c r="T587" s="226"/>
      <c r="U587" s="226"/>
      <c r="V587" s="226"/>
      <c r="W587" s="226"/>
      <c r="X587" s="227"/>
      <c r="Y587" s="227"/>
      <c r="Z587" s="226"/>
      <c r="AA587" s="228"/>
      <c r="AB587" s="194"/>
      <c r="AC587" s="194"/>
      <c r="AD587" s="194"/>
      <c r="AE587" s="194"/>
      <c r="AF587" s="194"/>
      <c r="AG587" s="194"/>
      <c r="AH587" s="194"/>
    </row>
    <row r="588" spans="1:34" ht="39.75" customHeight="1">
      <c r="A588" s="1167"/>
      <c r="B588" s="1151" t="s">
        <v>1953</v>
      </c>
      <c r="C588" s="1154" t="s">
        <v>1963</v>
      </c>
      <c r="D588" s="1209" t="s">
        <v>5044</v>
      </c>
      <c r="E588" s="1126" t="s">
        <v>4973</v>
      </c>
      <c r="F588" s="1151">
        <v>3.87</v>
      </c>
      <c r="G588" s="952" t="s">
        <v>0</v>
      </c>
      <c r="H588" s="952" t="s">
        <v>5204</v>
      </c>
      <c r="I588" s="952" t="s">
        <v>1977</v>
      </c>
      <c r="J588" s="230" t="s">
        <v>1962</v>
      </c>
      <c r="K588" s="952">
        <v>1</v>
      </c>
      <c r="L588" s="231" t="s">
        <v>5922</v>
      </c>
      <c r="M588" s="194"/>
      <c r="N588" s="1167"/>
      <c r="O588" s="1116" t="str">
        <f>C588</f>
        <v xml:space="preserve">   نصب مخزن سوخت</v>
      </c>
      <c r="P588" s="1117" t="str">
        <f>D588</f>
        <v>SX7E-1101-1</v>
      </c>
      <c r="Q588" s="586" t="str">
        <f t="shared" si="74"/>
        <v>SX5EX01-1101-0001A</v>
      </c>
      <c r="R588" s="585" t="str">
        <f t="shared" si="73"/>
        <v>مخزن سوخت</v>
      </c>
      <c r="S588" s="586">
        <f t="shared" si="73"/>
        <v>1</v>
      </c>
      <c r="T588" s="589"/>
      <c r="U588" s="589"/>
      <c r="V588" s="589"/>
      <c r="W588" s="589"/>
      <c r="X588" s="590"/>
      <c r="Y588" s="590"/>
      <c r="Z588" s="589"/>
      <c r="AA588" s="724"/>
    </row>
    <row r="589" spans="1:34" ht="39.75" customHeight="1">
      <c r="A589" s="1167"/>
      <c r="B589" s="1151"/>
      <c r="C589" s="1154" t="s">
        <v>1248</v>
      </c>
      <c r="D589" s="1209"/>
      <c r="E589" s="1126"/>
      <c r="F589" s="1151"/>
      <c r="G589" s="952" t="s">
        <v>717</v>
      </c>
      <c r="H589" s="952" t="s">
        <v>1961</v>
      </c>
      <c r="I589" s="952"/>
      <c r="J589" s="230" t="s">
        <v>1587</v>
      </c>
      <c r="K589" s="952">
        <v>4</v>
      </c>
      <c r="L589" s="231" t="s">
        <v>5920</v>
      </c>
      <c r="M589" s="194"/>
      <c r="N589" s="1167"/>
      <c r="O589" s="1116"/>
      <c r="P589" s="1117"/>
      <c r="Q589" s="586" t="str">
        <f t="shared" si="74"/>
        <v>Q1800825F38</v>
      </c>
      <c r="R589" s="585" t="str">
        <f t="shared" si="73"/>
        <v xml:space="preserve">پیچ فلنجی سر شش گوش </v>
      </c>
      <c r="S589" s="598">
        <f t="shared" si="73"/>
        <v>4</v>
      </c>
      <c r="T589" s="656">
        <v>22</v>
      </c>
      <c r="U589" s="656">
        <v>24</v>
      </c>
      <c r="V589" s="656">
        <v>26</v>
      </c>
      <c r="W589" s="657" t="s">
        <v>5445</v>
      </c>
      <c r="X589" s="656" t="s">
        <v>5435</v>
      </c>
      <c r="Y589" s="656" t="s">
        <v>5585</v>
      </c>
      <c r="Z589" s="656"/>
      <c r="AA589" s="727"/>
    </row>
    <row r="590" spans="1:34" ht="39.75" customHeight="1">
      <c r="A590" s="1167"/>
      <c r="B590" s="1151" t="s">
        <v>1953</v>
      </c>
      <c r="C590" s="1154" t="s">
        <v>1960</v>
      </c>
      <c r="D590" s="1209" t="s">
        <v>188</v>
      </c>
      <c r="E590" s="1126" t="s">
        <v>4973</v>
      </c>
      <c r="F590" s="1151">
        <v>2.54</v>
      </c>
      <c r="G590" s="952" t="s">
        <v>0</v>
      </c>
      <c r="H590" s="952" t="s">
        <v>5790</v>
      </c>
      <c r="I590" s="952" t="s">
        <v>1379</v>
      </c>
      <c r="J590" s="230" t="s">
        <v>1959</v>
      </c>
      <c r="K590" s="952">
        <v>1</v>
      </c>
      <c r="L590" s="231" t="s">
        <v>5915</v>
      </c>
      <c r="M590" s="194"/>
      <c r="N590" s="1167"/>
      <c r="O590" s="1116" t="str">
        <f>C590</f>
        <v>نصب لوله گلویی باک</v>
      </c>
      <c r="P590" s="1117" t="str">
        <f>D590</f>
        <v>SX5K-1104-1</v>
      </c>
      <c r="Q590" s="586" t="str">
        <f t="shared" si="74"/>
        <v>SX5H-1104010A</v>
      </c>
      <c r="R590" s="585" t="str">
        <f t="shared" si="73"/>
        <v xml:space="preserve"> لوله گلویی باک</v>
      </c>
      <c r="S590" s="586">
        <f t="shared" si="73"/>
        <v>1</v>
      </c>
      <c r="T590" s="589"/>
      <c r="U590" s="589"/>
      <c r="V590" s="589"/>
      <c r="W590" s="589"/>
      <c r="X590" s="590"/>
      <c r="Y590" s="590"/>
      <c r="Z590" s="589"/>
      <c r="AA590" s="724"/>
    </row>
    <row r="591" spans="1:34" ht="39.75" customHeight="1">
      <c r="A591" s="1167"/>
      <c r="B591" s="1151"/>
      <c r="C591" s="1154" t="s">
        <v>1248</v>
      </c>
      <c r="D591" s="1209"/>
      <c r="E591" s="1126"/>
      <c r="F591" s="1151"/>
      <c r="G591" s="952" t="s">
        <v>1</v>
      </c>
      <c r="H591" s="952" t="s">
        <v>1794</v>
      </c>
      <c r="I591" s="952"/>
      <c r="J591" s="230" t="s">
        <v>1498</v>
      </c>
      <c r="K591" s="952">
        <v>1</v>
      </c>
      <c r="L591" s="231" t="s">
        <v>5913</v>
      </c>
      <c r="M591" s="194"/>
      <c r="N591" s="1167"/>
      <c r="O591" s="1116"/>
      <c r="P591" s="1117"/>
      <c r="Q591" s="586" t="str">
        <f t="shared" si="74"/>
        <v>Q32206F38L</v>
      </c>
      <c r="R591" s="585" t="str">
        <f t="shared" si="73"/>
        <v xml:space="preserve">مهره فلنجی سر شش گوش </v>
      </c>
      <c r="S591" s="586">
        <f t="shared" si="73"/>
        <v>1</v>
      </c>
      <c r="T591" s="656">
        <v>7</v>
      </c>
      <c r="U591" s="656">
        <v>8</v>
      </c>
      <c r="V591" s="656">
        <v>9</v>
      </c>
      <c r="W591" s="657" t="s">
        <v>5431</v>
      </c>
      <c r="X591" s="656" t="s">
        <v>5432</v>
      </c>
      <c r="Y591" s="660" t="s">
        <v>5583</v>
      </c>
      <c r="Z591" s="656"/>
      <c r="AA591" s="732"/>
    </row>
    <row r="592" spans="1:34" ht="39.75" customHeight="1">
      <c r="A592" s="1167"/>
      <c r="B592" s="1151"/>
      <c r="C592" s="1154" t="s">
        <v>1248</v>
      </c>
      <c r="D592" s="1209"/>
      <c r="E592" s="1126"/>
      <c r="F592" s="1151"/>
      <c r="G592" s="952" t="s">
        <v>2</v>
      </c>
      <c r="H592" s="277" t="s">
        <v>27</v>
      </c>
      <c r="I592" s="277"/>
      <c r="J592" s="230" t="s">
        <v>1499</v>
      </c>
      <c r="K592" s="952">
        <v>3</v>
      </c>
      <c r="L592" s="231" t="s">
        <v>5923</v>
      </c>
      <c r="M592" s="194"/>
      <c r="N592" s="1167"/>
      <c r="O592" s="1116"/>
      <c r="P592" s="1117"/>
      <c r="Q592" s="608" t="str">
        <f t="shared" si="74"/>
        <v>Q1460620F38</v>
      </c>
      <c r="R592" s="585" t="str">
        <f t="shared" si="73"/>
        <v>پیچ سر شش گوش واشردار</v>
      </c>
      <c r="S592" s="586">
        <f t="shared" si="73"/>
        <v>3</v>
      </c>
      <c r="T592" s="656">
        <v>7</v>
      </c>
      <c r="U592" s="656">
        <v>8</v>
      </c>
      <c r="V592" s="656">
        <v>9</v>
      </c>
      <c r="W592" s="657" t="s">
        <v>5431</v>
      </c>
      <c r="X592" s="656" t="s">
        <v>5432</v>
      </c>
      <c r="Y592" s="660" t="s">
        <v>5583</v>
      </c>
      <c r="Z592" s="656"/>
      <c r="AA592" s="728"/>
    </row>
    <row r="593" spans="1:27" ht="39.75" customHeight="1">
      <c r="A593" s="1167"/>
      <c r="B593" s="1151"/>
      <c r="C593" s="1154" t="s">
        <v>1248</v>
      </c>
      <c r="D593" s="1209"/>
      <c r="E593" s="1126"/>
      <c r="F593" s="1151"/>
      <c r="G593" s="952" t="s">
        <v>7</v>
      </c>
      <c r="H593" s="277" t="s">
        <v>1958</v>
      </c>
      <c r="I593" s="277"/>
      <c r="J593" s="230" t="s">
        <v>1957</v>
      </c>
      <c r="K593" s="952">
        <v>1</v>
      </c>
      <c r="L593" s="231" t="s">
        <v>5920</v>
      </c>
      <c r="M593" s="194"/>
      <c r="N593" s="1167"/>
      <c r="O593" s="1116"/>
      <c r="P593" s="1117"/>
      <c r="Q593" s="608" t="str">
        <f t="shared" si="74"/>
        <v>Q67545F36</v>
      </c>
      <c r="R593" s="585" t="str">
        <f t="shared" si="73"/>
        <v>بست شلنگ نوع B</v>
      </c>
      <c r="S593" s="586">
        <f t="shared" si="73"/>
        <v>1</v>
      </c>
      <c r="T593" s="656">
        <v>3.4</v>
      </c>
      <c r="U593" s="656">
        <v>3.5</v>
      </c>
      <c r="V593" s="656">
        <v>3.6</v>
      </c>
      <c r="W593" s="657" t="s">
        <v>5586</v>
      </c>
      <c r="X593" s="656" t="s">
        <v>5451</v>
      </c>
      <c r="Y593" s="656" t="s">
        <v>5587</v>
      </c>
      <c r="Z593" s="589"/>
      <c r="AA593" s="724"/>
    </row>
    <row r="594" spans="1:27" ht="39.75" customHeight="1">
      <c r="A594" s="1167"/>
      <c r="B594" s="1151" t="s">
        <v>1953</v>
      </c>
      <c r="C594" s="1154" t="s">
        <v>1956</v>
      </c>
      <c r="D594" s="1209" t="s">
        <v>334</v>
      </c>
      <c r="E594" s="1126"/>
      <c r="F594" s="1151">
        <v>1.1200000000000001</v>
      </c>
      <c r="G594" s="952" t="s">
        <v>0</v>
      </c>
      <c r="H594" s="952" t="s">
        <v>335</v>
      </c>
      <c r="I594" s="952"/>
      <c r="J594" s="230" t="s">
        <v>1955</v>
      </c>
      <c r="K594" s="952">
        <v>1</v>
      </c>
      <c r="L594" s="231" t="s">
        <v>5924</v>
      </c>
      <c r="M594" s="194"/>
      <c r="N594" s="1167"/>
      <c r="O594" s="1116" t="str">
        <f>C594</f>
        <v>نصب گلپخشکن های عقب</v>
      </c>
      <c r="P594" s="1117" t="str">
        <f>D594</f>
        <v>SX5-5512-3</v>
      </c>
      <c r="Q594" s="586" t="str">
        <f t="shared" si="74"/>
        <v>SX5F-5512821</v>
      </c>
      <c r="R594" s="585" t="str">
        <f t="shared" si="73"/>
        <v>گلپخشکن عقب چپ</v>
      </c>
      <c r="S594" s="586">
        <f t="shared" si="73"/>
        <v>1</v>
      </c>
      <c r="T594" s="589"/>
      <c r="U594" s="589"/>
      <c r="V594" s="589"/>
      <c r="W594" s="589"/>
      <c r="X594" s="590"/>
      <c r="Y594" s="590"/>
      <c r="Z594" s="589"/>
      <c r="AA594" s="724"/>
    </row>
    <row r="595" spans="1:27" ht="39.75" customHeight="1">
      <c r="A595" s="1167"/>
      <c r="B595" s="1151"/>
      <c r="C595" s="1154" t="s">
        <v>1248</v>
      </c>
      <c r="D595" s="1209"/>
      <c r="E595" s="1126"/>
      <c r="F595" s="1151"/>
      <c r="G595" s="952" t="s">
        <v>0</v>
      </c>
      <c r="H595" s="952" t="s">
        <v>336</v>
      </c>
      <c r="I595" s="952"/>
      <c r="J595" s="230" t="s">
        <v>1954</v>
      </c>
      <c r="K595" s="952">
        <v>1</v>
      </c>
      <c r="L595" s="231" t="s">
        <v>5924</v>
      </c>
      <c r="M595" s="194"/>
      <c r="N595" s="1167"/>
      <c r="O595" s="1116"/>
      <c r="P595" s="1117"/>
      <c r="Q595" s="586" t="str">
        <f t="shared" si="74"/>
        <v>SX5F-5512822</v>
      </c>
      <c r="R595" s="585" t="str">
        <f t="shared" si="73"/>
        <v>گلپخشکن عقب راست</v>
      </c>
      <c r="S595" s="586">
        <f t="shared" si="73"/>
        <v>1</v>
      </c>
      <c r="T595" s="589"/>
      <c r="U595" s="589"/>
      <c r="V595" s="589"/>
      <c r="W595" s="589"/>
      <c r="X595" s="590"/>
      <c r="Y595" s="590"/>
      <c r="Z595" s="589"/>
      <c r="AA595" s="724"/>
    </row>
    <row r="596" spans="1:27" ht="39.75" customHeight="1">
      <c r="A596" s="1167"/>
      <c r="B596" s="1151"/>
      <c r="C596" s="1154" t="s">
        <v>1248</v>
      </c>
      <c r="D596" s="1209"/>
      <c r="E596" s="1126"/>
      <c r="F596" s="1151"/>
      <c r="G596" s="952" t="s">
        <v>1</v>
      </c>
      <c r="H596" s="952" t="s">
        <v>73</v>
      </c>
      <c r="I596" s="952"/>
      <c r="J596" s="230" t="s">
        <v>1251</v>
      </c>
      <c r="K596" s="952">
        <v>2</v>
      </c>
      <c r="L596" s="231" t="s">
        <v>5916</v>
      </c>
      <c r="M596" s="194"/>
      <c r="N596" s="1167"/>
      <c r="O596" s="1116"/>
      <c r="P596" s="1117"/>
      <c r="Q596" s="586" t="str">
        <f t="shared" si="74"/>
        <v>BL346</v>
      </c>
      <c r="R596" s="585" t="str">
        <f t="shared" si="73"/>
        <v>بست فشاری</v>
      </c>
      <c r="S596" s="586">
        <f t="shared" si="73"/>
        <v>2</v>
      </c>
      <c r="T596" s="589"/>
      <c r="U596" s="589"/>
      <c r="V596" s="589"/>
      <c r="W596" s="589"/>
      <c r="X596" s="590"/>
      <c r="Y596" s="590"/>
      <c r="Z596" s="589"/>
      <c r="AA596" s="724"/>
    </row>
    <row r="597" spans="1:27" ht="39.75" customHeight="1">
      <c r="A597" s="1167"/>
      <c r="B597" s="1151"/>
      <c r="C597" s="1154" t="s">
        <v>1248</v>
      </c>
      <c r="D597" s="1209"/>
      <c r="E597" s="1126"/>
      <c r="F597" s="1151"/>
      <c r="G597" s="952" t="s">
        <v>2</v>
      </c>
      <c r="H597" s="952" t="s">
        <v>198</v>
      </c>
      <c r="I597" s="952" t="s">
        <v>5273</v>
      </c>
      <c r="J597" s="230" t="s">
        <v>1253</v>
      </c>
      <c r="K597" s="952">
        <v>4</v>
      </c>
      <c r="L597" s="231" t="s">
        <v>5914</v>
      </c>
      <c r="M597" s="194"/>
      <c r="N597" s="1167"/>
      <c r="O597" s="1116"/>
      <c r="P597" s="1117"/>
      <c r="Q597" s="586" t="str">
        <f t="shared" si="74"/>
        <v>LQ2734816F38A1</v>
      </c>
      <c r="R597" s="585" t="str">
        <f t="shared" si="73"/>
        <v>پیچ چهار سو</v>
      </c>
      <c r="S597" s="586">
        <f t="shared" si="73"/>
        <v>4</v>
      </c>
      <c r="T597" s="661">
        <v>3</v>
      </c>
      <c r="U597" s="661">
        <v>4</v>
      </c>
      <c r="V597" s="661">
        <v>5</v>
      </c>
      <c r="W597" s="659" t="s">
        <v>5461</v>
      </c>
      <c r="X597" s="660" t="s">
        <v>5451</v>
      </c>
      <c r="Y597" s="660" t="s">
        <v>5588</v>
      </c>
      <c r="Z597" s="589"/>
      <c r="AA597" s="724"/>
    </row>
    <row r="598" spans="1:27" ht="39.75" customHeight="1">
      <c r="A598" s="1167"/>
      <c r="B598" s="1151" t="s">
        <v>1953</v>
      </c>
      <c r="C598" s="1154" t="s">
        <v>1952</v>
      </c>
      <c r="D598" s="1209" t="s">
        <v>6117</v>
      </c>
      <c r="E598" s="1126"/>
      <c r="F598" s="1220"/>
      <c r="G598" s="952" t="s">
        <v>0</v>
      </c>
      <c r="H598" s="952" t="s">
        <v>1393</v>
      </c>
      <c r="I598" s="952"/>
      <c r="J598" s="230"/>
      <c r="K598" s="952"/>
      <c r="L598" s="236"/>
      <c r="M598" s="194"/>
      <c r="N598" s="1167"/>
      <c r="O598" s="1116" t="s">
        <v>1997</v>
      </c>
      <c r="P598" s="1117" t="s">
        <v>314</v>
      </c>
      <c r="Q598" s="662" t="s">
        <v>1393</v>
      </c>
      <c r="R598" s="586" t="s">
        <v>1393</v>
      </c>
      <c r="S598" s="586"/>
      <c r="T598" s="586"/>
      <c r="U598" s="586"/>
      <c r="V598" s="585"/>
      <c r="W598" s="586"/>
      <c r="X598" s="663"/>
      <c r="Y598" s="660"/>
      <c r="Z598" s="589"/>
      <c r="AA598" s="724"/>
    </row>
    <row r="599" spans="1:27" ht="39.75" customHeight="1" thickBot="1">
      <c r="A599" s="1168"/>
      <c r="B599" s="1232"/>
      <c r="C599" s="1186"/>
      <c r="D599" s="1159"/>
      <c r="E599" s="1214"/>
      <c r="F599" s="1239"/>
      <c r="G599" s="953" t="s">
        <v>1</v>
      </c>
      <c r="H599" s="953" t="s">
        <v>1393</v>
      </c>
      <c r="I599" s="953"/>
      <c r="J599" s="272" t="s">
        <v>1951</v>
      </c>
      <c r="K599" s="953">
        <v>2</v>
      </c>
      <c r="L599" s="263"/>
      <c r="M599" s="194"/>
      <c r="N599" s="1168"/>
      <c r="O599" s="1186"/>
      <c r="P599" s="1159"/>
      <c r="Q599" s="443" t="s">
        <v>316</v>
      </c>
      <c r="R599" s="251" t="s">
        <v>1951</v>
      </c>
      <c r="S599" s="251">
        <v>2</v>
      </c>
      <c r="T599" s="438">
        <v>23</v>
      </c>
      <c r="U599" s="438">
        <v>25</v>
      </c>
      <c r="V599" s="438">
        <v>27</v>
      </c>
      <c r="W599" s="251" t="s">
        <v>5589</v>
      </c>
      <c r="X599" s="715" t="s">
        <v>5590</v>
      </c>
      <c r="Y599" s="440" t="s">
        <v>5591</v>
      </c>
      <c r="Z599" s="283"/>
      <c r="AA599" s="285"/>
    </row>
    <row r="600" spans="1:27" ht="39.75" customHeight="1">
      <c r="A600" s="1176" t="s">
        <v>1950</v>
      </c>
      <c r="B600" s="1161" t="s">
        <v>1934</v>
      </c>
      <c r="C600" s="1153" t="s">
        <v>1949</v>
      </c>
      <c r="D600" s="1121" t="s">
        <v>1948</v>
      </c>
      <c r="E600" s="1123"/>
      <c r="F600" s="1161">
        <v>2.35</v>
      </c>
      <c r="G600" s="977" t="s">
        <v>1</v>
      </c>
      <c r="H600" s="773" t="s">
        <v>5297</v>
      </c>
      <c r="I600" s="977"/>
      <c r="J600" s="298" t="s">
        <v>1396</v>
      </c>
      <c r="K600" s="977">
        <v>6</v>
      </c>
      <c r="L600" s="231" t="s">
        <v>5927</v>
      </c>
      <c r="M600" s="194"/>
      <c r="N600" s="1167" t="str">
        <f>A600</f>
        <v>P47</v>
      </c>
      <c r="O600" s="1116" t="str">
        <f>C600</f>
        <v>پیش مونتاژ ابرویی گلگیرهای عقب</v>
      </c>
      <c r="P600" s="1117" t="str">
        <f>D600</f>
        <v>SX5-5512-4-A</v>
      </c>
      <c r="Q600" s="586" t="s">
        <v>1393</v>
      </c>
      <c r="R600" s="585" t="str">
        <f t="shared" si="73"/>
        <v>مهره فشاری (خار)</v>
      </c>
      <c r="S600" s="586">
        <f t="shared" si="73"/>
        <v>6</v>
      </c>
      <c r="T600" s="589"/>
      <c r="U600" s="589"/>
      <c r="V600" s="589"/>
      <c r="W600" s="589"/>
      <c r="X600" s="590"/>
      <c r="Y600" s="590"/>
      <c r="Z600" s="589"/>
      <c r="AA600" s="724"/>
    </row>
    <row r="601" spans="1:27" ht="39.75" customHeight="1">
      <c r="A601" s="1176"/>
      <c r="B601" s="1151"/>
      <c r="C601" s="1154" t="s">
        <v>1248</v>
      </c>
      <c r="D601" s="1209"/>
      <c r="E601" s="1126"/>
      <c r="F601" s="1151"/>
      <c r="G601" s="952" t="s">
        <v>2</v>
      </c>
      <c r="H601" s="773" t="s">
        <v>5770</v>
      </c>
      <c r="I601" s="773" t="s">
        <v>5298</v>
      </c>
      <c r="J601" s="230" t="s">
        <v>5299</v>
      </c>
      <c r="K601" s="952">
        <v>16</v>
      </c>
      <c r="L601" s="231" t="s">
        <v>5927</v>
      </c>
      <c r="M601" s="194"/>
      <c r="N601" s="1167"/>
      <c r="O601" s="1116"/>
      <c r="P601" s="1117"/>
      <c r="Q601" s="586" t="str">
        <f t="shared" si="74"/>
        <v>FX-685081701</v>
      </c>
      <c r="R601" s="585" t="str">
        <f t="shared" si="73"/>
        <v>مهره فشاری</v>
      </c>
      <c r="S601" s="586">
        <f t="shared" si="73"/>
        <v>16</v>
      </c>
      <c r="T601" s="589"/>
      <c r="U601" s="589"/>
      <c r="V601" s="589"/>
      <c r="W601" s="589"/>
      <c r="X601" s="590"/>
      <c r="Y601" s="590"/>
      <c r="Z601" s="589"/>
      <c r="AA601" s="724"/>
    </row>
    <row r="602" spans="1:27" ht="39.75" customHeight="1">
      <c r="A602" s="1176"/>
      <c r="B602" s="1151"/>
      <c r="C602" s="1154" t="s">
        <v>1248</v>
      </c>
      <c r="D602" s="1209"/>
      <c r="E602" s="1126"/>
      <c r="F602" s="1151"/>
      <c r="G602" s="952" t="s">
        <v>0</v>
      </c>
      <c r="H602" s="952" t="s">
        <v>5078</v>
      </c>
      <c r="I602" s="952"/>
      <c r="J602" s="230" t="s">
        <v>1924</v>
      </c>
      <c r="K602" s="952">
        <v>1</v>
      </c>
      <c r="L602" s="231" t="s">
        <v>5926</v>
      </c>
      <c r="M602" s="194"/>
      <c r="N602" s="1167"/>
      <c r="O602" s="1116"/>
      <c r="P602" s="1117"/>
      <c r="Q602" s="586" t="str">
        <f t="shared" si="74"/>
        <v>SX5F-5512430KD</v>
      </c>
      <c r="R602" s="585" t="str">
        <f t="shared" si="73"/>
        <v>ابرویی گلگیر عقب چپ</v>
      </c>
      <c r="S602" s="586">
        <f t="shared" si="73"/>
        <v>1</v>
      </c>
      <c r="T602" s="589"/>
      <c r="U602" s="589"/>
      <c r="V602" s="589"/>
      <c r="W602" s="589"/>
      <c r="X602" s="590"/>
      <c r="Y602" s="590"/>
      <c r="Z602" s="589"/>
      <c r="AA602" s="724"/>
    </row>
    <row r="603" spans="1:27" ht="39.75" customHeight="1">
      <c r="A603" s="1176"/>
      <c r="B603" s="1151"/>
      <c r="C603" s="1154" t="s">
        <v>1248</v>
      </c>
      <c r="D603" s="1209"/>
      <c r="E603" s="1126"/>
      <c r="F603" s="1151"/>
      <c r="G603" s="952" t="s">
        <v>0</v>
      </c>
      <c r="H603" s="952" t="s">
        <v>5077</v>
      </c>
      <c r="I603" s="952"/>
      <c r="J603" s="230" t="s">
        <v>1923</v>
      </c>
      <c r="K603" s="952">
        <v>1</v>
      </c>
      <c r="L603" s="231" t="s">
        <v>5925</v>
      </c>
      <c r="M603" s="194"/>
      <c r="N603" s="1167"/>
      <c r="O603" s="1116"/>
      <c r="P603" s="1117"/>
      <c r="Q603" s="586" t="str">
        <f t="shared" si="74"/>
        <v>SX5F-5512440KD</v>
      </c>
      <c r="R603" s="585" t="str">
        <f t="shared" si="73"/>
        <v>ابرویی گلگیر عقب راست</v>
      </c>
      <c r="S603" s="586">
        <f t="shared" si="73"/>
        <v>1</v>
      </c>
      <c r="T603" s="589"/>
      <c r="U603" s="589"/>
      <c r="V603" s="589"/>
      <c r="W603" s="589"/>
      <c r="X603" s="590"/>
      <c r="Y603" s="590"/>
      <c r="Z603" s="589"/>
      <c r="AA603" s="724"/>
    </row>
    <row r="604" spans="1:27" ht="39.75" customHeight="1">
      <c r="A604" s="1176"/>
      <c r="B604" s="1228" t="s">
        <v>1934</v>
      </c>
      <c r="C604" s="1154" t="s">
        <v>1947</v>
      </c>
      <c r="D604" s="1209" t="s">
        <v>652</v>
      </c>
      <c r="E604" s="1126"/>
      <c r="F604" s="1151">
        <v>2.2789999999999999</v>
      </c>
      <c r="G604" s="952" t="s">
        <v>0</v>
      </c>
      <c r="H604" s="952" t="s">
        <v>631</v>
      </c>
      <c r="I604" s="952"/>
      <c r="J604" s="230" t="s">
        <v>1945</v>
      </c>
      <c r="K604" s="952">
        <v>2</v>
      </c>
      <c r="L604" s="231" t="s">
        <v>5919</v>
      </c>
      <c r="M604" s="194"/>
      <c r="N604" s="1167"/>
      <c r="O604" s="1116" t="str">
        <f>C604</f>
        <v>نصب کورکن های زیر بدنه</v>
      </c>
      <c r="P604" s="1117" t="str">
        <f>D604</f>
        <v>SX5F-8200-2</v>
      </c>
      <c r="Q604" s="586" t="str">
        <f t="shared" si="74"/>
        <v>SX5G-8263121</v>
      </c>
      <c r="R604" s="585" t="str">
        <f t="shared" si="73"/>
        <v>کورکن آلومینیومی کوچک ¢20</v>
      </c>
      <c r="S604" s="586">
        <f t="shared" si="73"/>
        <v>2</v>
      </c>
      <c r="T604" s="589"/>
      <c r="U604" s="589"/>
      <c r="V604" s="589"/>
      <c r="W604" s="589"/>
      <c r="X604" s="590"/>
      <c r="Y604" s="590"/>
      <c r="Z604" s="589"/>
      <c r="AA604" s="724"/>
    </row>
    <row r="605" spans="1:27" ht="39.75" customHeight="1">
      <c r="A605" s="1176"/>
      <c r="B605" s="1228"/>
      <c r="C605" s="1154" t="s">
        <v>1248</v>
      </c>
      <c r="D605" s="1209"/>
      <c r="E605" s="1126"/>
      <c r="F605" s="1151"/>
      <c r="G605" s="952" t="s">
        <v>1</v>
      </c>
      <c r="H605" s="952" t="s">
        <v>653</v>
      </c>
      <c r="I605" s="952"/>
      <c r="J605" s="230" t="s">
        <v>1944</v>
      </c>
      <c r="K605" s="952">
        <v>2</v>
      </c>
      <c r="L605" s="231" t="s">
        <v>5919</v>
      </c>
      <c r="M605" s="194"/>
      <c r="N605" s="1167"/>
      <c r="O605" s="1116"/>
      <c r="P605" s="1117"/>
      <c r="Q605" s="586" t="str">
        <f t="shared" si="74"/>
        <v>C20-5107153</v>
      </c>
      <c r="R605" s="585" t="str">
        <f t="shared" si="73"/>
        <v>کورکن شیشه ای چهارگوش</v>
      </c>
      <c r="S605" s="586">
        <f t="shared" si="73"/>
        <v>2</v>
      </c>
      <c r="T605" s="589"/>
      <c r="U605" s="589"/>
      <c r="V605" s="589"/>
      <c r="W605" s="589"/>
      <c r="X605" s="590"/>
      <c r="Y605" s="590"/>
      <c r="Z605" s="589"/>
      <c r="AA605" s="724"/>
    </row>
    <row r="606" spans="1:27" ht="39.75" customHeight="1">
      <c r="A606" s="1176"/>
      <c r="B606" s="1228"/>
      <c r="C606" s="1154" t="s">
        <v>1248</v>
      </c>
      <c r="D606" s="1209"/>
      <c r="E606" s="1126"/>
      <c r="F606" s="1151"/>
      <c r="G606" s="952" t="s">
        <v>2</v>
      </c>
      <c r="H606" s="445" t="s">
        <v>634</v>
      </c>
      <c r="I606" s="445" t="s">
        <v>5075</v>
      </c>
      <c r="J606" s="230" t="s">
        <v>1941</v>
      </c>
      <c r="K606" s="952">
        <v>15</v>
      </c>
      <c r="L606" s="231" t="s">
        <v>5919</v>
      </c>
      <c r="M606" s="194"/>
      <c r="N606" s="1167"/>
      <c r="O606" s="1116"/>
      <c r="P606" s="1117"/>
      <c r="Q606" s="664" t="str">
        <f t="shared" si="74"/>
        <v>SX5G-8263101</v>
      </c>
      <c r="R606" s="585" t="str">
        <f t="shared" si="73"/>
        <v>کورکن لاستیکی</v>
      </c>
      <c r="S606" s="586">
        <f t="shared" si="73"/>
        <v>15</v>
      </c>
      <c r="T606" s="589"/>
      <c r="U606" s="589"/>
      <c r="V606" s="589"/>
      <c r="W606" s="589"/>
      <c r="X606" s="590"/>
      <c r="Y606" s="590"/>
      <c r="Z606" s="589"/>
      <c r="AA606" s="724"/>
    </row>
    <row r="607" spans="1:27" ht="39.75" customHeight="1">
      <c r="A607" s="1176"/>
      <c r="B607" s="1228"/>
      <c r="C607" s="1154" t="s">
        <v>1248</v>
      </c>
      <c r="D607" s="1209"/>
      <c r="E607" s="1126"/>
      <c r="F607" s="1151"/>
      <c r="G607" s="952" t="s">
        <v>7</v>
      </c>
      <c r="H607" s="952" t="s">
        <v>636</v>
      </c>
      <c r="I607" s="952"/>
      <c r="J607" s="230" t="s">
        <v>1943</v>
      </c>
      <c r="K607" s="952">
        <v>2</v>
      </c>
      <c r="L607" s="231" t="s">
        <v>5919</v>
      </c>
      <c r="M607" s="194"/>
      <c r="N607" s="1167"/>
      <c r="O607" s="1116"/>
      <c r="P607" s="1117"/>
      <c r="Q607" s="586" t="str">
        <f t="shared" si="74"/>
        <v>BS3-8263111</v>
      </c>
      <c r="R607" s="585" t="str">
        <f t="shared" si="73"/>
        <v>درپوش</v>
      </c>
      <c r="S607" s="586">
        <f t="shared" si="73"/>
        <v>2</v>
      </c>
      <c r="T607" s="589"/>
      <c r="U607" s="589"/>
      <c r="V607" s="589"/>
      <c r="W607" s="589"/>
      <c r="X607" s="590"/>
      <c r="Y607" s="590"/>
      <c r="Z607" s="589"/>
      <c r="AA607" s="724"/>
    </row>
    <row r="608" spans="1:27" ht="39.75" customHeight="1">
      <c r="A608" s="1176"/>
      <c r="B608" s="1228"/>
      <c r="C608" s="1154" t="s">
        <v>1248</v>
      </c>
      <c r="D608" s="1209"/>
      <c r="E608" s="1126"/>
      <c r="F608" s="1151"/>
      <c r="G608" s="952" t="s">
        <v>9</v>
      </c>
      <c r="H608" s="445" t="s">
        <v>629</v>
      </c>
      <c r="I608" s="445"/>
      <c r="J608" s="230" t="s">
        <v>1939</v>
      </c>
      <c r="K608" s="952">
        <v>12</v>
      </c>
      <c r="L608" s="231" t="s">
        <v>5919</v>
      </c>
      <c r="M608" s="194"/>
      <c r="N608" s="1167"/>
      <c r="O608" s="1116"/>
      <c r="P608" s="1117"/>
      <c r="Q608" s="664" t="str">
        <f t="shared" si="74"/>
        <v>SX5G-8263122</v>
      </c>
      <c r="R608" s="585" t="str">
        <f t="shared" si="73"/>
        <v>کورکن آلومینیومی بزرگ ¢30</v>
      </c>
      <c r="S608" s="586">
        <f t="shared" si="73"/>
        <v>12</v>
      </c>
      <c r="T608" s="589"/>
      <c r="U608" s="589"/>
      <c r="V608" s="589"/>
      <c r="W608" s="589"/>
      <c r="X608" s="590"/>
      <c r="Y608" s="590"/>
      <c r="Z608" s="589"/>
      <c r="AA608" s="724"/>
    </row>
    <row r="609" spans="1:34" ht="39.75" customHeight="1">
      <c r="A609" s="1176"/>
      <c r="B609" s="1228"/>
      <c r="C609" s="1154" t="s">
        <v>1248</v>
      </c>
      <c r="D609" s="1209"/>
      <c r="E609" s="1126"/>
      <c r="F609" s="1151"/>
      <c r="G609" s="952" t="s">
        <v>10</v>
      </c>
      <c r="H609" s="952" t="s">
        <v>654</v>
      </c>
      <c r="I609" s="952"/>
      <c r="J609" s="230" t="s">
        <v>1941</v>
      </c>
      <c r="K609" s="952">
        <v>2</v>
      </c>
      <c r="L609" s="231" t="s">
        <v>5919</v>
      </c>
      <c r="M609" s="194"/>
      <c r="N609" s="1167"/>
      <c r="O609" s="1116"/>
      <c r="P609" s="1117"/>
      <c r="Q609" s="586" t="str">
        <f t="shared" si="74"/>
        <v>B-8263109A</v>
      </c>
      <c r="R609" s="585" t="str">
        <f t="shared" si="73"/>
        <v>کورکن لاستیکی</v>
      </c>
      <c r="S609" s="586">
        <f t="shared" si="73"/>
        <v>2</v>
      </c>
      <c r="T609" s="589"/>
      <c r="U609" s="589"/>
      <c r="V609" s="589"/>
      <c r="W609" s="589"/>
      <c r="X609" s="590"/>
      <c r="Y609" s="590"/>
      <c r="Z609" s="589"/>
      <c r="AA609" s="724"/>
    </row>
    <row r="610" spans="1:34" ht="39.75" customHeight="1" thickBot="1">
      <c r="A610" s="1176"/>
      <c r="B610" s="1228"/>
      <c r="C610" s="1154" t="s">
        <v>1248</v>
      </c>
      <c r="D610" s="1209"/>
      <c r="E610" s="1126"/>
      <c r="F610" s="1151"/>
      <c r="G610" s="952" t="s">
        <v>24</v>
      </c>
      <c r="H610" s="952" t="s">
        <v>1942</v>
      </c>
      <c r="I610" s="952"/>
      <c r="J610" s="230" t="s">
        <v>1941</v>
      </c>
      <c r="K610" s="952">
        <v>2</v>
      </c>
      <c r="L610" s="231" t="s">
        <v>5919</v>
      </c>
      <c r="M610" s="194"/>
      <c r="N610" s="1167"/>
      <c r="O610" s="1116"/>
      <c r="P610" s="1117"/>
      <c r="Q610" s="586" t="str">
        <f t="shared" si="74"/>
        <v>61MA-08028</v>
      </c>
      <c r="R610" s="585" t="str">
        <f t="shared" si="73"/>
        <v>کورکن لاستیکی</v>
      </c>
      <c r="S610" s="586">
        <f t="shared" si="73"/>
        <v>2</v>
      </c>
      <c r="T610" s="589"/>
      <c r="U610" s="589"/>
      <c r="V610" s="589"/>
      <c r="W610" s="589"/>
      <c r="X610" s="590"/>
      <c r="Y610" s="590"/>
      <c r="Z610" s="589"/>
      <c r="AA610" s="724"/>
    </row>
    <row r="611" spans="1:34" ht="39.75" customHeight="1">
      <c r="A611" s="1166" t="s">
        <v>1938</v>
      </c>
      <c r="B611" s="1222" t="s">
        <v>1926</v>
      </c>
      <c r="C611" s="1169" t="s">
        <v>1937</v>
      </c>
      <c r="D611" s="1142" t="s">
        <v>4982</v>
      </c>
      <c r="E611" s="1221"/>
      <c r="F611" s="1222">
        <v>3.84</v>
      </c>
      <c r="G611" s="997" t="s">
        <v>0</v>
      </c>
      <c r="H611" s="997" t="s">
        <v>5134</v>
      </c>
      <c r="I611" s="997"/>
      <c r="J611" s="221" t="s">
        <v>1936</v>
      </c>
      <c r="K611" s="997">
        <v>1</v>
      </c>
      <c r="L611" s="222" t="s">
        <v>5922</v>
      </c>
      <c r="M611" s="194"/>
      <c r="N611" s="1166" t="str">
        <f t="shared" si="75"/>
        <v>P48</v>
      </c>
      <c r="O611" s="1169" t="str">
        <f>C611</f>
        <v>نصب شلگیرهای جلو</v>
      </c>
      <c r="P611" s="1142" t="str">
        <f>D611</f>
        <v>SX7A-5512-6</v>
      </c>
      <c r="Q611" s="225" t="str">
        <f t="shared" si="74"/>
        <v xml:space="preserve">SX7-5512310C </v>
      </c>
      <c r="R611" s="224" t="str">
        <f t="shared" si="73"/>
        <v>شلگیر جلو چپ</v>
      </c>
      <c r="S611" s="225">
        <f t="shared" si="73"/>
        <v>1</v>
      </c>
      <c r="T611" s="226"/>
      <c r="U611" s="226"/>
      <c r="V611" s="226"/>
      <c r="W611" s="226"/>
      <c r="X611" s="227"/>
      <c r="Y611" s="227"/>
      <c r="Z611" s="226"/>
      <c r="AA611" s="228"/>
    </row>
    <row r="612" spans="1:34" ht="39.75" customHeight="1">
      <c r="A612" s="1167"/>
      <c r="B612" s="1151"/>
      <c r="C612" s="1154" t="s">
        <v>1248</v>
      </c>
      <c r="D612" s="1209"/>
      <c r="E612" s="1126"/>
      <c r="F612" s="1151"/>
      <c r="G612" s="952" t="s">
        <v>0</v>
      </c>
      <c r="H612" s="952" t="s">
        <v>5103</v>
      </c>
      <c r="I612" s="952"/>
      <c r="J612" s="230" t="s">
        <v>1935</v>
      </c>
      <c r="K612" s="952">
        <v>1</v>
      </c>
      <c r="L612" s="231" t="s">
        <v>5912</v>
      </c>
      <c r="M612" s="194"/>
      <c r="N612" s="1167">
        <f t="shared" si="75"/>
        <v>0</v>
      </c>
      <c r="O612" s="1116"/>
      <c r="P612" s="1117"/>
      <c r="Q612" s="586" t="str">
        <f t="shared" si="74"/>
        <v>SX7-5512320C</v>
      </c>
      <c r="R612" s="585" t="str">
        <f t="shared" si="73"/>
        <v>شلگیر جلو راست</v>
      </c>
      <c r="S612" s="586">
        <f t="shared" si="73"/>
        <v>1</v>
      </c>
      <c r="T612" s="589"/>
      <c r="U612" s="589"/>
      <c r="V612" s="589"/>
      <c r="W612" s="589"/>
      <c r="X612" s="590"/>
      <c r="Y612" s="590"/>
      <c r="Z612" s="589"/>
      <c r="AA612" s="724"/>
    </row>
    <row r="613" spans="1:34" ht="39.75" customHeight="1">
      <c r="A613" s="1167"/>
      <c r="B613" s="1151"/>
      <c r="C613" s="1154" t="s">
        <v>1248</v>
      </c>
      <c r="D613" s="1209"/>
      <c r="E613" s="1126"/>
      <c r="F613" s="1151"/>
      <c r="G613" s="952" t="s">
        <v>1</v>
      </c>
      <c r="H613" s="952" t="s">
        <v>73</v>
      </c>
      <c r="I613" s="952"/>
      <c r="J613" s="230" t="s">
        <v>1251</v>
      </c>
      <c r="K613" s="952">
        <v>25</v>
      </c>
      <c r="L613" s="231" t="s">
        <v>5916</v>
      </c>
      <c r="M613" s="194"/>
      <c r="N613" s="1167">
        <f t="shared" si="75"/>
        <v>0</v>
      </c>
      <c r="O613" s="1116"/>
      <c r="P613" s="1117"/>
      <c r="Q613" s="586" t="str">
        <f t="shared" si="74"/>
        <v>BL346</v>
      </c>
      <c r="R613" s="585" t="str">
        <f t="shared" si="73"/>
        <v>بست فشاری</v>
      </c>
      <c r="S613" s="586">
        <f t="shared" si="73"/>
        <v>25</v>
      </c>
      <c r="T613" s="589"/>
      <c r="U613" s="589"/>
      <c r="V613" s="589"/>
      <c r="W613" s="589"/>
      <c r="X613" s="590"/>
      <c r="Y613" s="590"/>
      <c r="Z613" s="589"/>
      <c r="AA613" s="724"/>
    </row>
    <row r="614" spans="1:34" ht="39.75" customHeight="1">
      <c r="A614" s="1167"/>
      <c r="B614" s="1228" t="s">
        <v>1934</v>
      </c>
      <c r="C614" s="1154" t="s">
        <v>1933</v>
      </c>
      <c r="D614" s="1209" t="s">
        <v>329</v>
      </c>
      <c r="E614" s="1126"/>
      <c r="F614" s="1220">
        <v>2.34</v>
      </c>
      <c r="G614" s="952" t="s">
        <v>0</v>
      </c>
      <c r="H614" s="952" t="s">
        <v>330</v>
      </c>
      <c r="I614" s="952"/>
      <c r="J614" s="230" t="s">
        <v>1932</v>
      </c>
      <c r="K614" s="952">
        <v>1</v>
      </c>
      <c r="L614" s="231" t="s">
        <v>5922</v>
      </c>
      <c r="M614" s="194"/>
      <c r="N614" s="1167">
        <f t="shared" si="75"/>
        <v>0</v>
      </c>
      <c r="O614" s="1116" t="str">
        <f>C614</f>
        <v>نصب شلگیرهای عقب</v>
      </c>
      <c r="P614" s="1117" t="str">
        <f>D614</f>
        <v>SX5-5512-1</v>
      </c>
      <c r="Q614" s="586" t="str">
        <f t="shared" si="74"/>
        <v>SX5F-5512210</v>
      </c>
      <c r="R614" s="585" t="str">
        <f t="shared" si="73"/>
        <v>شلگیر عقب چپ</v>
      </c>
      <c r="S614" s="586">
        <f t="shared" si="73"/>
        <v>1</v>
      </c>
      <c r="T614" s="589"/>
      <c r="U614" s="589"/>
      <c r="V614" s="589"/>
      <c r="W614" s="589"/>
      <c r="X614" s="590"/>
      <c r="Y614" s="590"/>
      <c r="Z614" s="589"/>
      <c r="AA614" s="724"/>
    </row>
    <row r="615" spans="1:34" ht="39.75" customHeight="1">
      <c r="A615" s="1167"/>
      <c r="B615" s="1228"/>
      <c r="C615" s="1154" t="s">
        <v>1248</v>
      </c>
      <c r="D615" s="1209"/>
      <c r="E615" s="1126"/>
      <c r="F615" s="1220"/>
      <c r="G615" s="952" t="s">
        <v>0</v>
      </c>
      <c r="H615" s="952" t="s">
        <v>331</v>
      </c>
      <c r="I615" s="952"/>
      <c r="J615" s="230" t="s">
        <v>1931</v>
      </c>
      <c r="K615" s="952">
        <v>1</v>
      </c>
      <c r="L615" s="231" t="s">
        <v>5928</v>
      </c>
      <c r="M615" s="194"/>
      <c r="N615" s="1167">
        <f t="shared" si="75"/>
        <v>0</v>
      </c>
      <c r="O615" s="1116"/>
      <c r="P615" s="1117"/>
      <c r="Q615" s="586" t="str">
        <f t="shared" si="74"/>
        <v>SX5F-5512220</v>
      </c>
      <c r="R615" s="585" t="str">
        <f t="shared" si="73"/>
        <v>شلگیر عقب راست</v>
      </c>
      <c r="S615" s="586">
        <f t="shared" si="73"/>
        <v>1</v>
      </c>
      <c r="T615" s="589"/>
      <c r="U615" s="589"/>
      <c r="V615" s="589"/>
      <c r="W615" s="589"/>
      <c r="X615" s="590"/>
      <c r="Y615" s="590"/>
      <c r="Z615" s="589"/>
      <c r="AA615" s="724"/>
    </row>
    <row r="616" spans="1:34" ht="39.75" customHeight="1">
      <c r="A616" s="1167"/>
      <c r="B616" s="1228"/>
      <c r="C616" s="1154" t="s">
        <v>1248</v>
      </c>
      <c r="D616" s="1209"/>
      <c r="E616" s="1126"/>
      <c r="F616" s="1220"/>
      <c r="G616" s="952" t="s">
        <v>1</v>
      </c>
      <c r="H616" s="952" t="s">
        <v>1930</v>
      </c>
      <c r="I616" s="952"/>
      <c r="J616" s="230" t="s">
        <v>1250</v>
      </c>
      <c r="K616" s="952">
        <v>10</v>
      </c>
      <c r="L616" s="231" t="s">
        <v>5914</v>
      </c>
      <c r="M616" s="194"/>
      <c r="N616" s="1167">
        <f t="shared" si="75"/>
        <v>0</v>
      </c>
      <c r="O616" s="1116"/>
      <c r="P616" s="1117"/>
      <c r="Q616" s="586" t="str">
        <f t="shared" si="74"/>
        <v>BL929A1</v>
      </c>
      <c r="R616" s="585" t="str">
        <f t="shared" si="73"/>
        <v>مهره پلاستیکی</v>
      </c>
      <c r="S616" s="586">
        <f t="shared" si="73"/>
        <v>10</v>
      </c>
      <c r="T616" s="589"/>
      <c r="U616" s="589"/>
      <c r="V616" s="589"/>
      <c r="W616" s="589"/>
      <c r="X616" s="590"/>
      <c r="Y616" s="590"/>
      <c r="Z616" s="589"/>
      <c r="AA616" s="724"/>
    </row>
    <row r="617" spans="1:34" ht="39.75" customHeight="1">
      <c r="A617" s="1167"/>
      <c r="B617" s="1228"/>
      <c r="C617" s="1154" t="s">
        <v>1248</v>
      </c>
      <c r="D617" s="1209"/>
      <c r="E617" s="1126"/>
      <c r="F617" s="1220"/>
      <c r="G617" s="952" t="s">
        <v>2</v>
      </c>
      <c r="H617" s="952" t="s">
        <v>88</v>
      </c>
      <c r="I617" s="952"/>
      <c r="J617" s="230" t="s">
        <v>1251</v>
      </c>
      <c r="K617" s="952">
        <v>2</v>
      </c>
      <c r="L617" s="231" t="s">
        <v>5913</v>
      </c>
      <c r="M617" s="194"/>
      <c r="N617" s="1167">
        <f t="shared" si="75"/>
        <v>0</v>
      </c>
      <c r="O617" s="1116"/>
      <c r="P617" s="1117"/>
      <c r="Q617" s="586" t="str">
        <f t="shared" si="74"/>
        <v>BL611</v>
      </c>
      <c r="R617" s="585" t="str">
        <f t="shared" si="73"/>
        <v>بست فشاری</v>
      </c>
      <c r="S617" s="586">
        <f t="shared" si="73"/>
        <v>2</v>
      </c>
      <c r="T617" s="589"/>
      <c r="U617" s="589"/>
      <c r="V617" s="589"/>
      <c r="W617" s="589"/>
      <c r="X617" s="590"/>
      <c r="Y617" s="590"/>
      <c r="Z617" s="589"/>
      <c r="AA617" s="724"/>
    </row>
    <row r="618" spans="1:34" ht="39.75" customHeight="1">
      <c r="A618" s="1167"/>
      <c r="B618" s="1228"/>
      <c r="C618" s="1154" t="s">
        <v>1248</v>
      </c>
      <c r="D618" s="1209"/>
      <c r="E618" s="1126"/>
      <c r="F618" s="1220"/>
      <c r="G618" s="952" t="s">
        <v>7</v>
      </c>
      <c r="H618" s="952" t="s">
        <v>73</v>
      </c>
      <c r="I618" s="952"/>
      <c r="J618" s="230" t="s">
        <v>1251</v>
      </c>
      <c r="K618" s="952">
        <v>6</v>
      </c>
      <c r="L618" s="231" t="s">
        <v>5916</v>
      </c>
      <c r="M618" s="194"/>
      <c r="N618" s="1167">
        <f t="shared" si="75"/>
        <v>0</v>
      </c>
      <c r="O618" s="1116"/>
      <c r="P618" s="1117"/>
      <c r="Q618" s="586" t="str">
        <f t="shared" si="74"/>
        <v>BL346</v>
      </c>
      <c r="R618" s="585" t="str">
        <f t="shared" si="73"/>
        <v>بست فشاری</v>
      </c>
      <c r="S618" s="586">
        <f t="shared" si="73"/>
        <v>6</v>
      </c>
      <c r="T618" s="589"/>
      <c r="U618" s="589"/>
      <c r="V618" s="589"/>
      <c r="W618" s="589"/>
      <c r="X618" s="590"/>
      <c r="Y618" s="590"/>
      <c r="Z618" s="589"/>
      <c r="AA618" s="724"/>
    </row>
    <row r="619" spans="1:34" ht="39.75" customHeight="1">
      <c r="A619" s="1167"/>
      <c r="B619" s="1151" t="s">
        <v>1926</v>
      </c>
      <c r="C619" s="1154" t="s">
        <v>1925</v>
      </c>
      <c r="D619" s="1209" t="s">
        <v>394</v>
      </c>
      <c r="E619" s="1126"/>
      <c r="F619" s="1151">
        <v>1.76</v>
      </c>
      <c r="G619" s="952" t="s">
        <v>0</v>
      </c>
      <c r="H619" s="952" t="s">
        <v>196</v>
      </c>
      <c r="I619" s="952"/>
      <c r="J619" s="230" t="s">
        <v>1250</v>
      </c>
      <c r="K619" s="952">
        <v>2</v>
      </c>
      <c r="L619" s="231" t="s">
        <v>5914</v>
      </c>
      <c r="M619" s="194"/>
      <c r="N619" s="1167">
        <f t="shared" si="75"/>
        <v>0</v>
      </c>
      <c r="O619" s="1116" t="str">
        <f>C619</f>
        <v>نصب ابرویی گلگیرهای عقب</v>
      </c>
      <c r="P619" s="1117" t="str">
        <f>D619</f>
        <v>SX5-5512-4</v>
      </c>
      <c r="Q619" s="586" t="str">
        <f t="shared" si="74"/>
        <v>BL338A</v>
      </c>
      <c r="R619" s="585" t="str">
        <f t="shared" si="73"/>
        <v>مهره پلاستیکی</v>
      </c>
      <c r="S619" s="586">
        <f t="shared" si="73"/>
        <v>2</v>
      </c>
      <c r="T619" s="589"/>
      <c r="U619" s="589"/>
      <c r="V619" s="589"/>
      <c r="W619" s="589"/>
      <c r="X619" s="590"/>
      <c r="Y619" s="590"/>
      <c r="Z619" s="589"/>
      <c r="AA619" s="724"/>
    </row>
    <row r="620" spans="1:34" ht="39.75" customHeight="1">
      <c r="A620" s="1167"/>
      <c r="B620" s="1151"/>
      <c r="C620" s="1154" t="s">
        <v>1248</v>
      </c>
      <c r="D620" s="1209"/>
      <c r="E620" s="1126"/>
      <c r="F620" s="1151"/>
      <c r="G620" s="952" t="s">
        <v>717</v>
      </c>
      <c r="H620" s="952" t="s">
        <v>1393</v>
      </c>
      <c r="I620" s="952"/>
      <c r="J620" s="230" t="s">
        <v>1924</v>
      </c>
      <c r="K620" s="952">
        <v>1</v>
      </c>
      <c r="L620" s="236"/>
      <c r="M620" s="194"/>
      <c r="N620" s="1167">
        <f t="shared" si="75"/>
        <v>0</v>
      </c>
      <c r="O620" s="1116"/>
      <c r="P620" s="1117"/>
      <c r="Q620" s="586" t="str">
        <f t="shared" si="74"/>
        <v>-</v>
      </c>
      <c r="R620" s="585" t="str">
        <f t="shared" si="73"/>
        <v>ابرویی گلگیر عقب چپ</v>
      </c>
      <c r="S620" s="586">
        <f t="shared" si="73"/>
        <v>1</v>
      </c>
      <c r="T620" s="589"/>
      <c r="U620" s="589"/>
      <c r="V620" s="589"/>
      <c r="W620" s="589"/>
      <c r="X620" s="590"/>
      <c r="Y620" s="590"/>
      <c r="Z620" s="589"/>
      <c r="AA620" s="724"/>
    </row>
    <row r="621" spans="1:34" ht="39.75" customHeight="1" thickBot="1">
      <c r="A621" s="1168"/>
      <c r="B621" s="1232"/>
      <c r="C621" s="1186" t="s">
        <v>1248</v>
      </c>
      <c r="D621" s="1159"/>
      <c r="E621" s="1214"/>
      <c r="F621" s="1232"/>
      <c r="G621" s="953" t="s">
        <v>717</v>
      </c>
      <c r="H621" s="953" t="s">
        <v>1393</v>
      </c>
      <c r="I621" s="953"/>
      <c r="J621" s="272" t="s">
        <v>1923</v>
      </c>
      <c r="K621" s="953">
        <v>1</v>
      </c>
      <c r="L621" s="263"/>
      <c r="M621" s="194"/>
      <c r="N621" s="1168">
        <f t="shared" si="75"/>
        <v>0</v>
      </c>
      <c r="O621" s="1186"/>
      <c r="P621" s="1159"/>
      <c r="Q621" s="251" t="str">
        <f t="shared" si="74"/>
        <v>-</v>
      </c>
      <c r="R621" s="274" t="str">
        <f t="shared" si="73"/>
        <v>ابرویی گلگیر عقب راست</v>
      </c>
      <c r="S621" s="251">
        <f t="shared" si="73"/>
        <v>1</v>
      </c>
      <c r="T621" s="283"/>
      <c r="U621" s="283"/>
      <c r="V621" s="283"/>
      <c r="W621" s="283"/>
      <c r="X621" s="284"/>
      <c r="Y621" s="284"/>
      <c r="Z621" s="283"/>
      <c r="AA621" s="285"/>
    </row>
    <row r="622" spans="1:34" ht="39.75" customHeight="1" thickBot="1">
      <c r="A622" s="1370" t="s">
        <v>1248</v>
      </c>
      <c r="B622" s="1371"/>
      <c r="C622" s="1371"/>
      <c r="D622" s="446"/>
      <c r="E622" s="447"/>
      <c r="F622" s="447"/>
      <c r="G622" s="447"/>
      <c r="H622" s="448" t="s">
        <v>1922</v>
      </c>
      <c r="I622" s="447"/>
      <c r="J622" s="449"/>
      <c r="K622" s="447"/>
      <c r="L622" s="450"/>
      <c r="M622" s="194"/>
      <c r="N622" s="1379" t="str">
        <f>H622</f>
        <v>Engine</v>
      </c>
      <c r="O622" s="1380"/>
      <c r="P622" s="1380"/>
      <c r="Q622" s="1380"/>
      <c r="R622" s="1380"/>
      <c r="S622" s="1380"/>
      <c r="T622" s="1380"/>
      <c r="U622" s="1380"/>
      <c r="V622" s="1380"/>
      <c r="W622" s="1380"/>
      <c r="X622" s="1380"/>
      <c r="Y622" s="1380"/>
      <c r="Z622" s="1380"/>
      <c r="AA622" s="1381"/>
    </row>
    <row r="623" spans="1:34" s="293" customFormat="1" ht="39.75" customHeight="1">
      <c r="A623" s="1293" t="s">
        <v>1910</v>
      </c>
      <c r="B623" s="946" t="s">
        <v>1910</v>
      </c>
      <c r="C623" s="1010" t="s">
        <v>4999</v>
      </c>
      <c r="D623" s="1011" t="s">
        <v>4998</v>
      </c>
      <c r="E623" s="1000"/>
      <c r="F623" s="946"/>
      <c r="G623" s="451" t="s">
        <v>0</v>
      </c>
      <c r="H623" s="992" t="s">
        <v>93</v>
      </c>
      <c r="I623" s="992"/>
      <c r="J623" s="309" t="s">
        <v>5000</v>
      </c>
      <c r="K623" s="946">
        <v>1</v>
      </c>
      <c r="L623" s="222" t="s">
        <v>5901</v>
      </c>
      <c r="M623" s="194"/>
      <c r="N623" s="1195" t="s">
        <v>1910</v>
      </c>
      <c r="O623" s="1010" t="s">
        <v>4999</v>
      </c>
      <c r="P623" s="1011" t="s">
        <v>4998</v>
      </c>
      <c r="Q623" s="383" t="s">
        <v>93</v>
      </c>
      <c r="R623" s="311" t="s">
        <v>5000</v>
      </c>
      <c r="S623" s="452">
        <v>1</v>
      </c>
      <c r="T623" s="227">
        <v>40</v>
      </c>
      <c r="U623" s="227">
        <v>45</v>
      </c>
      <c r="V623" s="227">
        <v>50</v>
      </c>
      <c r="W623" s="226"/>
      <c r="X623" s="227" t="s">
        <v>5446</v>
      </c>
      <c r="Y623" s="777" t="s">
        <v>6015</v>
      </c>
      <c r="Z623" s="227" t="s">
        <v>5504</v>
      </c>
      <c r="AA623" s="453" t="s">
        <v>5505</v>
      </c>
      <c r="AB623" s="194"/>
      <c r="AC623" s="194"/>
      <c r="AD623" s="194"/>
      <c r="AE623" s="194"/>
      <c r="AF623" s="194"/>
      <c r="AG623" s="194"/>
      <c r="AH623" s="194"/>
    </row>
    <row r="624" spans="1:34" ht="39.75" customHeight="1">
      <c r="A624" s="1294"/>
      <c r="B624" s="935" t="s">
        <v>1910</v>
      </c>
      <c r="C624" s="947" t="s">
        <v>1921</v>
      </c>
      <c r="D624" s="948" t="s">
        <v>1920</v>
      </c>
      <c r="E624" s="979"/>
      <c r="F624" s="918">
        <v>1.95</v>
      </c>
      <c r="G624" s="454" t="s">
        <v>0</v>
      </c>
      <c r="H624" s="938" t="s">
        <v>5221</v>
      </c>
      <c r="I624" s="938"/>
      <c r="J624" s="444" t="s">
        <v>1919</v>
      </c>
      <c r="K624" s="918">
        <v>1</v>
      </c>
      <c r="L624" s="231" t="s">
        <v>5902</v>
      </c>
      <c r="M624" s="194"/>
      <c r="N624" s="1196"/>
      <c r="O624" s="962" t="str">
        <f>C624</f>
        <v>قرار دادن موتور روی جیگ مونتاژ</v>
      </c>
      <c r="P624" s="963" t="str">
        <f>D624</f>
        <v>SX5-8101-12</v>
      </c>
      <c r="Q624" s="643" t="str">
        <f>H624</f>
        <v>SX5KCT-1000-0001C1</v>
      </c>
      <c r="R624" s="605" t="str">
        <f t="shared" ref="R624:S624" si="76">J624</f>
        <v>مجموعه موتور گیربکس</v>
      </c>
      <c r="S624" s="629">
        <f t="shared" si="76"/>
        <v>1</v>
      </c>
      <c r="T624" s="589"/>
      <c r="U624" s="589"/>
      <c r="V624" s="589"/>
      <c r="W624" s="589"/>
      <c r="X624" s="590"/>
      <c r="Y624" s="590"/>
      <c r="Z624" s="589"/>
      <c r="AA624" s="724"/>
    </row>
    <row r="625" spans="1:27" ht="42.75" customHeight="1">
      <c r="A625" s="1294"/>
      <c r="B625" s="1124" t="s">
        <v>1910</v>
      </c>
      <c r="C625" s="1154" t="s">
        <v>6130</v>
      </c>
      <c r="D625" s="1209" t="s">
        <v>6170</v>
      </c>
      <c r="E625" s="1122"/>
      <c r="F625" s="1160"/>
      <c r="G625" s="975" t="s">
        <v>0</v>
      </c>
      <c r="H625" s="975" t="s">
        <v>6162</v>
      </c>
      <c r="I625" s="952"/>
      <c r="J625" s="241" t="s">
        <v>6045</v>
      </c>
      <c r="K625" s="975">
        <v>1</v>
      </c>
      <c r="L625" s="802" t="s">
        <v>5901</v>
      </c>
      <c r="M625" s="194"/>
      <c r="N625" s="1196"/>
      <c r="O625" s="1116" t="str">
        <f>C625</f>
        <v>مونتاژ  شلنگ ورودی آّب  راددیاتور بخاری سمت موتور</v>
      </c>
      <c r="P625" s="1117" t="str">
        <f>D625</f>
        <v>SX3DCN-8101-4</v>
      </c>
      <c r="Q625" s="586" t="s">
        <v>4961</v>
      </c>
      <c r="R625" s="585" t="str">
        <f>J625</f>
        <v xml:space="preserve"> لوله ورودی تهویه مطبوع</v>
      </c>
      <c r="S625" s="586">
        <f t="shared" ref="S625" si="77">K625</f>
        <v>1</v>
      </c>
      <c r="T625" s="589"/>
      <c r="U625" s="589"/>
      <c r="V625" s="589"/>
      <c r="W625" s="589"/>
      <c r="X625" s="590"/>
      <c r="Y625" s="590"/>
      <c r="Z625" s="589"/>
      <c r="AA625" s="724"/>
    </row>
    <row r="626" spans="1:27" ht="42.75" customHeight="1">
      <c r="A626" s="1294"/>
      <c r="B626" s="1260"/>
      <c r="C626" s="1154"/>
      <c r="D626" s="1209"/>
      <c r="E626" s="1123"/>
      <c r="F626" s="1161"/>
      <c r="G626" s="952" t="s">
        <v>1</v>
      </c>
      <c r="H626" s="952" t="s">
        <v>6189</v>
      </c>
      <c r="I626" s="952"/>
      <c r="J626" s="230" t="s">
        <v>5046</v>
      </c>
      <c r="K626" s="952">
        <v>1</v>
      </c>
      <c r="L626" s="802" t="s">
        <v>5905</v>
      </c>
      <c r="M626" s="194"/>
      <c r="N626" s="1196"/>
      <c r="O626" s="1116"/>
      <c r="P626" s="1117"/>
      <c r="Q626" s="586" t="s">
        <v>616</v>
      </c>
      <c r="R626" s="585" t="str">
        <f>J626</f>
        <v>بست فولادی</v>
      </c>
      <c r="S626" s="586"/>
      <c r="T626" s="589"/>
      <c r="U626" s="589"/>
      <c r="V626" s="589"/>
      <c r="W626" s="589"/>
      <c r="X626" s="590"/>
      <c r="Y626" s="590"/>
      <c r="Z626" s="589"/>
      <c r="AA626" s="724"/>
    </row>
    <row r="627" spans="1:27" ht="39.75" customHeight="1">
      <c r="A627" s="1294"/>
      <c r="B627" s="935" t="s">
        <v>1910</v>
      </c>
      <c r="C627" s="947" t="s">
        <v>1918</v>
      </c>
      <c r="D627" s="948" t="s">
        <v>1917</v>
      </c>
      <c r="E627" s="1001"/>
      <c r="F627" s="935">
        <v>1.4962</v>
      </c>
      <c r="G627" s="935" t="s">
        <v>0</v>
      </c>
      <c r="H627" s="233" t="s">
        <v>1916</v>
      </c>
      <c r="I627" s="347"/>
      <c r="J627" s="260" t="s">
        <v>1915</v>
      </c>
      <c r="K627" s="313">
        <v>2</v>
      </c>
      <c r="L627" s="231" t="s">
        <v>5903</v>
      </c>
      <c r="M627" s="194"/>
      <c r="N627" s="1196"/>
      <c r="O627" s="962" t="str">
        <f t="shared" ref="O627:O628" si="78">C627</f>
        <v xml:space="preserve">مونتاژ کانکتور خنک کننده روغن  </v>
      </c>
      <c r="P627" s="963" t="str">
        <f>D627</f>
        <v>SX5K-1700-3</v>
      </c>
      <c r="Q627" s="658" t="str">
        <f t="shared" si="74"/>
        <v>SX5K-1700163L2</v>
      </c>
      <c r="R627" s="605" t="str">
        <f t="shared" ref="R627:S688" si="79">J627</f>
        <v>کانکتور خنک کننده روغن</v>
      </c>
      <c r="S627" s="617">
        <f t="shared" si="79"/>
        <v>2</v>
      </c>
      <c r="T627" s="639">
        <v>35</v>
      </c>
      <c r="U627" s="639">
        <v>38</v>
      </c>
      <c r="V627" s="639">
        <v>41</v>
      </c>
      <c r="W627" s="591" t="s">
        <v>5592</v>
      </c>
      <c r="X627" s="639" t="s">
        <v>5446</v>
      </c>
      <c r="Y627" s="639" t="s">
        <v>5593</v>
      </c>
      <c r="Z627" s="589"/>
      <c r="AA627" s="724"/>
    </row>
    <row r="628" spans="1:27" ht="39.75" customHeight="1">
      <c r="A628" s="1294"/>
      <c r="B628" s="1124" t="s">
        <v>1910</v>
      </c>
      <c r="C628" s="1154" t="s">
        <v>1914</v>
      </c>
      <c r="D628" s="1209" t="s">
        <v>5039</v>
      </c>
      <c r="E628" s="1122"/>
      <c r="F628" s="1160">
        <v>2.65</v>
      </c>
      <c r="G628" s="952" t="s">
        <v>0</v>
      </c>
      <c r="H628" s="952" t="s">
        <v>5068</v>
      </c>
      <c r="I628" s="952"/>
      <c r="J628" s="230" t="s">
        <v>6129</v>
      </c>
      <c r="K628" s="952">
        <v>0</v>
      </c>
      <c r="L628" s="231" t="s">
        <v>5901</v>
      </c>
      <c r="M628" s="194"/>
      <c r="N628" s="1196"/>
      <c r="O628" s="1116" t="str">
        <f t="shared" si="78"/>
        <v>نصب مبدل کاتالیست</v>
      </c>
      <c r="P628" s="1117" t="str">
        <f>D628</f>
        <v>SX7H-1205-1</v>
      </c>
      <c r="Q628" s="586" t="str">
        <f t="shared" si="74"/>
        <v>SX7H-1205011</v>
      </c>
      <c r="R628" s="585" t="str">
        <f t="shared" si="79"/>
        <v>براکت نگهدارنده کاتالیست(روی کلتالیست است)</v>
      </c>
      <c r="S628" s="586">
        <f t="shared" si="79"/>
        <v>0</v>
      </c>
      <c r="T628" s="589"/>
      <c r="U628" s="589"/>
      <c r="V628" s="589"/>
      <c r="W628" s="589"/>
      <c r="X628" s="590"/>
      <c r="Y628" s="590"/>
      <c r="Z628" s="589"/>
      <c r="AA628" s="724"/>
    </row>
    <row r="629" spans="1:27" ht="39.75" customHeight="1">
      <c r="A629" s="1294"/>
      <c r="B629" s="1297"/>
      <c r="C629" s="1154"/>
      <c r="D629" s="1209"/>
      <c r="E629" s="1165"/>
      <c r="F629" s="1227"/>
      <c r="G629" s="952" t="s">
        <v>1</v>
      </c>
      <c r="H629" s="952" t="s">
        <v>5072</v>
      </c>
      <c r="I629" s="952"/>
      <c r="J629" s="230" t="s">
        <v>1913</v>
      </c>
      <c r="K629" s="952">
        <v>1</v>
      </c>
      <c r="L629" s="231" t="s">
        <v>5904</v>
      </c>
      <c r="M629" s="194"/>
      <c r="N629" s="1196"/>
      <c r="O629" s="1116"/>
      <c r="P629" s="1117"/>
      <c r="Q629" s="586" t="str">
        <f t="shared" si="74"/>
        <v>SX7H-1205010</v>
      </c>
      <c r="R629" s="585" t="str">
        <f t="shared" si="79"/>
        <v>مبدل کاتالیست</v>
      </c>
      <c r="S629" s="586">
        <f t="shared" si="79"/>
        <v>1</v>
      </c>
      <c r="T629" s="589"/>
      <c r="U629" s="589"/>
      <c r="V629" s="589"/>
      <c r="W629" s="589"/>
      <c r="X629" s="590"/>
      <c r="Y629" s="590"/>
      <c r="Z629" s="589"/>
      <c r="AA629" s="724"/>
    </row>
    <row r="630" spans="1:27" ht="39.75" customHeight="1">
      <c r="A630" s="1294"/>
      <c r="B630" s="1297"/>
      <c r="C630" s="1154"/>
      <c r="D630" s="1209"/>
      <c r="E630" s="1165"/>
      <c r="F630" s="1227"/>
      <c r="G630" s="952" t="s">
        <v>2</v>
      </c>
      <c r="H630" s="237" t="s">
        <v>1184</v>
      </c>
      <c r="I630" s="354" t="s">
        <v>1912</v>
      </c>
      <c r="J630" s="230" t="s">
        <v>5769</v>
      </c>
      <c r="K630" s="952">
        <v>3</v>
      </c>
      <c r="L630" s="231" t="s">
        <v>5905</v>
      </c>
      <c r="M630" s="194"/>
      <c r="N630" s="1196"/>
      <c r="O630" s="1116"/>
      <c r="P630" s="1117"/>
      <c r="Q630" s="635" t="str">
        <f t="shared" si="74"/>
        <v>DTF6177.2M10*1.25-10F39</v>
      </c>
      <c r="R630" s="585" t="str">
        <f t="shared" si="79"/>
        <v>مهره قفلی</v>
      </c>
      <c r="S630" s="586">
        <f t="shared" si="79"/>
        <v>3</v>
      </c>
      <c r="T630" s="589"/>
      <c r="U630" s="589"/>
      <c r="V630" s="589"/>
      <c r="W630" s="589"/>
      <c r="X630" s="590"/>
      <c r="Y630" s="590"/>
      <c r="Z630" s="589"/>
      <c r="AA630" s="724"/>
    </row>
    <row r="631" spans="1:27" ht="39.75" customHeight="1">
      <c r="A631" s="1294"/>
      <c r="B631" s="1297"/>
      <c r="C631" s="1154"/>
      <c r="D631" s="1209"/>
      <c r="E631" s="1165"/>
      <c r="F631" s="1227"/>
      <c r="G631" s="952" t="s">
        <v>7</v>
      </c>
      <c r="H631" s="952" t="s">
        <v>587</v>
      </c>
      <c r="I631" s="952"/>
      <c r="J631" s="230" t="s">
        <v>1911</v>
      </c>
      <c r="K631" s="952">
        <v>1</v>
      </c>
      <c r="L631" s="231" t="s">
        <v>5901</v>
      </c>
      <c r="M631" s="194"/>
      <c r="N631" s="1196"/>
      <c r="O631" s="1116"/>
      <c r="P631" s="1117"/>
      <c r="Q631" s="586" t="str">
        <f t="shared" si="74"/>
        <v>SX7H-1205012</v>
      </c>
      <c r="R631" s="585" t="str">
        <f t="shared" si="79"/>
        <v xml:space="preserve">واشر آب بندی </v>
      </c>
      <c r="S631" s="586">
        <f t="shared" si="79"/>
        <v>1</v>
      </c>
      <c r="T631" s="589"/>
      <c r="U631" s="589"/>
      <c r="V631" s="589"/>
      <c r="W631" s="589"/>
      <c r="X631" s="590"/>
      <c r="Y631" s="590"/>
      <c r="Z631" s="589"/>
      <c r="AA631" s="724"/>
    </row>
    <row r="632" spans="1:27" ht="39.75" customHeight="1" thickBot="1">
      <c r="A632" s="1294"/>
      <c r="B632" s="1297"/>
      <c r="C632" s="1116"/>
      <c r="D632" s="1117"/>
      <c r="E632" s="1165"/>
      <c r="F632" s="1227"/>
      <c r="G632" s="941" t="s">
        <v>9</v>
      </c>
      <c r="H632" s="876" t="s">
        <v>6004</v>
      </c>
      <c r="I632" s="941"/>
      <c r="J632" s="259" t="s">
        <v>6003</v>
      </c>
      <c r="K632" s="941">
        <v>2</v>
      </c>
      <c r="L632" s="802"/>
      <c r="M632" s="194"/>
      <c r="N632" s="1196"/>
      <c r="O632" s="1116"/>
      <c r="P632" s="1117"/>
      <c r="Q632" s="586"/>
      <c r="R632" s="585"/>
      <c r="S632" s="586">
        <f t="shared" si="79"/>
        <v>2</v>
      </c>
      <c r="T632" s="589"/>
      <c r="U632" s="589"/>
      <c r="V632" s="589"/>
      <c r="W632" s="589"/>
      <c r="X632" s="590"/>
      <c r="Y632" s="590"/>
      <c r="Z632" s="589"/>
      <c r="AA632" s="724"/>
    </row>
    <row r="633" spans="1:27" ht="39.75" customHeight="1">
      <c r="A633" s="1293" t="s">
        <v>1900</v>
      </c>
      <c r="B633" s="1222" t="s">
        <v>1900</v>
      </c>
      <c r="C633" s="1149" t="s">
        <v>1909</v>
      </c>
      <c r="D633" s="1183" t="s">
        <v>99</v>
      </c>
      <c r="E633" s="1288"/>
      <c r="F633" s="1222">
        <v>2.8433299999999999</v>
      </c>
      <c r="G633" s="946" t="s">
        <v>0</v>
      </c>
      <c r="H633" s="451" t="s">
        <v>5201</v>
      </c>
      <c r="I633" s="455"/>
      <c r="J633" s="309" t="s">
        <v>1908</v>
      </c>
      <c r="K633" s="310">
        <v>1</v>
      </c>
      <c r="L633" s="222" t="s">
        <v>5906</v>
      </c>
      <c r="M633" s="194"/>
      <c r="N633" s="1195" t="s">
        <v>1900</v>
      </c>
      <c r="O633" s="1149" t="str">
        <f>C633</f>
        <v>مونتاژ کمپرسور و تسمه کمپرسور کولر</v>
      </c>
      <c r="P633" s="1183" t="str">
        <f>D633</f>
        <v>SX3DCN-8103-1</v>
      </c>
      <c r="Q633" s="712" t="str">
        <f t="shared" si="74"/>
        <v>CM7G-8103020B</v>
      </c>
      <c r="R633" s="311" t="str">
        <f t="shared" si="79"/>
        <v>کمپرسور کولر</v>
      </c>
      <c r="S633" s="312">
        <f t="shared" si="79"/>
        <v>1</v>
      </c>
      <c r="T633" s="226"/>
      <c r="U633" s="226"/>
      <c r="V633" s="226"/>
      <c r="W633" s="226"/>
      <c r="X633" s="227"/>
      <c r="Y633" s="227"/>
      <c r="Z633" s="226"/>
      <c r="AA633" s="228"/>
    </row>
    <row r="634" spans="1:27" ht="39.75" customHeight="1">
      <c r="A634" s="1294"/>
      <c r="B634" s="1151"/>
      <c r="C634" s="1296" t="s">
        <v>1248</v>
      </c>
      <c r="D634" s="1162"/>
      <c r="E634" s="1212"/>
      <c r="F634" s="1151"/>
      <c r="G634" s="935" t="s">
        <v>1</v>
      </c>
      <c r="H634" s="233" t="s">
        <v>1907</v>
      </c>
      <c r="I634" s="347"/>
      <c r="J634" s="260" t="s">
        <v>1499</v>
      </c>
      <c r="K634" s="313">
        <v>4</v>
      </c>
      <c r="L634" s="231" t="s">
        <v>5907</v>
      </c>
      <c r="M634" s="194"/>
      <c r="N634" s="1196">
        <f>A634</f>
        <v>0</v>
      </c>
      <c r="O634" s="1145"/>
      <c r="P634" s="1185"/>
      <c r="Q634" s="658" t="str">
        <f t="shared" ref="Q634:Q688" si="80">H634</f>
        <v>Q14608110F38</v>
      </c>
      <c r="R634" s="605" t="str">
        <f t="shared" si="79"/>
        <v>پیچ سر شش گوش واشردار</v>
      </c>
      <c r="S634" s="617">
        <f t="shared" si="79"/>
        <v>4</v>
      </c>
      <c r="T634" s="639">
        <v>21</v>
      </c>
      <c r="U634" s="639">
        <v>24</v>
      </c>
      <c r="V634" s="639">
        <v>27</v>
      </c>
      <c r="W634" s="591" t="s">
        <v>5509</v>
      </c>
      <c r="X634" s="639" t="s">
        <v>5435</v>
      </c>
      <c r="Y634" s="665" t="s">
        <v>5594</v>
      </c>
      <c r="Z634" s="665" t="s">
        <v>5442</v>
      </c>
      <c r="AA634" s="731" t="s">
        <v>5595</v>
      </c>
    </row>
    <row r="635" spans="1:27" ht="39.75" customHeight="1">
      <c r="A635" s="1294"/>
      <c r="B635" s="1151"/>
      <c r="C635" s="1296" t="s">
        <v>1248</v>
      </c>
      <c r="D635" s="1162"/>
      <c r="E635" s="1212"/>
      <c r="F635" s="1151"/>
      <c r="G635" s="935" t="s">
        <v>2</v>
      </c>
      <c r="H635" s="753" t="s">
        <v>5055</v>
      </c>
      <c r="I635" s="347"/>
      <c r="J635" s="260" t="s">
        <v>1906</v>
      </c>
      <c r="K635" s="313">
        <v>1</v>
      </c>
      <c r="L635" s="231" t="s">
        <v>5903</v>
      </c>
      <c r="M635" s="194"/>
      <c r="N635" s="1196">
        <f>A635</f>
        <v>0</v>
      </c>
      <c r="O635" s="1145"/>
      <c r="P635" s="1185"/>
      <c r="Q635" s="658" t="str">
        <f t="shared" si="80"/>
        <v>C0101-1009071</v>
      </c>
      <c r="R635" s="605" t="str">
        <f t="shared" si="79"/>
        <v>تسمه کمپرسور کولر</v>
      </c>
      <c r="S635" s="617">
        <f t="shared" si="79"/>
        <v>1</v>
      </c>
      <c r="T635" s="589"/>
      <c r="U635" s="589"/>
      <c r="V635" s="589"/>
      <c r="W635" s="589"/>
      <c r="X635" s="590"/>
      <c r="Y635" s="590"/>
      <c r="Z635" s="589"/>
      <c r="AA635" s="724"/>
    </row>
    <row r="636" spans="1:27" ht="39.75" customHeight="1">
      <c r="A636" s="1294"/>
      <c r="B636" s="1160" t="s">
        <v>1900</v>
      </c>
      <c r="C636" s="1274" t="s">
        <v>5008</v>
      </c>
      <c r="D636" s="1365" t="s">
        <v>5007</v>
      </c>
      <c r="E636" s="1163"/>
      <c r="F636" s="1160">
        <v>0.64800000000000002</v>
      </c>
      <c r="G636" s="1160"/>
      <c r="H636" s="233" t="s">
        <v>5069</v>
      </c>
      <c r="I636" s="347"/>
      <c r="J636" s="260" t="s">
        <v>5009</v>
      </c>
      <c r="K636" s="313">
        <v>1</v>
      </c>
      <c r="L636" s="231" t="s">
        <v>5901</v>
      </c>
      <c r="M636" s="194"/>
      <c r="N636" s="1196">
        <f>A636</f>
        <v>0</v>
      </c>
      <c r="O636" s="1145" t="str">
        <f>C636</f>
        <v>مونتاژ لوله مکش کمپرسور</v>
      </c>
      <c r="P636" s="1185" t="str">
        <f>D636</f>
        <v>SX3DCN-8108-3</v>
      </c>
      <c r="Q636" s="658" t="str">
        <f t="shared" si="80"/>
        <v>SX7H-8108020</v>
      </c>
      <c r="R636" s="605" t="str">
        <f t="shared" si="79"/>
        <v>مجموعه لوله مکش کمپرسور</v>
      </c>
      <c r="S636" s="617">
        <f t="shared" si="79"/>
        <v>1</v>
      </c>
      <c r="T636" s="589"/>
      <c r="U636" s="589"/>
      <c r="V636" s="589"/>
      <c r="W636" s="591"/>
      <c r="X636" s="639"/>
      <c r="Y636" s="665"/>
      <c r="Z636" s="589"/>
      <c r="AA636" s="724"/>
    </row>
    <row r="637" spans="1:27" ht="39.75" customHeight="1">
      <c r="A637" s="1294"/>
      <c r="B637" s="1227"/>
      <c r="C637" s="1275"/>
      <c r="D637" s="1277"/>
      <c r="E637" s="1251"/>
      <c r="F637" s="1227"/>
      <c r="G637" s="1227"/>
      <c r="H637" s="233" t="s">
        <v>5155</v>
      </c>
      <c r="I637" s="456" t="s">
        <v>1904</v>
      </c>
      <c r="J637" s="260" t="s">
        <v>1903</v>
      </c>
      <c r="K637" s="313">
        <v>1E-3</v>
      </c>
      <c r="L637" s="231" t="s">
        <v>5907</v>
      </c>
      <c r="M637" s="194"/>
      <c r="N637" s="1196">
        <f>A637</f>
        <v>0</v>
      </c>
      <c r="O637" s="1145"/>
      <c r="P637" s="1185"/>
      <c r="Q637" s="658" t="str">
        <f t="shared" si="80"/>
        <v>C0603000FB</v>
      </c>
      <c r="R637" s="605" t="str">
        <f t="shared" si="79"/>
        <v>روغن روانکار کمپرسور</v>
      </c>
      <c r="S637" s="617">
        <f t="shared" si="79"/>
        <v>1E-3</v>
      </c>
      <c r="T637" s="589"/>
      <c r="U637" s="589"/>
      <c r="V637" s="589"/>
      <c r="W637" s="589"/>
      <c r="X637" s="639"/>
      <c r="Y637" s="665"/>
      <c r="Z637" s="589"/>
      <c r="AA637" s="724"/>
    </row>
    <row r="638" spans="1:27" ht="39.75" customHeight="1">
      <c r="A638" s="1294"/>
      <c r="B638" s="1161"/>
      <c r="C638" s="1276"/>
      <c r="D638" s="1278"/>
      <c r="E638" s="1164"/>
      <c r="F638" s="1161"/>
      <c r="G638" s="1161"/>
      <c r="H638" s="233" t="s">
        <v>4</v>
      </c>
      <c r="I638" s="347" t="s">
        <v>5396</v>
      </c>
      <c r="J638" s="260" t="s">
        <v>6179</v>
      </c>
      <c r="K638" s="313">
        <v>0</v>
      </c>
      <c r="L638" s="231" t="s">
        <v>5905</v>
      </c>
      <c r="M638" s="194"/>
      <c r="N638" s="1196"/>
      <c r="O638" s="1145"/>
      <c r="P638" s="1185"/>
      <c r="Q638" s="658" t="str">
        <f t="shared" ref="Q638" si="81">H638</f>
        <v>Q1460625F38</v>
      </c>
      <c r="R638" s="605" t="str">
        <f t="shared" ref="R638" si="82">J638</f>
        <v>پیچ سر شش گوش فلنچی ( رووی موتور است )</v>
      </c>
      <c r="S638" s="617"/>
      <c r="T638" s="639">
        <v>21</v>
      </c>
      <c r="U638" s="639">
        <v>24</v>
      </c>
      <c r="V638" s="639">
        <v>27</v>
      </c>
      <c r="W638" s="591" t="s">
        <v>5531</v>
      </c>
      <c r="X638" s="639" t="s">
        <v>5435</v>
      </c>
      <c r="Y638" s="665" t="s">
        <v>5594</v>
      </c>
      <c r="Z638" s="665" t="s">
        <v>5442</v>
      </c>
      <c r="AA638" s="731" t="s">
        <v>5595</v>
      </c>
    </row>
    <row r="639" spans="1:27" ht="39.75" customHeight="1">
      <c r="A639" s="1294"/>
      <c r="B639" s="1115" t="s">
        <v>1900</v>
      </c>
      <c r="C639" s="1296" t="s">
        <v>1905</v>
      </c>
      <c r="D639" s="1162" t="s">
        <v>5005</v>
      </c>
      <c r="E639" s="1212"/>
      <c r="F639" s="1346">
        <v>0.64800000000000002</v>
      </c>
      <c r="G639" s="1151"/>
      <c r="H639" s="233" t="s">
        <v>5070</v>
      </c>
      <c r="I639" s="347"/>
      <c r="J639" s="260" t="s">
        <v>5006</v>
      </c>
      <c r="K639" s="313">
        <v>1</v>
      </c>
      <c r="L639" s="231" t="s">
        <v>5901</v>
      </c>
      <c r="M639" s="194"/>
      <c r="N639" s="1196">
        <f>A639</f>
        <v>0</v>
      </c>
      <c r="O639" s="1145" t="str">
        <f>C639</f>
        <v>مونتاژ لوله خروجی کمپرسور</v>
      </c>
      <c r="P639" s="1185" t="str">
        <f>D639</f>
        <v>SX7HCT-8108-1</v>
      </c>
      <c r="Q639" s="658" t="str">
        <f t="shared" si="80"/>
        <v>SX7H-8108010</v>
      </c>
      <c r="R639" s="605" t="str">
        <f t="shared" si="79"/>
        <v>مجموعه لوله خروجی کمپرسور</v>
      </c>
      <c r="S639" s="617">
        <f t="shared" si="79"/>
        <v>1</v>
      </c>
      <c r="T639" s="639"/>
      <c r="U639" s="639"/>
      <c r="V639" s="639"/>
      <c r="W639" s="591"/>
      <c r="X639" s="639"/>
      <c r="Y639" s="665"/>
      <c r="Z639" s="589"/>
      <c r="AA639" s="724"/>
    </row>
    <row r="640" spans="1:27" ht="39.75" customHeight="1">
      <c r="A640" s="1294"/>
      <c r="B640" s="1115"/>
      <c r="C640" s="1296" t="s">
        <v>1248</v>
      </c>
      <c r="D640" s="1162"/>
      <c r="E640" s="1212"/>
      <c r="F640" s="1346"/>
      <c r="G640" s="1151"/>
      <c r="H640" s="233" t="s">
        <v>4</v>
      </c>
      <c r="I640" s="347" t="s">
        <v>5396</v>
      </c>
      <c r="J640" s="260" t="s">
        <v>6179</v>
      </c>
      <c r="K640" s="313">
        <v>0</v>
      </c>
      <c r="L640" s="231" t="s">
        <v>5905</v>
      </c>
      <c r="M640" s="194"/>
      <c r="N640" s="1196">
        <f>A640</f>
        <v>0</v>
      </c>
      <c r="O640" s="1145"/>
      <c r="P640" s="1185"/>
      <c r="Q640" s="658" t="str">
        <f t="shared" si="80"/>
        <v>Q1460625F38</v>
      </c>
      <c r="R640" s="605" t="str">
        <f t="shared" si="79"/>
        <v>پیچ سر شش گوش فلنچی ( رووی موتور است )</v>
      </c>
      <c r="S640" s="617">
        <f t="shared" si="79"/>
        <v>0</v>
      </c>
      <c r="T640" s="639">
        <v>21</v>
      </c>
      <c r="U640" s="639">
        <v>24</v>
      </c>
      <c r="V640" s="639">
        <v>27</v>
      </c>
      <c r="W640" s="591" t="s">
        <v>5531</v>
      </c>
      <c r="X640" s="639" t="s">
        <v>5435</v>
      </c>
      <c r="Y640" s="665" t="s">
        <v>5594</v>
      </c>
      <c r="Z640" s="665" t="s">
        <v>5442</v>
      </c>
      <c r="AA640" s="731" t="s">
        <v>5595</v>
      </c>
    </row>
    <row r="641" spans="1:34" ht="39.75" customHeight="1">
      <c r="A641" s="1294"/>
      <c r="B641" s="1115"/>
      <c r="C641" s="1296" t="s">
        <v>1248</v>
      </c>
      <c r="D641" s="1162"/>
      <c r="E641" s="1212"/>
      <c r="F641" s="1346"/>
      <c r="G641" s="1151"/>
      <c r="H641" s="233" t="s">
        <v>5155</v>
      </c>
      <c r="I641" s="456" t="s">
        <v>1904</v>
      </c>
      <c r="J641" s="260" t="s">
        <v>1903</v>
      </c>
      <c r="K641" s="313" t="s">
        <v>5159</v>
      </c>
      <c r="L641" s="231" t="s">
        <v>5901</v>
      </c>
      <c r="M641" s="194"/>
      <c r="N641" s="1196">
        <f>A641</f>
        <v>0</v>
      </c>
      <c r="O641" s="1145"/>
      <c r="P641" s="1185"/>
      <c r="Q641" s="658" t="str">
        <f t="shared" si="80"/>
        <v>C0603000FB</v>
      </c>
      <c r="R641" s="605" t="str">
        <f t="shared" si="79"/>
        <v>روغن روانکار کمپرسور</v>
      </c>
      <c r="S641" s="617" t="str">
        <f t="shared" si="79"/>
        <v>0.5 میلی لیتر</v>
      </c>
      <c r="T641" s="589"/>
      <c r="U641" s="589"/>
      <c r="V641" s="589"/>
      <c r="W641" s="589"/>
      <c r="X641" s="590"/>
      <c r="Y641" s="590"/>
      <c r="Z641" s="589"/>
      <c r="AA641" s="724"/>
    </row>
    <row r="642" spans="1:34" ht="39.75" customHeight="1">
      <c r="A642" s="1294"/>
      <c r="B642" s="1151" t="s">
        <v>1900</v>
      </c>
      <c r="C642" s="1154" t="s">
        <v>1902</v>
      </c>
      <c r="D642" s="1209" t="s">
        <v>5040</v>
      </c>
      <c r="E642" s="1126"/>
      <c r="F642" s="1151">
        <v>3.2972549999999998</v>
      </c>
      <c r="G642" s="977" t="s">
        <v>0</v>
      </c>
      <c r="H642" s="977" t="s">
        <v>5073</v>
      </c>
      <c r="I642" s="977"/>
      <c r="J642" s="298" t="s">
        <v>1901</v>
      </c>
      <c r="K642" s="977">
        <v>1</v>
      </c>
      <c r="L642" s="231" t="s">
        <v>5903</v>
      </c>
      <c r="M642" s="194"/>
      <c r="N642" s="1196">
        <f t="shared" ref="N642:N643" si="83">A642</f>
        <v>0</v>
      </c>
      <c r="O642" s="1116" t="str">
        <f>C642</f>
        <v>نصب مجموعه پلوس راست</v>
      </c>
      <c r="P642" s="1117" t="str">
        <f>D642</f>
        <v>SX7H-2203-1</v>
      </c>
      <c r="Q642" s="586" t="str">
        <f t="shared" si="80"/>
        <v>SX7H-2203020</v>
      </c>
      <c r="R642" s="585" t="str">
        <f t="shared" si="79"/>
        <v>مجموعه پلوس راست</v>
      </c>
      <c r="S642" s="586">
        <f t="shared" si="79"/>
        <v>1</v>
      </c>
      <c r="T642" s="589"/>
      <c r="U642" s="589"/>
      <c r="V642" s="589"/>
      <c r="W642" s="589"/>
      <c r="X642" s="590"/>
      <c r="Y642" s="590"/>
      <c r="Z642" s="589"/>
      <c r="AA642" s="724"/>
    </row>
    <row r="643" spans="1:34" ht="30" customHeight="1">
      <c r="A643" s="1294"/>
      <c r="B643" s="1151"/>
      <c r="C643" s="1154" t="s">
        <v>1248</v>
      </c>
      <c r="D643" s="1209"/>
      <c r="E643" s="1126"/>
      <c r="F643" s="1151"/>
      <c r="G643" s="941" t="s">
        <v>1</v>
      </c>
      <c r="H643" s="825" t="s">
        <v>6183</v>
      </c>
      <c r="I643" s="825"/>
      <c r="J643" s="647" t="s">
        <v>1503</v>
      </c>
      <c r="K643" s="941">
        <v>3</v>
      </c>
      <c r="L643" s="231" t="s">
        <v>5908</v>
      </c>
      <c r="M643" s="194"/>
      <c r="N643" s="1196">
        <f t="shared" si="83"/>
        <v>0</v>
      </c>
      <c r="O643" s="1116"/>
      <c r="P643" s="1117"/>
      <c r="Q643" s="635" t="str">
        <f t="shared" si="80"/>
        <v>Q1851035TF38</v>
      </c>
      <c r="R643" s="585" t="str">
        <f t="shared" si="79"/>
        <v xml:space="preserve">پیچ فلنجی شش گوش </v>
      </c>
      <c r="S643" s="586">
        <f t="shared" si="79"/>
        <v>3</v>
      </c>
      <c r="T643" s="639">
        <v>40</v>
      </c>
      <c r="U643" s="639">
        <v>45</v>
      </c>
      <c r="V643" s="639">
        <v>50</v>
      </c>
      <c r="W643" s="591" t="s">
        <v>5445</v>
      </c>
      <c r="X643" s="639" t="s">
        <v>5446</v>
      </c>
      <c r="Y643" s="639" t="s">
        <v>5599</v>
      </c>
      <c r="Z643" s="639" t="s">
        <v>5448</v>
      </c>
      <c r="AA643" s="731" t="s">
        <v>5600</v>
      </c>
    </row>
    <row r="644" spans="1:34" ht="37.5">
      <c r="A644" s="1294"/>
      <c r="B644" s="1160" t="s">
        <v>1900</v>
      </c>
      <c r="C644" s="1152" t="s">
        <v>6145</v>
      </c>
      <c r="D644" s="1120" t="s">
        <v>6146</v>
      </c>
      <c r="E644" s="1122"/>
      <c r="F644" s="1160"/>
      <c r="G644" s="918" t="s">
        <v>0</v>
      </c>
      <c r="H644" s="877" t="s">
        <v>5629</v>
      </c>
      <c r="I644" s="977" t="s">
        <v>5795</v>
      </c>
      <c r="J644" s="268" t="s">
        <v>5247</v>
      </c>
      <c r="K644" s="977">
        <v>1</v>
      </c>
      <c r="L644" s="785" t="s">
        <v>6165</v>
      </c>
      <c r="M644" s="194"/>
      <c r="N644" s="1199"/>
      <c r="O644" s="1152" t="str">
        <f>C644</f>
        <v>مونتاژ پمپ آب برقی به موتور</v>
      </c>
      <c r="P644" s="1120"/>
      <c r="Q644" s="878" t="str">
        <f>H644</f>
        <v>SX5KCT-1307-0001C5</v>
      </c>
      <c r="R644" s="820" t="str">
        <f>J644</f>
        <v xml:space="preserve">مجموعه پمپ آب برقی </v>
      </c>
      <c r="S644" s="792">
        <f>K644</f>
        <v>1</v>
      </c>
      <c r="T644" s="879"/>
      <c r="U644" s="879"/>
      <c r="V644" s="879"/>
      <c r="W644" s="880"/>
      <c r="X644" s="879"/>
      <c r="Y644" s="879"/>
      <c r="Z644" s="879"/>
      <c r="AA644" s="881"/>
    </row>
    <row r="645" spans="1:34" ht="30" customHeight="1">
      <c r="A645" s="1294"/>
      <c r="B645" s="1161"/>
      <c r="C645" s="1153"/>
      <c r="D645" s="1121"/>
      <c r="E645" s="1123"/>
      <c r="F645" s="1161"/>
      <c r="G645" s="917" t="s">
        <v>1</v>
      </c>
      <c r="H645" s="401" t="s">
        <v>690</v>
      </c>
      <c r="I645" s="977"/>
      <c r="J645" s="246" t="s">
        <v>5248</v>
      </c>
      <c r="K645" s="977">
        <v>1</v>
      </c>
      <c r="L645" s="785" t="s">
        <v>5901</v>
      </c>
      <c r="M645" s="194"/>
      <c r="N645" s="1199"/>
      <c r="O645" s="1153"/>
      <c r="P645" s="1121"/>
      <c r="Q645" s="878" t="str">
        <f>H645</f>
        <v>Q673C27F62</v>
      </c>
      <c r="R645" s="820" t="str">
        <f>J645</f>
        <v>بست</v>
      </c>
      <c r="S645" s="792">
        <f>K645</f>
        <v>1</v>
      </c>
      <c r="T645" s="879"/>
      <c r="U645" s="879"/>
      <c r="V645" s="879"/>
      <c r="W645" s="880"/>
      <c r="X645" s="879" t="s">
        <v>6128</v>
      </c>
      <c r="Y645" s="879"/>
      <c r="Z645" s="879"/>
      <c r="AA645" s="881"/>
    </row>
    <row r="646" spans="1:34" ht="39.75" customHeight="1" thickBot="1">
      <c r="A646" s="1295"/>
      <c r="B646" s="934" t="s">
        <v>1900</v>
      </c>
      <c r="C646" s="754" t="s">
        <v>1899</v>
      </c>
      <c r="D646" s="755" t="s">
        <v>1898</v>
      </c>
      <c r="E646" s="457" t="s">
        <v>37</v>
      </c>
      <c r="F646" s="934">
        <v>1.21</v>
      </c>
      <c r="G646" s="279" t="s">
        <v>0</v>
      </c>
      <c r="H646" s="458" t="s">
        <v>5151</v>
      </c>
      <c r="I646" s="458"/>
      <c r="J646" s="281" t="s">
        <v>1897</v>
      </c>
      <c r="K646" s="934" t="s">
        <v>5278</v>
      </c>
      <c r="L646" s="250"/>
      <c r="M646" s="194"/>
      <c r="N646" s="1200">
        <f>A646</f>
        <v>0</v>
      </c>
      <c r="O646" s="754" t="str">
        <f t="shared" ref="O646:O650" si="84">C646</f>
        <v xml:space="preserve">  تزریق روغن موتور</v>
      </c>
      <c r="P646" s="755" t="str">
        <f>D646</f>
        <v>SX5-1000-6</v>
      </c>
      <c r="Q646" s="713" t="str">
        <f t="shared" si="80"/>
        <v xml:space="preserve">C0605010FT-03    </v>
      </c>
      <c r="R646" s="282" t="str">
        <f t="shared" si="79"/>
        <v>روغن موتور</v>
      </c>
      <c r="S646" s="714" t="str">
        <f t="shared" si="79"/>
        <v>…</v>
      </c>
      <c r="T646" s="283"/>
      <c r="U646" s="283"/>
      <c r="V646" s="283"/>
      <c r="W646" s="283"/>
      <c r="X646" s="284"/>
      <c r="Y646" s="284"/>
      <c r="Z646" s="283"/>
      <c r="AA646" s="285"/>
    </row>
    <row r="647" spans="1:34" ht="48.75" customHeight="1">
      <c r="A647" s="1293" t="s">
        <v>1890</v>
      </c>
      <c r="B647" s="946" t="s">
        <v>1890</v>
      </c>
      <c r="C647" s="943" t="s">
        <v>1896</v>
      </c>
      <c r="D647" s="944" t="s">
        <v>5040</v>
      </c>
      <c r="E647" s="945"/>
      <c r="F647" s="946">
        <v>0.83694000000000002</v>
      </c>
      <c r="G647" s="997" t="s">
        <v>0</v>
      </c>
      <c r="H647" s="997" t="s">
        <v>5074</v>
      </c>
      <c r="I647" s="997"/>
      <c r="J647" s="221" t="s">
        <v>1895</v>
      </c>
      <c r="K647" s="997">
        <v>1</v>
      </c>
      <c r="L647" s="222" t="s">
        <v>5909</v>
      </c>
      <c r="M647" s="194"/>
      <c r="N647" s="1195" t="str">
        <f>A647</f>
        <v>E03</v>
      </c>
      <c r="O647" s="943" t="str">
        <f t="shared" si="84"/>
        <v>نصب مجموعه پلوس چپ</v>
      </c>
      <c r="P647" s="944" t="str">
        <f>D647</f>
        <v>SX7H-2203-1</v>
      </c>
      <c r="Q647" s="225" t="str">
        <f t="shared" si="80"/>
        <v>SX7H-2203010</v>
      </c>
      <c r="R647" s="224" t="str">
        <f t="shared" si="79"/>
        <v>مجموعه پلوس جلو - چپ</v>
      </c>
      <c r="S647" s="225">
        <f t="shared" si="79"/>
        <v>1</v>
      </c>
      <c r="T647" s="226"/>
      <c r="U647" s="226"/>
      <c r="V647" s="226"/>
      <c r="W647" s="226"/>
      <c r="X647" s="227"/>
      <c r="Y647" s="227"/>
      <c r="Z647" s="226"/>
      <c r="AA647" s="228"/>
    </row>
    <row r="648" spans="1:34" ht="47.25" customHeight="1">
      <c r="A648" s="1294"/>
      <c r="B648" s="913" t="s">
        <v>1890</v>
      </c>
      <c r="C648" s="914" t="s">
        <v>1894</v>
      </c>
      <c r="D648" s="915" t="s">
        <v>1893</v>
      </c>
      <c r="E648" s="838"/>
      <c r="F648" s="913">
        <v>0.51504000000000005</v>
      </c>
      <c r="G648" s="842" t="s">
        <v>1371</v>
      </c>
      <c r="H648" s="842" t="s">
        <v>1411</v>
      </c>
      <c r="I648" s="842"/>
      <c r="J648" s="830" t="s">
        <v>1464</v>
      </c>
      <c r="K648" s="842" t="s">
        <v>1371</v>
      </c>
      <c r="L648" s="802"/>
      <c r="M648" s="194"/>
      <c r="N648" s="1196"/>
      <c r="O648" s="914" t="str">
        <f t="shared" si="84"/>
        <v>مهار پلوس ها بر روی موتور</v>
      </c>
      <c r="P648" s="915" t="str">
        <f>D648</f>
        <v>SX5-8101-7</v>
      </c>
      <c r="Q648" s="611" t="str">
        <f t="shared" si="80"/>
        <v>-------</v>
      </c>
      <c r="R648" s="610" t="str">
        <f t="shared" si="79"/>
        <v>---------</v>
      </c>
      <c r="S648" s="611" t="str">
        <f t="shared" si="79"/>
        <v>---</v>
      </c>
      <c r="T648" s="589"/>
      <c r="U648" s="589"/>
      <c r="V648" s="589"/>
      <c r="W648" s="589"/>
      <c r="X648" s="590"/>
      <c r="Y648" s="590"/>
      <c r="Z648" s="589"/>
      <c r="AA648" s="724"/>
    </row>
    <row r="649" spans="1:34" ht="47.25" customHeight="1">
      <c r="A649" s="1294"/>
      <c r="B649" s="993" t="s">
        <v>1890</v>
      </c>
      <c r="C649" s="970" t="s">
        <v>1892</v>
      </c>
      <c r="D649" s="1028"/>
      <c r="E649" s="916"/>
      <c r="F649" s="993">
        <v>1.9</v>
      </c>
      <c r="G649" s="941"/>
      <c r="H649" s="941"/>
      <c r="I649" s="941"/>
      <c r="J649" s="647"/>
      <c r="K649" s="941"/>
      <c r="L649" s="802"/>
      <c r="M649" s="194"/>
      <c r="N649" s="1196"/>
      <c r="O649" s="970" t="str">
        <f t="shared" si="84"/>
        <v>ارسال موتور به ایستگاه مریج</v>
      </c>
      <c r="P649" s="1028" t="s">
        <v>1393</v>
      </c>
      <c r="Q649" s="586">
        <f t="shared" si="80"/>
        <v>0</v>
      </c>
      <c r="R649" s="585">
        <f t="shared" si="79"/>
        <v>0</v>
      </c>
      <c r="S649" s="586">
        <f t="shared" si="79"/>
        <v>0</v>
      </c>
      <c r="T649" s="589"/>
      <c r="U649" s="589"/>
      <c r="V649" s="589"/>
      <c r="W649" s="589"/>
      <c r="X649" s="590"/>
      <c r="Y649" s="590"/>
      <c r="Z649" s="589"/>
      <c r="AA649" s="724"/>
    </row>
    <row r="650" spans="1:34" ht="47.25" customHeight="1">
      <c r="A650" s="1294"/>
      <c r="B650" s="993" t="s">
        <v>1890</v>
      </c>
      <c r="C650" s="970" t="s">
        <v>1891</v>
      </c>
      <c r="D650" s="1028"/>
      <c r="E650" s="916"/>
      <c r="F650" s="993">
        <v>2</v>
      </c>
      <c r="G650" s="941"/>
      <c r="H650" s="941"/>
      <c r="I650" s="941"/>
      <c r="J650" s="647"/>
      <c r="K650" s="941"/>
      <c r="L650" s="802"/>
      <c r="M650" s="194"/>
      <c r="N650" s="1196"/>
      <c r="O650" s="970" t="str">
        <f t="shared" si="84"/>
        <v>نشاندن موتور روی جیگ مریج</v>
      </c>
      <c r="P650" s="1028" t="s">
        <v>1393</v>
      </c>
      <c r="Q650" s="586">
        <f t="shared" si="80"/>
        <v>0</v>
      </c>
      <c r="R650" s="585">
        <f t="shared" si="79"/>
        <v>0</v>
      </c>
      <c r="S650" s="586">
        <f t="shared" si="79"/>
        <v>0</v>
      </c>
      <c r="T650" s="589"/>
      <c r="U650" s="589"/>
      <c r="V650" s="589"/>
      <c r="W650" s="589"/>
      <c r="X650" s="590"/>
      <c r="Y650" s="590"/>
      <c r="Z650" s="589"/>
      <c r="AA650" s="724"/>
    </row>
    <row r="651" spans="1:34" ht="47.25" customHeight="1">
      <c r="A651" s="1294"/>
      <c r="B651" s="1138" t="s">
        <v>1890</v>
      </c>
      <c r="C651" s="1298" t="s">
        <v>5003</v>
      </c>
      <c r="D651" s="1155" t="s">
        <v>98</v>
      </c>
      <c r="E651" s="1122"/>
      <c r="F651" s="1138"/>
      <c r="G651" s="941" t="s">
        <v>0</v>
      </c>
      <c r="H651" s="459" t="s">
        <v>97</v>
      </c>
      <c r="I651" s="941"/>
      <c r="J651" s="647" t="s">
        <v>5004</v>
      </c>
      <c r="K651" s="941">
        <v>1</v>
      </c>
      <c r="L651" s="802" t="s">
        <v>5901</v>
      </c>
      <c r="M651" s="194"/>
      <c r="N651" s="1196"/>
      <c r="O651" s="1198" t="s">
        <v>5003</v>
      </c>
      <c r="P651" s="1197" t="s">
        <v>98</v>
      </c>
      <c r="Q651" s="635" t="s">
        <v>97</v>
      </c>
      <c r="R651" s="585" t="s">
        <v>5004</v>
      </c>
      <c r="S651" s="586"/>
      <c r="T651" s="589"/>
      <c r="U651" s="589"/>
      <c r="V651" s="589"/>
      <c r="W651" s="589"/>
      <c r="X651" s="590"/>
      <c r="Y651" s="590"/>
      <c r="Z651" s="589"/>
      <c r="AA651" s="724"/>
    </row>
    <row r="652" spans="1:34" ht="47.25" customHeight="1">
      <c r="A652" s="1294"/>
      <c r="B652" s="1238"/>
      <c r="C652" s="1170"/>
      <c r="D652" s="1156"/>
      <c r="E652" s="1123"/>
      <c r="F652" s="1139"/>
      <c r="G652" s="941" t="s">
        <v>1</v>
      </c>
      <c r="H652" s="459" t="s">
        <v>21</v>
      </c>
      <c r="I652" s="941" t="s">
        <v>5777</v>
      </c>
      <c r="J652" s="647" t="s">
        <v>1247</v>
      </c>
      <c r="K652" s="941">
        <v>1</v>
      </c>
      <c r="L652" s="802" t="s">
        <v>5905</v>
      </c>
      <c r="M652" s="194"/>
      <c r="N652" s="1196"/>
      <c r="O652" s="1198"/>
      <c r="P652" s="1197"/>
      <c r="Q652" s="635" t="s">
        <v>21</v>
      </c>
      <c r="R652" s="585" t="s">
        <v>1247</v>
      </c>
      <c r="S652" s="586"/>
      <c r="T652" s="590">
        <v>6</v>
      </c>
      <c r="U652" s="590">
        <v>8</v>
      </c>
      <c r="V652" s="590">
        <v>10</v>
      </c>
      <c r="W652" s="590" t="s">
        <v>5601</v>
      </c>
      <c r="X652" s="590" t="s">
        <v>5432</v>
      </c>
      <c r="Y652" s="590" t="s">
        <v>5576</v>
      </c>
      <c r="Z652" s="589"/>
      <c r="AA652" s="724"/>
    </row>
    <row r="653" spans="1:34" ht="47.25" customHeight="1">
      <c r="A653" s="1294"/>
      <c r="B653" s="1119" t="s">
        <v>1890</v>
      </c>
      <c r="C653" s="1116" t="s">
        <v>1889</v>
      </c>
      <c r="D653" s="1117" t="s">
        <v>5001</v>
      </c>
      <c r="E653" s="1122"/>
      <c r="F653" s="1160">
        <v>1.4378200000000001</v>
      </c>
      <c r="G653" s="941" t="s">
        <v>0</v>
      </c>
      <c r="H653" s="941" t="s">
        <v>94</v>
      </c>
      <c r="I653" s="941"/>
      <c r="J653" s="647" t="s">
        <v>5002</v>
      </c>
      <c r="K653" s="941">
        <v>1</v>
      </c>
      <c r="L653" s="802" t="s">
        <v>5910</v>
      </c>
      <c r="M653" s="194"/>
      <c r="N653" s="1196"/>
      <c r="O653" s="1116" t="str">
        <f>C653</f>
        <v>نصب سنسور اکسیژن</v>
      </c>
      <c r="P653" s="1117" t="str">
        <f>D653</f>
        <v>SX7H-3610-1
SX5GCT-3610-3</v>
      </c>
      <c r="Q653" s="586" t="str">
        <f>H653</f>
        <v>T5-3611010</v>
      </c>
      <c r="R653" s="585" t="str">
        <f>J653</f>
        <v>سنسور اکسیژن جلو</v>
      </c>
      <c r="S653" s="586">
        <f>K653</f>
        <v>1</v>
      </c>
      <c r="T653" s="639">
        <v>40</v>
      </c>
      <c r="U653" s="639">
        <v>45</v>
      </c>
      <c r="V653" s="639">
        <v>50</v>
      </c>
      <c r="W653" s="591" t="s">
        <v>5602</v>
      </c>
      <c r="X653" s="639" t="s">
        <v>5603</v>
      </c>
      <c r="Y653" s="639" t="s">
        <v>5604</v>
      </c>
      <c r="Z653" s="589"/>
      <c r="AA653" s="724"/>
    </row>
    <row r="654" spans="1:34" ht="47.25" customHeight="1">
      <c r="A654" s="1294"/>
      <c r="B654" s="1119"/>
      <c r="C654" s="1116"/>
      <c r="D654" s="1117"/>
      <c r="E654" s="1123"/>
      <c r="F654" s="1161"/>
      <c r="G654" s="941" t="s">
        <v>0</v>
      </c>
      <c r="H654" s="975" t="s">
        <v>95</v>
      </c>
      <c r="I654" s="975"/>
      <c r="J654" s="241" t="s">
        <v>5421</v>
      </c>
      <c r="K654" s="975">
        <v>1</v>
      </c>
      <c r="L654" s="802" t="s">
        <v>5910</v>
      </c>
      <c r="M654" s="194"/>
      <c r="N654" s="1196"/>
      <c r="O654" s="1116"/>
      <c r="P654" s="1117"/>
      <c r="Q654" s="586" t="str">
        <f>H654</f>
        <v>A-3610610</v>
      </c>
      <c r="R654" s="585" t="str">
        <f>J654</f>
        <v>سنسور اکسیژن پایین</v>
      </c>
      <c r="S654" s="586">
        <f>K654</f>
        <v>1</v>
      </c>
      <c r="T654" s="639"/>
      <c r="U654" s="639"/>
      <c r="V654" s="639"/>
      <c r="W654" s="591"/>
      <c r="X654" s="639"/>
      <c r="Y654" s="639" t="s">
        <v>5604</v>
      </c>
      <c r="Z654" s="589"/>
      <c r="AA654" s="724"/>
    </row>
    <row r="655" spans="1:34" s="460" customFormat="1" ht="54" customHeight="1" thickBot="1">
      <c r="A655" s="1295"/>
      <c r="B655" s="953" t="s">
        <v>1890</v>
      </c>
      <c r="C655" s="930" t="s">
        <v>6175</v>
      </c>
      <c r="D655" s="932" t="s">
        <v>6174</v>
      </c>
      <c r="E655" s="985"/>
      <c r="F655" s="950"/>
      <c r="G655" s="1008"/>
      <c r="H655" s="861"/>
      <c r="I655" s="953"/>
      <c r="J655" s="272"/>
      <c r="K655" s="953"/>
      <c r="L655" s="250"/>
      <c r="M655" s="194"/>
      <c r="N655" s="1196"/>
      <c r="O655" s="914" t="str">
        <f>C655</f>
        <v xml:space="preserve">تخلیه ضد یخ موتور T5 PLUS </v>
      </c>
      <c r="P655" s="915" t="str">
        <f>D655</f>
        <v>T5PE-1001-1</v>
      </c>
      <c r="Q655" s="586"/>
      <c r="R655" s="585"/>
      <c r="S655" s="586"/>
      <c r="T655" s="639"/>
      <c r="U655" s="639"/>
      <c r="V655" s="639"/>
      <c r="W655" s="591"/>
      <c r="X655" s="590"/>
      <c r="Y655" s="590"/>
      <c r="Z655" s="590"/>
      <c r="AA655" s="733"/>
      <c r="AB655" s="194"/>
      <c r="AC655" s="194"/>
      <c r="AD655" s="194"/>
      <c r="AE655" s="194"/>
      <c r="AF655" s="194"/>
      <c r="AG655" s="194"/>
      <c r="AH655" s="194"/>
    </row>
    <row r="656" spans="1:34" ht="36" customHeight="1" thickBot="1">
      <c r="A656" s="757"/>
      <c r="B656" s="461"/>
      <c r="C656" s="989" t="s">
        <v>1248</v>
      </c>
      <c r="D656" s="462"/>
      <c r="E656" s="463"/>
      <c r="F656" s="463"/>
      <c r="G656" s="463"/>
      <c r="H656" s="464" t="s">
        <v>1888</v>
      </c>
      <c r="I656" s="463"/>
      <c r="J656" s="465"/>
      <c r="K656" s="461"/>
      <c r="L656" s="466"/>
      <c r="M656" s="197"/>
      <c r="N656" s="1384" t="s">
        <v>1888</v>
      </c>
      <c r="O656" s="1385"/>
      <c r="P656" s="1385"/>
      <c r="Q656" s="1385"/>
      <c r="R656" s="1385"/>
      <c r="S656" s="1385"/>
      <c r="T656" s="1385"/>
      <c r="U656" s="1385"/>
      <c r="V656" s="1385"/>
      <c r="W656" s="1385"/>
      <c r="X656" s="1385"/>
      <c r="Y656" s="1385"/>
      <c r="Z656" s="1385"/>
      <c r="AA656" s="1386"/>
    </row>
    <row r="657" spans="1:27" ht="35.25" customHeight="1">
      <c r="A657" s="1177" t="s">
        <v>5773</v>
      </c>
      <c r="B657" s="992" t="s">
        <v>1847</v>
      </c>
      <c r="C657" s="966" t="s">
        <v>1887</v>
      </c>
      <c r="D657" s="967" t="s">
        <v>1886</v>
      </c>
      <c r="E657" s="1000"/>
      <c r="F657" s="946">
        <v>4.26</v>
      </c>
      <c r="G657" s="255" t="s">
        <v>1371</v>
      </c>
      <c r="H657" s="255" t="s">
        <v>1464</v>
      </c>
      <c r="I657" s="255"/>
      <c r="J657" s="256" t="s">
        <v>1372</v>
      </c>
      <c r="K657" s="255" t="s">
        <v>1371</v>
      </c>
      <c r="L657" s="257"/>
      <c r="M657" s="194"/>
      <c r="N657" s="1135" t="s">
        <v>5773</v>
      </c>
      <c r="O657" s="966" t="str">
        <f t="shared" ref="O657:O658" si="85">C657</f>
        <v xml:space="preserve">قرار دادن رام جلو روی جیگ مونتاژ  </v>
      </c>
      <c r="P657" s="967" t="str">
        <f>D657</f>
        <v>SX5-8101-9</v>
      </c>
      <c r="Q657" s="346" t="str">
        <f t="shared" si="80"/>
        <v>---------</v>
      </c>
      <c r="R657" s="345" t="str">
        <f t="shared" si="79"/>
        <v>--------</v>
      </c>
      <c r="S657" s="346" t="str">
        <f t="shared" si="79"/>
        <v>---</v>
      </c>
      <c r="T657" s="226"/>
      <c r="U657" s="226"/>
      <c r="V657" s="226"/>
      <c r="W657" s="226"/>
      <c r="X657" s="227"/>
      <c r="Y657" s="227"/>
      <c r="Z657" s="226"/>
      <c r="AA657" s="228"/>
    </row>
    <row r="658" spans="1:27" ht="35.25" customHeight="1">
      <c r="A658" s="1178"/>
      <c r="B658" s="1160" t="s">
        <v>1847</v>
      </c>
      <c r="C658" s="1152" t="s">
        <v>1885</v>
      </c>
      <c r="D658" s="1120" t="s">
        <v>320</v>
      </c>
      <c r="E658" s="1122" t="s">
        <v>4973</v>
      </c>
      <c r="F658" s="1160">
        <v>2.61</v>
      </c>
      <c r="G658" s="952" t="s">
        <v>0</v>
      </c>
      <c r="H658" s="952" t="s">
        <v>5791</v>
      </c>
      <c r="I658" s="952" t="s">
        <v>5224</v>
      </c>
      <c r="J658" s="230" t="s">
        <v>1884</v>
      </c>
      <c r="K658" s="952">
        <v>1</v>
      </c>
      <c r="L658" s="231" t="s">
        <v>5929</v>
      </c>
      <c r="M658" s="194"/>
      <c r="N658" s="1136"/>
      <c r="O658" s="1116" t="str">
        <f t="shared" si="85"/>
        <v>مونتاژ رام جلو به بدنه</v>
      </c>
      <c r="P658" s="1117" t="str">
        <f>D658</f>
        <v>SX5-2810-3</v>
      </c>
      <c r="Q658" s="586" t="str">
        <f t="shared" si="80"/>
        <v>SX5KCT-2810-0003C1</v>
      </c>
      <c r="R658" s="585" t="str">
        <f t="shared" si="79"/>
        <v>مجموعه فریم کمکی جلو (رام)</v>
      </c>
      <c r="S658" s="586">
        <f t="shared" si="79"/>
        <v>1</v>
      </c>
      <c r="T658" s="589"/>
      <c r="U658" s="589"/>
      <c r="V658" s="589"/>
      <c r="W658" s="589"/>
      <c r="X658" s="590"/>
      <c r="Y658" s="590"/>
      <c r="Z658" s="589"/>
      <c r="AA658" s="724"/>
    </row>
    <row r="659" spans="1:27" ht="35.25" customHeight="1">
      <c r="A659" s="1178"/>
      <c r="B659" s="1227"/>
      <c r="C659" s="1201" t="s">
        <v>1248</v>
      </c>
      <c r="D659" s="1202"/>
      <c r="E659" s="1165"/>
      <c r="F659" s="1227"/>
      <c r="G659" s="952" t="s">
        <v>1</v>
      </c>
      <c r="H659" s="952" t="s">
        <v>321</v>
      </c>
      <c r="I659" s="952"/>
      <c r="J659" s="230" t="s">
        <v>1781</v>
      </c>
      <c r="K659" s="952">
        <v>2</v>
      </c>
      <c r="L659" s="231" t="s">
        <v>5930</v>
      </c>
      <c r="M659" s="194"/>
      <c r="N659" s="1136"/>
      <c r="O659" s="1116"/>
      <c r="P659" s="1117"/>
      <c r="Q659" s="586" t="str">
        <f t="shared" si="80"/>
        <v>B20-2810035C</v>
      </c>
      <c r="R659" s="585" t="str">
        <f t="shared" si="79"/>
        <v xml:space="preserve"> پیچ بلند اتصال عقب رام به بدنه (بدون واشر)</v>
      </c>
      <c r="S659" s="586">
        <f t="shared" si="79"/>
        <v>2</v>
      </c>
      <c r="T659" s="666">
        <v>120</v>
      </c>
      <c r="U659" s="666">
        <v>130</v>
      </c>
      <c r="V659" s="666">
        <v>140</v>
      </c>
      <c r="W659" s="667" t="s">
        <v>5606</v>
      </c>
      <c r="X659" s="590" t="s">
        <v>5607</v>
      </c>
      <c r="Y659" s="590" t="s">
        <v>5608</v>
      </c>
      <c r="Z659" s="666" t="s">
        <v>5609</v>
      </c>
      <c r="AA659" s="734" t="s">
        <v>5610</v>
      </c>
    </row>
    <row r="660" spans="1:27" ht="41.25" customHeight="1">
      <c r="A660" s="1178"/>
      <c r="B660" s="1227"/>
      <c r="C660" s="1201" t="s">
        <v>1248</v>
      </c>
      <c r="D660" s="1202"/>
      <c r="E660" s="1165"/>
      <c r="F660" s="1227"/>
      <c r="G660" s="952" t="s">
        <v>2</v>
      </c>
      <c r="H660" s="952" t="s">
        <v>5772</v>
      </c>
      <c r="I660" s="952" t="s">
        <v>5411</v>
      </c>
      <c r="J660" s="230" t="s">
        <v>1780</v>
      </c>
      <c r="K660" s="952">
        <v>2</v>
      </c>
      <c r="L660" s="231" t="s">
        <v>5931</v>
      </c>
      <c r="M660" s="194"/>
      <c r="N660" s="1136"/>
      <c r="O660" s="1116"/>
      <c r="P660" s="1117"/>
      <c r="Q660" s="586" t="str">
        <f>I660</f>
        <v>SX7-2810013B</v>
      </c>
      <c r="R660" s="585" t="str">
        <f t="shared" si="79"/>
        <v xml:space="preserve"> پیچ اتصال وسط رام به بدنه</v>
      </c>
      <c r="S660" s="586">
        <f t="shared" si="79"/>
        <v>2</v>
      </c>
      <c r="T660" s="666">
        <v>120</v>
      </c>
      <c r="U660" s="666">
        <v>130</v>
      </c>
      <c r="V660" s="666">
        <v>140</v>
      </c>
      <c r="W660" s="667" t="s">
        <v>5606</v>
      </c>
      <c r="X660" s="590" t="s">
        <v>5607</v>
      </c>
      <c r="Y660" s="590" t="s">
        <v>5608</v>
      </c>
      <c r="Z660" s="666" t="s">
        <v>5609</v>
      </c>
      <c r="AA660" s="734" t="s">
        <v>5610</v>
      </c>
    </row>
    <row r="661" spans="1:27" ht="35.25" customHeight="1">
      <c r="A661" s="1178"/>
      <c r="B661" s="1161"/>
      <c r="C661" s="1153" t="s">
        <v>1248</v>
      </c>
      <c r="D661" s="1121"/>
      <c r="E661" s="1123"/>
      <c r="F661" s="1161"/>
      <c r="G661" s="952" t="s">
        <v>7</v>
      </c>
      <c r="H661" s="952" t="s">
        <v>5316</v>
      </c>
      <c r="I661" s="952" t="s">
        <v>324</v>
      </c>
      <c r="J661" s="230" t="s">
        <v>1587</v>
      </c>
      <c r="K661" s="952">
        <v>4</v>
      </c>
      <c r="L661" s="231" t="s">
        <v>5930</v>
      </c>
      <c r="M661" s="194"/>
      <c r="N661" s="1136"/>
      <c r="O661" s="1116"/>
      <c r="P661" s="1117"/>
      <c r="Q661" s="586" t="str">
        <f t="shared" si="80"/>
        <v>Q1861025TF62</v>
      </c>
      <c r="R661" s="585" t="str">
        <f t="shared" si="79"/>
        <v xml:space="preserve">پیچ فلنجی سر شش گوش </v>
      </c>
      <c r="S661" s="586">
        <f t="shared" si="79"/>
        <v>4</v>
      </c>
      <c r="T661" s="666">
        <v>72</v>
      </c>
      <c r="U661" s="666">
        <v>80</v>
      </c>
      <c r="V661" s="666">
        <v>88</v>
      </c>
      <c r="W661" s="667" t="s">
        <v>5611</v>
      </c>
      <c r="X661" s="590" t="s">
        <v>5612</v>
      </c>
      <c r="Y661" s="590" t="s">
        <v>5613</v>
      </c>
      <c r="Z661" s="666" t="s">
        <v>5504</v>
      </c>
      <c r="AA661" s="735" t="s">
        <v>5614</v>
      </c>
    </row>
    <row r="662" spans="1:27" ht="35.25" customHeight="1">
      <c r="A662" s="1178"/>
      <c r="B662" s="1160" t="s">
        <v>1868</v>
      </c>
      <c r="C662" s="1152" t="s">
        <v>1883</v>
      </c>
      <c r="D662" s="1120" t="s">
        <v>1778</v>
      </c>
      <c r="E662" s="1122" t="s">
        <v>4973</v>
      </c>
      <c r="F662" s="1160">
        <v>0.5</v>
      </c>
      <c r="G662" s="952" t="s">
        <v>0</v>
      </c>
      <c r="H662" s="952" t="s">
        <v>1882</v>
      </c>
      <c r="I662" s="952"/>
      <c r="J662" s="230" t="s">
        <v>1881</v>
      </c>
      <c r="K662" s="952">
        <v>2</v>
      </c>
      <c r="L662" s="231" t="s">
        <v>5930</v>
      </c>
      <c r="M662" s="194"/>
      <c r="N662" s="1136"/>
      <c r="O662" s="1116" t="str">
        <f>C662</f>
        <v xml:space="preserve">اتصال بازوي سيستم تعليق جلو به دیسک و توپی  </v>
      </c>
      <c r="P662" s="1117" t="str">
        <f>D662</f>
        <v>SX5-2904-4</v>
      </c>
      <c r="Q662" s="586" t="str">
        <f t="shared" si="80"/>
        <v>B20-2904011B</v>
      </c>
      <c r="R662" s="585" t="str">
        <f t="shared" si="79"/>
        <v>پیچ اتصال بازوی تعلیق جلو به دیسک و توپی</v>
      </c>
      <c r="S662" s="586">
        <f t="shared" si="79"/>
        <v>2</v>
      </c>
      <c r="T662" s="589"/>
      <c r="U662" s="589"/>
      <c r="V662" s="589"/>
      <c r="W662" s="589"/>
      <c r="X662" s="590"/>
      <c r="Y662" s="590"/>
      <c r="Z662" s="589"/>
      <c r="AA662" s="724"/>
    </row>
    <row r="663" spans="1:27" ht="35.25" customHeight="1">
      <c r="A663" s="1178"/>
      <c r="B663" s="1227"/>
      <c r="C663" s="1201" t="s">
        <v>1248</v>
      </c>
      <c r="D663" s="1202"/>
      <c r="E663" s="1165"/>
      <c r="F663" s="1227"/>
      <c r="G663" s="952" t="s">
        <v>1</v>
      </c>
      <c r="H663" s="315" t="s">
        <v>1880</v>
      </c>
      <c r="I663" s="315"/>
      <c r="J663" s="230" t="s">
        <v>1455</v>
      </c>
      <c r="K663" s="952">
        <v>2</v>
      </c>
      <c r="L663" s="231" t="s">
        <v>5930</v>
      </c>
      <c r="M663" s="194"/>
      <c r="N663" s="1136"/>
      <c r="O663" s="1116"/>
      <c r="P663" s="1117"/>
      <c r="Q663" s="619" t="str">
        <f t="shared" si="80"/>
        <v>SX5G-2810821</v>
      </c>
      <c r="R663" s="585" t="str">
        <f t="shared" si="79"/>
        <v>مهره فلنجی</v>
      </c>
      <c r="S663" s="586">
        <f t="shared" si="79"/>
        <v>2</v>
      </c>
      <c r="T663" s="666">
        <v>120</v>
      </c>
      <c r="U663" s="666" t="s">
        <v>5615</v>
      </c>
      <c r="V663" s="666">
        <v>140</v>
      </c>
      <c r="W663" s="667" t="s">
        <v>5616</v>
      </c>
      <c r="X663" s="590" t="s">
        <v>5597</v>
      </c>
      <c r="Y663" s="590" t="s">
        <v>5617</v>
      </c>
      <c r="Z663" s="666" t="s">
        <v>5504</v>
      </c>
      <c r="AA663" s="734" t="s">
        <v>5618</v>
      </c>
    </row>
    <row r="664" spans="1:27" ht="35.25" customHeight="1">
      <c r="A664" s="1178"/>
      <c r="B664" s="1161"/>
      <c r="C664" s="1153" t="s">
        <v>1248</v>
      </c>
      <c r="D664" s="1121"/>
      <c r="E664" s="1123"/>
      <c r="F664" s="1161"/>
      <c r="G664" s="952" t="s">
        <v>824</v>
      </c>
      <c r="H664" s="315" t="s">
        <v>328</v>
      </c>
      <c r="I664" s="315"/>
      <c r="J664" s="230" t="s">
        <v>1879</v>
      </c>
      <c r="K664" s="952">
        <v>2</v>
      </c>
      <c r="L664" s="231" t="s">
        <v>5932</v>
      </c>
      <c r="M664" s="194"/>
      <c r="N664" s="1136"/>
      <c r="O664" s="1116"/>
      <c r="P664" s="1117"/>
      <c r="Q664" s="619" t="str">
        <f t="shared" si="80"/>
        <v>B20-2810022B</v>
      </c>
      <c r="R664" s="585" t="str">
        <f t="shared" si="79"/>
        <v>واشر</v>
      </c>
      <c r="S664" s="586">
        <f t="shared" si="79"/>
        <v>2</v>
      </c>
      <c r="T664" s="589"/>
      <c r="U664" s="589"/>
      <c r="V664" s="589"/>
      <c r="W664" s="589"/>
      <c r="X664" s="590"/>
      <c r="Y664" s="590"/>
      <c r="Z664" s="589"/>
      <c r="AA664" s="724"/>
    </row>
    <row r="665" spans="1:27" ht="35.25" customHeight="1">
      <c r="A665" s="1178"/>
      <c r="B665" s="1160" t="s">
        <v>1847</v>
      </c>
      <c r="C665" s="1152" t="s">
        <v>1878</v>
      </c>
      <c r="D665" s="1120" t="s">
        <v>1877</v>
      </c>
      <c r="E665" s="1122" t="s">
        <v>4973</v>
      </c>
      <c r="F665" s="1124">
        <v>0.8</v>
      </c>
      <c r="G665" s="952" t="s">
        <v>1</v>
      </c>
      <c r="H665" s="952" t="s">
        <v>625</v>
      </c>
      <c r="I665" s="952"/>
      <c r="J665" s="230" t="s">
        <v>1876</v>
      </c>
      <c r="K665" s="952">
        <v>2</v>
      </c>
      <c r="L665" s="231" t="s">
        <v>5930</v>
      </c>
      <c r="M665" s="194"/>
      <c r="N665" s="1136"/>
      <c r="O665" s="1116" t="str">
        <f>C665</f>
        <v xml:space="preserve">اتصال پولوس ها به دیسک و توپی  </v>
      </c>
      <c r="P665" s="1117" t="str">
        <f>D665</f>
        <v>SX5K-2200-2</v>
      </c>
      <c r="Q665" s="586" t="str">
        <f t="shared" si="80"/>
        <v>B-2203081</v>
      </c>
      <c r="R665" s="585" t="str">
        <f t="shared" si="79"/>
        <v>مهره سر پلوس</v>
      </c>
      <c r="S665" s="586">
        <f t="shared" si="79"/>
        <v>2</v>
      </c>
      <c r="T665" s="666">
        <v>280</v>
      </c>
      <c r="U665" s="668" t="s">
        <v>5619</v>
      </c>
      <c r="V665" s="666">
        <v>310</v>
      </c>
      <c r="W665" s="667" t="s">
        <v>5620</v>
      </c>
      <c r="X665" s="590" t="s">
        <v>5621</v>
      </c>
      <c r="Y665" s="590" t="s">
        <v>5622</v>
      </c>
      <c r="Z665" s="666" t="s">
        <v>5623</v>
      </c>
      <c r="AA665" s="735" t="s">
        <v>5624</v>
      </c>
    </row>
    <row r="666" spans="1:27" ht="35.25" customHeight="1">
      <c r="A666" s="1178"/>
      <c r="B666" s="1161"/>
      <c r="C666" s="1153" t="s">
        <v>1248</v>
      </c>
      <c r="D666" s="1121"/>
      <c r="E666" s="1123"/>
      <c r="F666" s="1260"/>
      <c r="G666" s="952" t="s">
        <v>2</v>
      </c>
      <c r="H666" s="229" t="s">
        <v>626</v>
      </c>
      <c r="I666" s="229"/>
      <c r="J666" s="230" t="s">
        <v>1875</v>
      </c>
      <c r="K666" s="952">
        <v>2</v>
      </c>
      <c r="L666" s="231" t="s">
        <v>5932</v>
      </c>
      <c r="M666" s="194"/>
      <c r="N666" s="1136"/>
      <c r="O666" s="1116"/>
      <c r="P666" s="1117"/>
      <c r="Q666" s="584" t="str">
        <f t="shared" si="80"/>
        <v>Q5004040F36</v>
      </c>
      <c r="R666" s="585" t="str">
        <f t="shared" si="79"/>
        <v>اشپیل مهره پلوس</v>
      </c>
      <c r="S666" s="586">
        <f t="shared" si="79"/>
        <v>2</v>
      </c>
      <c r="T666" s="589"/>
      <c r="U666" s="589"/>
      <c r="V666" s="589"/>
      <c r="W666" s="589"/>
      <c r="X666" s="590"/>
      <c r="Y666" s="590"/>
      <c r="Z666" s="589"/>
      <c r="AA666" s="724"/>
    </row>
    <row r="667" spans="1:27" ht="35.25" customHeight="1">
      <c r="A667" s="1178"/>
      <c r="B667" s="935" t="s">
        <v>1847</v>
      </c>
      <c r="C667" s="929" t="s">
        <v>1874</v>
      </c>
      <c r="D667" s="931" t="s">
        <v>1776</v>
      </c>
      <c r="E667" s="939" t="s">
        <v>4973</v>
      </c>
      <c r="F667" s="935">
        <v>0.6</v>
      </c>
      <c r="G667" s="952" t="s">
        <v>0</v>
      </c>
      <c r="H667" s="234" t="s">
        <v>1863</v>
      </c>
      <c r="I667" s="315"/>
      <c r="J667" s="230" t="s">
        <v>1455</v>
      </c>
      <c r="K667" s="952">
        <v>2</v>
      </c>
      <c r="L667" s="231" t="s">
        <v>5930</v>
      </c>
      <c r="M667" s="194"/>
      <c r="N667" s="1136"/>
      <c r="O667" s="914" t="str">
        <f t="shared" ref="O667:O671" si="86">C667</f>
        <v>اتصال میل تعادل به اکسل جلو</v>
      </c>
      <c r="P667" s="915" t="str">
        <f>D667</f>
        <v>SX5-2906-3</v>
      </c>
      <c r="Q667" s="593" t="str">
        <f t="shared" si="80"/>
        <v>SX5G-2810821</v>
      </c>
      <c r="R667" s="585" t="str">
        <f t="shared" si="79"/>
        <v>مهره فلنجی</v>
      </c>
      <c r="S667" s="586">
        <f t="shared" si="79"/>
        <v>2</v>
      </c>
      <c r="T667" s="666">
        <v>110</v>
      </c>
      <c r="U667" s="666">
        <v>115</v>
      </c>
      <c r="V667" s="666">
        <v>120</v>
      </c>
      <c r="W667" s="667" t="s">
        <v>5616</v>
      </c>
      <c r="X667" s="590" t="s">
        <v>5625</v>
      </c>
      <c r="Y667" s="590" t="s">
        <v>5617</v>
      </c>
      <c r="Z667" s="666" t="s">
        <v>5609</v>
      </c>
      <c r="AA667" s="734" t="s">
        <v>5610</v>
      </c>
    </row>
    <row r="668" spans="1:27" ht="39.75" customHeight="1" thickBot="1">
      <c r="A668" s="1178"/>
      <c r="B668" s="1232" t="s">
        <v>1847</v>
      </c>
      <c r="C668" s="1274" t="s">
        <v>5047</v>
      </c>
      <c r="D668" s="1162" t="s">
        <v>5035</v>
      </c>
      <c r="E668" s="1163"/>
      <c r="F668" s="1375"/>
      <c r="G668" s="935" t="s">
        <v>0</v>
      </c>
      <c r="H668" s="933" t="s">
        <v>5349</v>
      </c>
      <c r="I668" s="347"/>
      <c r="J668" s="260" t="s">
        <v>5048</v>
      </c>
      <c r="K668" s="313">
        <v>1</v>
      </c>
      <c r="L668" s="231" t="s">
        <v>5930</v>
      </c>
      <c r="M668" s="194"/>
      <c r="N668" s="1136"/>
      <c r="O668" s="1145" t="s">
        <v>5047</v>
      </c>
      <c r="P668" s="1185" t="s">
        <v>5035</v>
      </c>
      <c r="Q668" s="643" t="s">
        <v>5349</v>
      </c>
      <c r="R668" s="605" t="s">
        <v>5048</v>
      </c>
      <c r="S668" s="617">
        <v>1</v>
      </c>
      <c r="T668" s="589"/>
      <c r="U668" s="589"/>
      <c r="V668" s="589"/>
      <c r="W668" s="589"/>
      <c r="X668" s="590"/>
      <c r="Y668" s="590"/>
      <c r="Z668" s="589"/>
      <c r="AA668" s="724"/>
    </row>
    <row r="669" spans="1:27" ht="39.75" customHeight="1">
      <c r="A669" s="1178"/>
      <c r="B669" s="1222"/>
      <c r="C669" s="1276"/>
      <c r="D669" s="1162"/>
      <c r="E669" s="1164"/>
      <c r="F669" s="1376"/>
      <c r="G669" s="935" t="s">
        <v>1</v>
      </c>
      <c r="H669" s="933" t="s">
        <v>5350</v>
      </c>
      <c r="I669" s="456"/>
      <c r="J669" s="260" t="s">
        <v>5010</v>
      </c>
      <c r="K669" s="313">
        <v>4</v>
      </c>
      <c r="L669" s="231" t="s">
        <v>5931</v>
      </c>
      <c r="M669" s="194"/>
      <c r="N669" s="1136"/>
      <c r="O669" s="1145"/>
      <c r="P669" s="1185"/>
      <c r="Q669" s="643" t="s">
        <v>5596</v>
      </c>
      <c r="R669" s="605" t="s">
        <v>5010</v>
      </c>
      <c r="S669" s="617">
        <v>4</v>
      </c>
      <c r="T669" s="590">
        <v>80</v>
      </c>
      <c r="U669" s="590">
        <v>90</v>
      </c>
      <c r="V669" s="590">
        <v>100</v>
      </c>
      <c r="W669" s="589"/>
      <c r="X669" s="590" t="s">
        <v>5597</v>
      </c>
      <c r="Y669" s="590" t="s">
        <v>5598</v>
      </c>
      <c r="Z669" s="589"/>
      <c r="AA669" s="724"/>
    </row>
    <row r="670" spans="1:27" ht="60" customHeight="1">
      <c r="A670" s="1178"/>
      <c r="B670" s="935" t="s">
        <v>1868</v>
      </c>
      <c r="C670" s="929" t="s">
        <v>1873</v>
      </c>
      <c r="D670" s="931" t="s">
        <v>1773</v>
      </c>
      <c r="E670" s="939" t="s">
        <v>4973</v>
      </c>
      <c r="F670" s="935">
        <v>0.9</v>
      </c>
      <c r="G670" s="292" t="s">
        <v>1371</v>
      </c>
      <c r="H670" s="234" t="s">
        <v>1872</v>
      </c>
      <c r="I670" s="952"/>
      <c r="J670" s="230" t="s">
        <v>6034</v>
      </c>
      <c r="K670" s="952">
        <v>2</v>
      </c>
      <c r="L670" s="299"/>
      <c r="M670" s="194"/>
      <c r="N670" s="1136"/>
      <c r="O670" s="914" t="str">
        <f t="shared" si="86"/>
        <v>اتصال سیبک جعبه فرمان به دیسک و توپی</v>
      </c>
      <c r="P670" s="915" t="str">
        <f>D670</f>
        <v>SX5-3401-2</v>
      </c>
      <c r="Q670" s="593" t="str">
        <f t="shared" si="80"/>
        <v>Q33810</v>
      </c>
      <c r="R670" s="585" t="str">
        <f t="shared" si="79"/>
        <v xml:space="preserve">مهره قفلی  (همراه رام میاد) </v>
      </c>
      <c r="S670" s="586">
        <f t="shared" si="79"/>
        <v>2</v>
      </c>
      <c r="T670" s="666">
        <v>54</v>
      </c>
      <c r="U670" s="666">
        <v>60</v>
      </c>
      <c r="V670" s="666">
        <v>66</v>
      </c>
      <c r="W670" s="638"/>
      <c r="X670" s="590" t="s">
        <v>5605</v>
      </c>
      <c r="Y670" s="590" t="s">
        <v>5626</v>
      </c>
      <c r="Z670" s="669" t="s">
        <v>5448</v>
      </c>
      <c r="AA670" s="734" t="s">
        <v>6051</v>
      </c>
    </row>
    <row r="671" spans="1:27" ht="35.25" customHeight="1">
      <c r="A671" s="1178"/>
      <c r="B671" s="1160" t="s">
        <v>1868</v>
      </c>
      <c r="C671" s="1152" t="s">
        <v>1871</v>
      </c>
      <c r="D671" s="1120" t="s">
        <v>344</v>
      </c>
      <c r="E671" s="1122" t="s">
        <v>4973</v>
      </c>
      <c r="F671" s="1160">
        <v>1</v>
      </c>
      <c r="G671" s="952" t="s">
        <v>0</v>
      </c>
      <c r="H671" s="952" t="s">
        <v>345</v>
      </c>
      <c r="I671" s="952"/>
      <c r="J671" s="230" t="s">
        <v>1870</v>
      </c>
      <c r="K671" s="952">
        <v>2</v>
      </c>
      <c r="L671" s="231" t="s">
        <v>5933</v>
      </c>
      <c r="M671" s="194"/>
      <c r="N671" s="1136"/>
      <c r="O671" s="1116" t="str">
        <f t="shared" si="86"/>
        <v xml:space="preserve">مونتاژ سنسور سرعت چرخهای جلو  </v>
      </c>
      <c r="P671" s="1117" t="str">
        <f>D671</f>
        <v>SX5-3630-2</v>
      </c>
      <c r="Q671" s="586" t="str">
        <f t="shared" si="80"/>
        <v>SX7-3630030</v>
      </c>
      <c r="R671" s="585" t="str">
        <f t="shared" si="79"/>
        <v xml:space="preserve">سنسور سرعت چرخ جلو </v>
      </c>
      <c r="S671" s="586">
        <f t="shared" si="79"/>
        <v>2</v>
      </c>
      <c r="T671" s="589"/>
      <c r="U671" s="589"/>
      <c r="V671" s="589"/>
      <c r="W671" s="589"/>
      <c r="X671" s="590"/>
      <c r="Y671" s="590"/>
      <c r="Z671" s="589"/>
      <c r="AA671" s="724"/>
    </row>
    <row r="672" spans="1:27" ht="35.25" customHeight="1">
      <c r="A672" s="1178"/>
      <c r="B672" s="1161"/>
      <c r="C672" s="1153" t="s">
        <v>1248</v>
      </c>
      <c r="D672" s="1121"/>
      <c r="E672" s="1123"/>
      <c r="F672" s="1161"/>
      <c r="G672" s="952" t="s">
        <v>1</v>
      </c>
      <c r="H672" s="952" t="s">
        <v>945</v>
      </c>
      <c r="I672" s="952"/>
      <c r="J672" s="230" t="s">
        <v>1499</v>
      </c>
      <c r="K672" s="952">
        <v>2</v>
      </c>
      <c r="L672" s="231" t="s">
        <v>5934</v>
      </c>
      <c r="M672" s="194"/>
      <c r="N672" s="1136"/>
      <c r="O672" s="1116"/>
      <c r="P672" s="1117"/>
      <c r="Q672" s="586" t="str">
        <f>H672</f>
        <v>Q1460616F38</v>
      </c>
      <c r="R672" s="585" t="str">
        <f t="shared" si="79"/>
        <v>پیچ سر شش گوش واشردار</v>
      </c>
      <c r="S672" s="586">
        <f t="shared" si="79"/>
        <v>2</v>
      </c>
      <c r="T672" s="666">
        <v>6</v>
      </c>
      <c r="U672" s="666">
        <v>8</v>
      </c>
      <c r="V672" s="666">
        <v>10</v>
      </c>
      <c r="W672" s="667" t="s">
        <v>5431</v>
      </c>
      <c r="X672" s="590" t="s">
        <v>5432</v>
      </c>
      <c r="Y672" s="590" t="s">
        <v>5627</v>
      </c>
      <c r="Z672" s="587" t="s">
        <v>5442</v>
      </c>
      <c r="AA672" s="734" t="s">
        <v>5628</v>
      </c>
    </row>
    <row r="673" spans="1:27" ht="35.25" customHeight="1">
      <c r="A673" s="1178"/>
      <c r="B673" s="1160" t="s">
        <v>1868</v>
      </c>
      <c r="C673" s="1152" t="s">
        <v>5032</v>
      </c>
      <c r="D673" s="1120" t="s">
        <v>681</v>
      </c>
      <c r="E673" s="1122"/>
      <c r="F673" s="1160"/>
      <c r="G673" s="975" t="s">
        <v>0</v>
      </c>
      <c r="H673" s="300" t="s">
        <v>5347</v>
      </c>
      <c r="I673" s="952" t="s">
        <v>4965</v>
      </c>
      <c r="J673" s="241" t="s">
        <v>5034</v>
      </c>
      <c r="K673" s="975">
        <v>1</v>
      </c>
      <c r="L673" s="231" t="s">
        <v>5930</v>
      </c>
      <c r="M673" s="194"/>
      <c r="N673" s="1136"/>
      <c r="O673" s="1116" t="s">
        <v>5032</v>
      </c>
      <c r="P673" s="1117" t="s">
        <v>681</v>
      </c>
      <c r="Q673" s="586" t="str">
        <f>H673</f>
        <v>SX7H-1001030</v>
      </c>
      <c r="R673" s="585" t="s">
        <v>5034</v>
      </c>
      <c r="S673" s="586"/>
      <c r="T673" s="666"/>
      <c r="U673" s="666"/>
      <c r="V673" s="666"/>
      <c r="W673" s="667"/>
      <c r="X673" s="590"/>
      <c r="Y673" s="590"/>
      <c r="Z673" s="587"/>
      <c r="AA673" s="734"/>
    </row>
    <row r="674" spans="1:27" ht="35.25" customHeight="1">
      <c r="A674" s="1178"/>
      <c r="B674" s="1161"/>
      <c r="C674" s="1153"/>
      <c r="D674" s="1121"/>
      <c r="E674" s="1123"/>
      <c r="F674" s="1161"/>
      <c r="G674" s="975" t="s">
        <v>1</v>
      </c>
      <c r="H674" s="952" t="s">
        <v>669</v>
      </c>
      <c r="I674" s="975"/>
      <c r="J674" s="230" t="s">
        <v>1247</v>
      </c>
      <c r="K674" s="975">
        <v>1</v>
      </c>
      <c r="L674" s="231" t="s">
        <v>5934</v>
      </c>
      <c r="M674" s="194"/>
      <c r="N674" s="1136"/>
      <c r="O674" s="1116"/>
      <c r="P674" s="1117"/>
      <c r="Q674" s="586" t="s">
        <v>669</v>
      </c>
      <c r="R674" s="585" t="s">
        <v>1247</v>
      </c>
      <c r="S674" s="586"/>
      <c r="T674" s="666">
        <v>99</v>
      </c>
      <c r="U674" s="666">
        <v>110</v>
      </c>
      <c r="V674" s="666">
        <v>121</v>
      </c>
      <c r="W674" s="667" t="s">
        <v>5606</v>
      </c>
      <c r="X674" s="590" t="s">
        <v>5625</v>
      </c>
      <c r="Y674" s="590" t="s">
        <v>5617</v>
      </c>
      <c r="Z674" s="666" t="s">
        <v>5609</v>
      </c>
      <c r="AA674" s="734" t="s">
        <v>5610</v>
      </c>
    </row>
    <row r="675" spans="1:27" ht="35.25" customHeight="1" thickBot="1">
      <c r="A675" s="1179"/>
      <c r="B675" s="934" t="s">
        <v>1847</v>
      </c>
      <c r="C675" s="467" t="s">
        <v>1869</v>
      </c>
      <c r="D675" s="468"/>
      <c r="E675" s="942"/>
      <c r="F675" s="934">
        <v>4</v>
      </c>
      <c r="G675" s="953"/>
      <c r="H675" s="953"/>
      <c r="I675" s="953"/>
      <c r="J675" s="272"/>
      <c r="K675" s="953"/>
      <c r="L675" s="263"/>
      <c r="M675" s="194"/>
      <c r="N675" s="1137"/>
      <c r="O675" s="467" t="str">
        <f t="shared" ref="O675:O681" si="87">C675</f>
        <v xml:space="preserve">نصب و تنظیم موتور جهت قرارگیری روی بدنه </v>
      </c>
      <c r="P675" s="468">
        <f>D675</f>
        <v>0</v>
      </c>
      <c r="Q675" s="251">
        <f t="shared" si="80"/>
        <v>0</v>
      </c>
      <c r="R675" s="274">
        <f t="shared" si="79"/>
        <v>0</v>
      </c>
      <c r="S675" s="251">
        <f t="shared" si="79"/>
        <v>0</v>
      </c>
      <c r="T675" s="283"/>
      <c r="U675" s="283"/>
      <c r="V675" s="283"/>
      <c r="W675" s="283"/>
      <c r="X675" s="284"/>
      <c r="Y675" s="284"/>
      <c r="Z675" s="283"/>
      <c r="AA675" s="285"/>
    </row>
    <row r="676" spans="1:27" ht="35.25" customHeight="1">
      <c r="A676" s="1176" t="s">
        <v>6154</v>
      </c>
      <c r="B676" s="1238" t="s">
        <v>1847</v>
      </c>
      <c r="C676" s="1170" t="s">
        <v>6143</v>
      </c>
      <c r="D676" s="1156" t="s">
        <v>6144</v>
      </c>
      <c r="E676" s="1165"/>
      <c r="F676" s="1238"/>
      <c r="G676" s="935" t="s">
        <v>0</v>
      </c>
      <c r="H676" s="401" t="s">
        <v>690</v>
      </c>
      <c r="I676" s="977"/>
      <c r="J676" s="246" t="s">
        <v>5248</v>
      </c>
      <c r="K676" s="977">
        <v>1</v>
      </c>
      <c r="L676" s="231" t="s">
        <v>5931</v>
      </c>
      <c r="M676" s="194"/>
      <c r="N676" s="1167" t="str">
        <f>A676</f>
        <v>P51</v>
      </c>
      <c r="O676" s="1198"/>
      <c r="P676" s="1197"/>
      <c r="Q676" s="670" t="s">
        <v>942</v>
      </c>
      <c r="R676" s="600" t="s">
        <v>5248</v>
      </c>
      <c r="S676" s="586">
        <v>1</v>
      </c>
      <c r="T676" s="589"/>
      <c r="U676" s="589"/>
      <c r="V676" s="589"/>
      <c r="W676" s="589"/>
      <c r="X676" s="590"/>
      <c r="Y676" s="590"/>
      <c r="Z676" s="589"/>
      <c r="AA676" s="724"/>
    </row>
    <row r="677" spans="1:27" ht="35.25" customHeight="1">
      <c r="A677" s="1176"/>
      <c r="B677" s="1139"/>
      <c r="C677" s="1171"/>
      <c r="D677" s="1157"/>
      <c r="E677" s="1123"/>
      <c r="F677" s="1139"/>
      <c r="G677" s="935" t="s">
        <v>1</v>
      </c>
      <c r="H677" s="401" t="s">
        <v>5270</v>
      </c>
      <c r="I677" s="977" t="s">
        <v>3</v>
      </c>
      <c r="J677" s="246" t="s">
        <v>5033</v>
      </c>
      <c r="K677" s="977">
        <v>2</v>
      </c>
      <c r="L677" s="231" t="s">
        <v>5931</v>
      </c>
      <c r="M677" s="194"/>
      <c r="N677" s="1167"/>
      <c r="O677" s="1198"/>
      <c r="P677" s="1197"/>
      <c r="Q677" s="670" t="s">
        <v>5270</v>
      </c>
      <c r="R677" s="600" t="s">
        <v>5033</v>
      </c>
      <c r="S677" s="586">
        <v>2</v>
      </c>
      <c r="T677" s="590">
        <v>8</v>
      </c>
      <c r="U677" s="590">
        <v>10</v>
      </c>
      <c r="V677" s="590">
        <v>12</v>
      </c>
      <c r="W677" s="589"/>
      <c r="X677" s="590" t="s">
        <v>5630</v>
      </c>
      <c r="Y677" s="590" t="s">
        <v>5631</v>
      </c>
      <c r="Z677" s="589"/>
      <c r="AA677" s="724"/>
    </row>
    <row r="678" spans="1:27" ht="35.25" customHeight="1">
      <c r="A678" s="1176"/>
      <c r="B678" s="918" t="s">
        <v>1847</v>
      </c>
      <c r="C678" s="920" t="s">
        <v>1867</v>
      </c>
      <c r="D678" s="922" t="s">
        <v>1866</v>
      </c>
      <c r="E678" s="924" t="s">
        <v>4973</v>
      </c>
      <c r="F678" s="918">
        <v>0.57535000000000003</v>
      </c>
      <c r="G678" s="977" t="s">
        <v>0</v>
      </c>
      <c r="H678" s="977" t="s">
        <v>6166</v>
      </c>
      <c r="I678" s="977"/>
      <c r="J678" s="298" t="s">
        <v>1757</v>
      </c>
      <c r="K678" s="977">
        <v>1</v>
      </c>
      <c r="L678" s="231" t="s">
        <v>5932</v>
      </c>
      <c r="M678" s="194"/>
      <c r="N678" s="1167"/>
      <c r="O678" s="914" t="str">
        <f t="shared" si="87"/>
        <v xml:space="preserve">مونتاژ شاخ گیربکس به دسته موتور چپ  </v>
      </c>
      <c r="P678" s="915" t="str">
        <f>D678</f>
        <v>SX5-1001-5</v>
      </c>
      <c r="Q678" s="586" t="str">
        <f t="shared" si="80"/>
        <v>Q33112T13F38*1.5</v>
      </c>
      <c r="R678" s="585" t="str">
        <f t="shared" si="79"/>
        <v>مهره فلنجی شش گوش تمام فلزی</v>
      </c>
      <c r="S678" s="586">
        <f t="shared" si="79"/>
        <v>1</v>
      </c>
      <c r="T678" s="666">
        <v>100</v>
      </c>
      <c r="U678" s="666">
        <v>110</v>
      </c>
      <c r="V678" s="666">
        <v>120</v>
      </c>
      <c r="W678" s="667" t="s">
        <v>5632</v>
      </c>
      <c r="X678" s="590" t="s">
        <v>5597</v>
      </c>
      <c r="Y678" s="590" t="s">
        <v>5633</v>
      </c>
      <c r="Z678" s="589"/>
      <c r="AA678" s="724"/>
    </row>
    <row r="679" spans="1:27" ht="62.25" customHeight="1">
      <c r="A679" s="1176"/>
      <c r="B679" s="1160" t="s">
        <v>1847</v>
      </c>
      <c r="C679" s="1152" t="s">
        <v>1865</v>
      </c>
      <c r="D679" s="1120" t="s">
        <v>1864</v>
      </c>
      <c r="E679" s="1122" t="s">
        <v>4973</v>
      </c>
      <c r="F679" s="1160">
        <v>0.88836999999999999</v>
      </c>
      <c r="G679" s="952" t="s">
        <v>0</v>
      </c>
      <c r="H679" s="229" t="s">
        <v>6168</v>
      </c>
      <c r="I679" s="229" t="s">
        <v>1863</v>
      </c>
      <c r="J679" s="230" t="s">
        <v>1862</v>
      </c>
      <c r="K679" s="952">
        <v>2</v>
      </c>
      <c r="L679" s="231" t="s">
        <v>5933</v>
      </c>
      <c r="M679" s="194"/>
      <c r="N679" s="1167"/>
      <c r="O679" s="1152" t="str">
        <f t="shared" si="87"/>
        <v>بستن موتور به دسته موتور راست</v>
      </c>
      <c r="P679" s="1120" t="str">
        <f>D679</f>
        <v>SX5K-1001-3</v>
      </c>
      <c r="Q679" s="584" t="str">
        <f t="shared" si="80"/>
        <v>Q32312T13F36</v>
      </c>
      <c r="R679" s="585" t="str">
        <f t="shared" si="79"/>
        <v>مهره فلنجی DTFLOCK</v>
      </c>
      <c r="S679" s="586">
        <f t="shared" si="79"/>
        <v>2</v>
      </c>
      <c r="T679" s="666">
        <v>100</v>
      </c>
      <c r="U679" s="666">
        <v>110</v>
      </c>
      <c r="V679" s="666">
        <v>120</v>
      </c>
      <c r="W679" s="667" t="s">
        <v>5476</v>
      </c>
      <c r="X679" s="590" t="s">
        <v>5634</v>
      </c>
      <c r="Y679" s="590" t="s">
        <v>5635</v>
      </c>
      <c r="Z679" s="589"/>
      <c r="AA679" s="724"/>
    </row>
    <row r="680" spans="1:27" ht="35.25" customHeight="1">
      <c r="A680" s="1176"/>
      <c r="B680" s="1161"/>
      <c r="C680" s="1153"/>
      <c r="D680" s="1121"/>
      <c r="E680" s="1123"/>
      <c r="F680" s="1161"/>
      <c r="G680" s="941" t="s">
        <v>1</v>
      </c>
      <c r="H680" s="882" t="s">
        <v>6169</v>
      </c>
      <c r="I680" s="882"/>
      <c r="J680" s="647" t="s">
        <v>1690</v>
      </c>
      <c r="K680" s="941">
        <v>1</v>
      </c>
      <c r="L680" s="802" t="s">
        <v>5933</v>
      </c>
      <c r="M680" s="194"/>
      <c r="N680" s="1167"/>
      <c r="O680" s="1153"/>
      <c r="P680" s="1121"/>
      <c r="Q680" s="584" t="str">
        <f>H680</f>
        <v>Q1861250TF38*1.25</v>
      </c>
      <c r="R680" s="585" t="str">
        <f>J680</f>
        <v xml:space="preserve">پیچ سر شش گوش </v>
      </c>
      <c r="S680" s="586">
        <v>1</v>
      </c>
      <c r="T680" s="666">
        <v>100</v>
      </c>
      <c r="U680" s="666">
        <v>110</v>
      </c>
      <c r="V680" s="666">
        <v>120</v>
      </c>
      <c r="W680" s="667" t="s">
        <v>5476</v>
      </c>
      <c r="X680" s="590" t="s">
        <v>5634</v>
      </c>
      <c r="Y680" s="590" t="s">
        <v>5635</v>
      </c>
      <c r="Z680" s="589"/>
      <c r="AA680" s="724"/>
    </row>
    <row r="681" spans="1:27" ht="36.75" customHeight="1">
      <c r="A681" s="1176"/>
      <c r="B681" s="1151" t="s">
        <v>1847</v>
      </c>
      <c r="C681" s="1154" t="s">
        <v>1861</v>
      </c>
      <c r="D681" s="1209" t="s">
        <v>1860</v>
      </c>
      <c r="E681" s="1126"/>
      <c r="F681" s="1151">
        <v>2.1469999999999998</v>
      </c>
      <c r="G681" s="952" t="s">
        <v>1</v>
      </c>
      <c r="H681" s="952" t="s">
        <v>1859</v>
      </c>
      <c r="I681" s="952"/>
      <c r="J681" s="230" t="s">
        <v>1858</v>
      </c>
      <c r="K681" s="952">
        <v>1</v>
      </c>
      <c r="L681" s="231" t="s">
        <v>5933</v>
      </c>
      <c r="M681" s="194"/>
      <c r="N681" s="1167"/>
      <c r="O681" s="1116" t="str">
        <f t="shared" si="87"/>
        <v>نصب صفحه محافظ فلایویل</v>
      </c>
      <c r="P681" s="1117" t="str">
        <f>D681</f>
        <v>SX5E-1000-1</v>
      </c>
      <c r="Q681" s="586" t="str">
        <f t="shared" si="80"/>
        <v>471Q-1000051</v>
      </c>
      <c r="R681" s="585" t="str">
        <f t="shared" si="79"/>
        <v>براکت بین گیربکس و موتور</v>
      </c>
      <c r="S681" s="586">
        <f t="shared" si="79"/>
        <v>1</v>
      </c>
      <c r="T681" s="589"/>
      <c r="U681" s="589"/>
      <c r="V681" s="589"/>
      <c r="W681" s="589"/>
      <c r="X681" s="590"/>
      <c r="Y681" s="590"/>
      <c r="Z681" s="589"/>
      <c r="AA681" s="724"/>
    </row>
    <row r="682" spans="1:27" ht="35.25" customHeight="1">
      <c r="A682" s="1176"/>
      <c r="B682" s="1151"/>
      <c r="C682" s="1154" t="s">
        <v>1248</v>
      </c>
      <c r="D682" s="1209"/>
      <c r="E682" s="1126"/>
      <c r="F682" s="1151"/>
      <c r="G682" s="952" t="s">
        <v>0</v>
      </c>
      <c r="H682" s="952" t="s">
        <v>1857</v>
      </c>
      <c r="I682" s="952"/>
      <c r="J682" s="230" t="s">
        <v>1856</v>
      </c>
      <c r="K682" s="952">
        <v>1</v>
      </c>
      <c r="L682" s="231" t="s">
        <v>5935</v>
      </c>
      <c r="M682" s="194"/>
      <c r="N682" s="1167"/>
      <c r="O682" s="1116"/>
      <c r="P682" s="1117"/>
      <c r="Q682" s="586" t="str">
        <f t="shared" si="80"/>
        <v>DAED155383</v>
      </c>
      <c r="R682" s="585" t="str">
        <f t="shared" si="79"/>
        <v>صفحه محافظ فلایویل</v>
      </c>
      <c r="S682" s="586">
        <f t="shared" si="79"/>
        <v>1</v>
      </c>
      <c r="T682" s="589"/>
      <c r="U682" s="589"/>
      <c r="V682" s="589"/>
      <c r="W682" s="589"/>
      <c r="X682" s="590"/>
      <c r="Y682" s="590"/>
      <c r="Z682" s="589"/>
      <c r="AA682" s="724"/>
    </row>
    <row r="683" spans="1:27" ht="35.25" customHeight="1">
      <c r="A683" s="1176"/>
      <c r="B683" s="1151"/>
      <c r="C683" s="1154" t="s">
        <v>1248</v>
      </c>
      <c r="D683" s="1209"/>
      <c r="E683" s="1126"/>
      <c r="F683" s="1151"/>
      <c r="G683" s="952" t="s">
        <v>2</v>
      </c>
      <c r="H683" s="952" t="s">
        <v>1855</v>
      </c>
      <c r="I683" s="952"/>
      <c r="J683" s="230" t="s">
        <v>1852</v>
      </c>
      <c r="K683" s="952">
        <v>2</v>
      </c>
      <c r="L683" s="231" t="s">
        <v>5935</v>
      </c>
      <c r="M683" s="194"/>
      <c r="N683" s="1167"/>
      <c r="O683" s="1116"/>
      <c r="P683" s="1117"/>
      <c r="Q683" s="586" t="str">
        <f t="shared" si="80"/>
        <v>DAED172660</v>
      </c>
      <c r="R683" s="585" t="str">
        <f t="shared" si="79"/>
        <v>پیچ فلنجی شش گوش</v>
      </c>
      <c r="S683" s="586">
        <f t="shared" si="79"/>
        <v>2</v>
      </c>
      <c r="T683" s="666">
        <v>6</v>
      </c>
      <c r="U683" s="666">
        <v>8</v>
      </c>
      <c r="V683" s="666">
        <v>10</v>
      </c>
      <c r="W683" s="667" t="s">
        <v>5431</v>
      </c>
      <c r="X683" s="590" t="s">
        <v>5432</v>
      </c>
      <c r="Y683" s="590" t="s">
        <v>5636</v>
      </c>
      <c r="Z683" s="589"/>
      <c r="AA683" s="724"/>
    </row>
    <row r="684" spans="1:27" ht="35.25" customHeight="1">
      <c r="A684" s="1176"/>
      <c r="B684" s="1151"/>
      <c r="C684" s="1154" t="s">
        <v>1248</v>
      </c>
      <c r="D684" s="1209"/>
      <c r="E684" s="1126"/>
      <c r="F684" s="1151"/>
      <c r="G684" s="952" t="s">
        <v>7</v>
      </c>
      <c r="H684" s="952" t="s">
        <v>1854</v>
      </c>
      <c r="I684" s="952"/>
      <c r="J684" s="230" t="s">
        <v>1852</v>
      </c>
      <c r="K684" s="952">
        <v>2</v>
      </c>
      <c r="L684" s="231" t="s">
        <v>5935</v>
      </c>
      <c r="M684" s="194"/>
      <c r="N684" s="1167"/>
      <c r="O684" s="1116"/>
      <c r="P684" s="1117"/>
      <c r="Q684" s="586" t="str">
        <f t="shared" si="80"/>
        <v>DAED170072</v>
      </c>
      <c r="R684" s="585" t="str">
        <f t="shared" si="79"/>
        <v>پیچ فلنجی شش گوش</v>
      </c>
      <c r="S684" s="586">
        <f t="shared" si="79"/>
        <v>2</v>
      </c>
      <c r="T684" s="666">
        <v>19</v>
      </c>
      <c r="U684" s="666">
        <v>23</v>
      </c>
      <c r="V684" s="666">
        <v>27</v>
      </c>
      <c r="W684" s="667" t="s">
        <v>5637</v>
      </c>
      <c r="X684" s="590" t="s">
        <v>5435</v>
      </c>
      <c r="Y684" s="590" t="s">
        <v>5638</v>
      </c>
      <c r="Z684" s="589"/>
      <c r="AA684" s="724"/>
    </row>
    <row r="685" spans="1:27" ht="35.25" customHeight="1">
      <c r="A685" s="1176"/>
      <c r="B685" s="1151"/>
      <c r="C685" s="1154" t="s">
        <v>1248</v>
      </c>
      <c r="D685" s="1209"/>
      <c r="E685" s="1126"/>
      <c r="F685" s="1151"/>
      <c r="G685" s="952" t="s">
        <v>9</v>
      </c>
      <c r="H685" s="952" t="s">
        <v>1853</v>
      </c>
      <c r="I685" s="952"/>
      <c r="J685" s="230" t="s">
        <v>1852</v>
      </c>
      <c r="K685" s="952">
        <v>2</v>
      </c>
      <c r="L685" s="231" t="s">
        <v>5935</v>
      </c>
      <c r="M685" s="194"/>
      <c r="N685" s="1167"/>
      <c r="O685" s="1116"/>
      <c r="P685" s="1117"/>
      <c r="Q685" s="586" t="str">
        <f t="shared" si="80"/>
        <v>DAED170177</v>
      </c>
      <c r="R685" s="585" t="str">
        <f t="shared" si="79"/>
        <v>پیچ فلنجی شش گوش</v>
      </c>
      <c r="S685" s="586">
        <f t="shared" si="79"/>
        <v>2</v>
      </c>
      <c r="T685" s="666">
        <v>30</v>
      </c>
      <c r="U685" s="666">
        <v>35</v>
      </c>
      <c r="V685" s="666">
        <v>40</v>
      </c>
      <c r="W685" s="667" t="s">
        <v>5639</v>
      </c>
      <c r="X685" s="590" t="s">
        <v>5446</v>
      </c>
      <c r="Y685" s="590" t="s">
        <v>5640</v>
      </c>
      <c r="Z685" s="589"/>
      <c r="AA685" s="724"/>
    </row>
    <row r="686" spans="1:27" ht="35.25" customHeight="1">
      <c r="A686" s="1176"/>
      <c r="B686" s="935" t="s">
        <v>1847</v>
      </c>
      <c r="C686" s="929" t="s">
        <v>1851</v>
      </c>
      <c r="D686" s="931" t="s">
        <v>5037</v>
      </c>
      <c r="E686" s="939" t="s">
        <v>37</v>
      </c>
      <c r="F686" s="935">
        <v>0.67</v>
      </c>
      <c r="G686" s="952" t="s">
        <v>0</v>
      </c>
      <c r="H686" s="354" t="s">
        <v>690</v>
      </c>
      <c r="I686" s="354"/>
      <c r="J686" s="230" t="s">
        <v>1621</v>
      </c>
      <c r="K686" s="952">
        <v>2</v>
      </c>
      <c r="L686" s="231" t="s">
        <v>5934</v>
      </c>
      <c r="M686" s="194"/>
      <c r="N686" s="1167"/>
      <c r="O686" s="914" t="str">
        <f>C686</f>
        <v xml:space="preserve">اتصال لوله خروجی آب رادیاتور به موتور  </v>
      </c>
      <c r="P686" s="915" t="str">
        <f>D686</f>
        <v>SX7H-1303-10</v>
      </c>
      <c r="Q686" s="635" t="str">
        <f t="shared" si="80"/>
        <v>Q673C27F62</v>
      </c>
      <c r="R686" s="585" t="str">
        <f t="shared" si="79"/>
        <v>بست فلزی فشاری</v>
      </c>
      <c r="S686" s="586">
        <f t="shared" si="79"/>
        <v>2</v>
      </c>
      <c r="T686" s="589"/>
      <c r="U686" s="589"/>
      <c r="V686" s="589"/>
      <c r="W686" s="589"/>
      <c r="X686" s="590"/>
      <c r="Y686" s="590"/>
      <c r="Z686" s="589"/>
      <c r="AA686" s="724"/>
    </row>
    <row r="687" spans="1:27" ht="35.25" customHeight="1">
      <c r="A687" s="1176"/>
      <c r="B687" s="1151" t="s">
        <v>1847</v>
      </c>
      <c r="C687" s="1154" t="s">
        <v>1850</v>
      </c>
      <c r="D687" s="1209" t="s">
        <v>1770</v>
      </c>
      <c r="E687" s="1126" t="s">
        <v>4973</v>
      </c>
      <c r="F687" s="1151">
        <v>1.9578</v>
      </c>
      <c r="G687" s="952" t="s">
        <v>0</v>
      </c>
      <c r="H687" s="952" t="s">
        <v>1849</v>
      </c>
      <c r="I687" s="952"/>
      <c r="J687" s="230" t="s">
        <v>1848</v>
      </c>
      <c r="K687" s="952">
        <v>1</v>
      </c>
      <c r="L687" s="231" t="s">
        <v>5933</v>
      </c>
      <c r="M687" s="194"/>
      <c r="N687" s="1167"/>
      <c r="O687" s="1116" t="str">
        <f>C687</f>
        <v>نصب و اتصال دسته موتور پایین به میل کراواتی</v>
      </c>
      <c r="P687" s="1117" t="str">
        <f>D687</f>
        <v>SX5K-1001-2</v>
      </c>
      <c r="Q687" s="586" t="str">
        <f t="shared" si="80"/>
        <v>SX5K-1001132</v>
      </c>
      <c r="R687" s="585" t="str">
        <f t="shared" si="79"/>
        <v>دسته موتور پایین
(میل کراواتی)</v>
      </c>
      <c r="S687" s="586">
        <f t="shared" si="79"/>
        <v>1</v>
      </c>
      <c r="T687" s="589"/>
      <c r="U687" s="589"/>
      <c r="V687" s="589"/>
      <c r="W687" s="589"/>
      <c r="X687" s="590"/>
      <c r="Y687" s="590"/>
      <c r="Z687" s="589"/>
      <c r="AA687" s="724"/>
    </row>
    <row r="688" spans="1:27" ht="67.5" customHeight="1">
      <c r="A688" s="1176"/>
      <c r="B688" s="1151"/>
      <c r="C688" s="1154"/>
      <c r="D688" s="1209"/>
      <c r="E688" s="1126"/>
      <c r="F688" s="1151"/>
      <c r="G688" s="952" t="s">
        <v>1</v>
      </c>
      <c r="H688" s="229" t="s">
        <v>6139</v>
      </c>
      <c r="I688" s="229"/>
      <c r="J688" s="230" t="s">
        <v>1503</v>
      </c>
      <c r="K688" s="952">
        <v>1</v>
      </c>
      <c r="L688" s="231" t="s">
        <v>5932</v>
      </c>
      <c r="M688" s="194"/>
      <c r="N688" s="1167"/>
      <c r="O688" s="1116"/>
      <c r="P688" s="1117"/>
      <c r="Q688" s="584" t="str">
        <f t="shared" si="80"/>
        <v>Q1851275TF38</v>
      </c>
      <c r="R688" s="585" t="str">
        <f t="shared" si="79"/>
        <v xml:space="preserve">پیچ فلنجی شش گوش </v>
      </c>
      <c r="S688" s="586">
        <f t="shared" si="79"/>
        <v>1</v>
      </c>
      <c r="T688" s="606">
        <v>65</v>
      </c>
      <c r="U688" s="606">
        <v>70</v>
      </c>
      <c r="V688" s="606">
        <v>75</v>
      </c>
      <c r="W688" s="667" t="s">
        <v>5476</v>
      </c>
      <c r="X688" s="590" t="s">
        <v>5641</v>
      </c>
      <c r="Y688" s="590" t="s">
        <v>5642</v>
      </c>
      <c r="Z688" s="666" t="s">
        <v>5448</v>
      </c>
      <c r="AA688" s="734" t="s">
        <v>5643</v>
      </c>
    </row>
    <row r="689" spans="1:34" s="470" customFormat="1" ht="35.25" customHeight="1" thickBot="1">
      <c r="A689" s="1236"/>
      <c r="B689" s="953" t="s">
        <v>1847</v>
      </c>
      <c r="C689" s="930" t="s">
        <v>1846</v>
      </c>
      <c r="D689" s="932" t="s">
        <v>1845</v>
      </c>
      <c r="E689" s="942"/>
      <c r="F689" s="936">
        <v>0.68820000000000003</v>
      </c>
      <c r="G689" s="953" t="s">
        <v>0</v>
      </c>
      <c r="H689" s="953" t="s">
        <v>6153</v>
      </c>
      <c r="I689" s="953"/>
      <c r="J689" s="272" t="s">
        <v>1689</v>
      </c>
      <c r="K689" s="953">
        <v>1</v>
      </c>
      <c r="L689" s="250" t="s">
        <v>5936</v>
      </c>
      <c r="M689" s="194"/>
      <c r="N689" s="1168"/>
      <c r="O689" s="930" t="s">
        <v>1846</v>
      </c>
      <c r="P689" s="932" t="s">
        <v>1845</v>
      </c>
      <c r="Q689" s="471" t="str">
        <f t="shared" ref="Q689:Q751" si="88">H689</f>
        <v>SX7A-1119252</v>
      </c>
      <c r="R689" s="274" t="s">
        <v>5647</v>
      </c>
      <c r="S689" s="251">
        <f t="shared" ref="R689:S749" si="89">K689</f>
        <v>1</v>
      </c>
      <c r="T689" s="472"/>
      <c r="U689" s="472"/>
      <c r="V689" s="472"/>
      <c r="W689" s="473"/>
      <c r="X689" s="284"/>
      <c r="Y689" s="284"/>
      <c r="Z689" s="472"/>
      <c r="AA689" s="474"/>
      <c r="AB689" s="194"/>
      <c r="AC689" s="194"/>
      <c r="AD689" s="194"/>
      <c r="AE689" s="194"/>
      <c r="AF689" s="194"/>
      <c r="AG689" s="194"/>
      <c r="AH689" s="194"/>
    </row>
    <row r="690" spans="1:34" ht="35.25" customHeight="1">
      <c r="A690" s="1177" t="s">
        <v>5774</v>
      </c>
      <c r="B690" s="946" t="s">
        <v>1814</v>
      </c>
      <c r="C690" s="1010" t="s">
        <v>1844</v>
      </c>
      <c r="D690" s="1011" t="s">
        <v>1843</v>
      </c>
      <c r="E690" s="945"/>
      <c r="F690" s="946">
        <v>1.162355</v>
      </c>
      <c r="G690" s="255" t="s">
        <v>1371</v>
      </c>
      <c r="H690" s="255" t="s">
        <v>1464</v>
      </c>
      <c r="I690" s="255"/>
      <c r="J690" s="256" t="s">
        <v>1372</v>
      </c>
      <c r="K690" s="255" t="s">
        <v>1371</v>
      </c>
      <c r="L690" s="257"/>
      <c r="M690" s="194"/>
      <c r="N690" s="1135" t="s">
        <v>5774</v>
      </c>
      <c r="O690" s="943" t="str">
        <f t="shared" ref="O690:O691" si="90">C690</f>
        <v xml:space="preserve">نشاندن اکسل عقب روی جیگ </v>
      </c>
      <c r="P690" s="944" t="str">
        <f>D690</f>
        <v>SX5-5101-10</v>
      </c>
      <c r="Q690" s="225" t="str">
        <f>H690</f>
        <v>---------</v>
      </c>
      <c r="R690" s="224" t="str">
        <f>J690</f>
        <v>--------</v>
      </c>
      <c r="S690" s="225" t="str">
        <f>K690</f>
        <v>---</v>
      </c>
      <c r="T690" s="226"/>
      <c r="U690" s="226"/>
      <c r="V690" s="226"/>
      <c r="W690" s="226"/>
      <c r="X690" s="227"/>
      <c r="Y690" s="227"/>
      <c r="Z690" s="226"/>
      <c r="AA690" s="228"/>
    </row>
    <row r="691" spans="1:34" ht="35.25" customHeight="1">
      <c r="A691" s="1178"/>
      <c r="B691" s="1138" t="s">
        <v>1814</v>
      </c>
      <c r="C691" s="1152" t="s">
        <v>1842</v>
      </c>
      <c r="D691" s="1120" t="s">
        <v>326</v>
      </c>
      <c r="E691" s="1122" t="s">
        <v>4973</v>
      </c>
      <c r="F691" s="1160">
        <v>10.6</v>
      </c>
      <c r="G691" s="952" t="s">
        <v>0</v>
      </c>
      <c r="H691" s="952" t="s">
        <v>325</v>
      </c>
      <c r="I691" s="952"/>
      <c r="J691" s="230" t="s">
        <v>1841</v>
      </c>
      <c r="K691" s="952">
        <v>8</v>
      </c>
      <c r="L691" s="231" t="s">
        <v>5934</v>
      </c>
      <c r="M691" s="194"/>
      <c r="N691" s="1136"/>
      <c r="O691" s="1145" t="str">
        <f t="shared" si="90"/>
        <v>مونتاژ اکسل عقب</v>
      </c>
      <c r="P691" s="1185" t="str">
        <f>D691</f>
        <v>SX5-2810-4</v>
      </c>
      <c r="Q691" s="611" t="str">
        <f t="shared" si="88"/>
        <v>BM3-2400103</v>
      </c>
      <c r="R691" s="610" t="str">
        <f t="shared" si="89"/>
        <v>پیچ فلنجی سر شش گوش - کوتاه تمام رزوه</v>
      </c>
      <c r="S691" s="611">
        <f t="shared" si="89"/>
        <v>8</v>
      </c>
      <c r="T691" s="589"/>
      <c r="U691" s="589"/>
      <c r="V691" s="589"/>
      <c r="W691" s="589"/>
      <c r="X691" s="590"/>
      <c r="Y691" s="590"/>
      <c r="Z691" s="589"/>
      <c r="AA691" s="724"/>
    </row>
    <row r="692" spans="1:34" ht="35.25" customHeight="1">
      <c r="A692" s="1178"/>
      <c r="B692" s="1238"/>
      <c r="C692" s="1201"/>
      <c r="D692" s="1202"/>
      <c r="E692" s="1165"/>
      <c r="F692" s="1227"/>
      <c r="G692" s="952" t="s">
        <v>1</v>
      </c>
      <c r="H692" s="952" t="s">
        <v>327</v>
      </c>
      <c r="I692" s="952"/>
      <c r="J692" s="230" t="s">
        <v>1840</v>
      </c>
      <c r="K692" s="952">
        <v>4</v>
      </c>
      <c r="L692" s="231" t="s">
        <v>5933</v>
      </c>
      <c r="M692" s="194"/>
      <c r="N692" s="1136"/>
      <c r="O692" s="1145"/>
      <c r="P692" s="1185"/>
      <c r="Q692" s="586" t="str">
        <f t="shared" si="88"/>
        <v>B20-2810021B</v>
      </c>
      <c r="R692" s="585" t="str">
        <f t="shared" si="89"/>
        <v xml:space="preserve"> پیچ اتصال پشت اکسل عقب - بلند نیم رزوه</v>
      </c>
      <c r="S692" s="586">
        <f t="shared" si="89"/>
        <v>4</v>
      </c>
      <c r="T692" s="666">
        <v>120</v>
      </c>
      <c r="U692" s="666">
        <v>130</v>
      </c>
      <c r="V692" s="666">
        <v>140</v>
      </c>
      <c r="W692" s="667" t="s">
        <v>5606</v>
      </c>
      <c r="X692" s="666" t="s">
        <v>5648</v>
      </c>
      <c r="Y692" s="666" t="s">
        <v>5649</v>
      </c>
      <c r="Z692" s="666" t="s">
        <v>5650</v>
      </c>
      <c r="AA692" s="734" t="s">
        <v>5651</v>
      </c>
    </row>
    <row r="693" spans="1:34" ht="35.25" customHeight="1">
      <c r="A693" s="1178"/>
      <c r="B693" s="1238"/>
      <c r="C693" s="1201"/>
      <c r="D693" s="1202"/>
      <c r="E693" s="1165"/>
      <c r="F693" s="1227"/>
      <c r="G693" s="952" t="s">
        <v>2</v>
      </c>
      <c r="H693" s="952" t="s">
        <v>328</v>
      </c>
      <c r="I693" s="952"/>
      <c r="J693" s="230" t="s">
        <v>1839</v>
      </c>
      <c r="K693" s="952">
        <v>4</v>
      </c>
      <c r="L693" s="231" t="s">
        <v>5932</v>
      </c>
      <c r="M693" s="194"/>
      <c r="N693" s="1136"/>
      <c r="O693" s="1145"/>
      <c r="P693" s="1185"/>
      <c r="Q693" s="586" t="str">
        <f t="shared" si="88"/>
        <v>B20-2810022B</v>
      </c>
      <c r="R693" s="585" t="str">
        <f t="shared" si="89"/>
        <v>واشر تخت</v>
      </c>
      <c r="S693" s="586">
        <f t="shared" si="89"/>
        <v>4</v>
      </c>
      <c r="T693" s="606">
        <v>90</v>
      </c>
      <c r="U693" s="606">
        <v>100</v>
      </c>
      <c r="V693" s="606">
        <v>110</v>
      </c>
      <c r="W693" s="667" t="s">
        <v>5606</v>
      </c>
      <c r="X693" s="666" t="s">
        <v>5597</v>
      </c>
      <c r="Y693" s="666" t="s">
        <v>5652</v>
      </c>
      <c r="Z693" s="666" t="s">
        <v>5504</v>
      </c>
      <c r="AA693" s="734" t="s">
        <v>5653</v>
      </c>
    </row>
    <row r="694" spans="1:34" ht="35.25" customHeight="1">
      <c r="A694" s="1178"/>
      <c r="B694" s="1139"/>
      <c r="C694" s="1153"/>
      <c r="D694" s="1121"/>
      <c r="E694" s="1123"/>
      <c r="F694" s="1161"/>
      <c r="G694" s="952" t="s">
        <v>7</v>
      </c>
      <c r="H694" s="952" t="s">
        <v>5223</v>
      </c>
      <c r="I694" s="952" t="s">
        <v>5105</v>
      </c>
      <c r="J694" s="230" t="s">
        <v>1838</v>
      </c>
      <c r="K694" s="952">
        <v>1</v>
      </c>
      <c r="L694" s="231" t="s">
        <v>5937</v>
      </c>
      <c r="M694" s="194"/>
      <c r="N694" s="1136"/>
      <c r="O694" s="1145"/>
      <c r="P694" s="1185"/>
      <c r="Q694" s="586" t="str">
        <f t="shared" si="88"/>
        <v>SX5KCT-2810-0001A4</v>
      </c>
      <c r="R694" s="585" t="str">
        <f t="shared" si="89"/>
        <v>مجموعه اکسل عقب</v>
      </c>
      <c r="S694" s="586">
        <f t="shared" si="89"/>
        <v>1</v>
      </c>
      <c r="T694" s="589"/>
      <c r="U694" s="589"/>
      <c r="V694" s="589"/>
      <c r="W694" s="589"/>
      <c r="X694" s="590"/>
      <c r="Y694" s="590"/>
      <c r="Z694" s="589"/>
      <c r="AA694" s="724"/>
    </row>
    <row r="695" spans="1:34" ht="35.25" customHeight="1">
      <c r="A695" s="1178"/>
      <c r="B695" s="1138" t="s">
        <v>1837</v>
      </c>
      <c r="C695" s="1152" t="s">
        <v>1836</v>
      </c>
      <c r="D695" s="1120" t="s">
        <v>317</v>
      </c>
      <c r="E695" s="1122" t="s">
        <v>4973</v>
      </c>
      <c r="F695" s="1160">
        <v>1.2</v>
      </c>
      <c r="G695" s="952" t="s">
        <v>0</v>
      </c>
      <c r="H695" s="315" t="s">
        <v>1835</v>
      </c>
      <c r="I695" s="315"/>
      <c r="J695" s="230" t="s">
        <v>1834</v>
      </c>
      <c r="K695" s="952">
        <v>2</v>
      </c>
      <c r="L695" s="231" t="s">
        <v>5937</v>
      </c>
      <c r="M695" s="194"/>
      <c r="N695" s="1136"/>
      <c r="O695" s="1116" t="s">
        <v>1836</v>
      </c>
      <c r="P695" s="1117" t="s">
        <v>317</v>
      </c>
      <c r="Q695" s="586" t="str">
        <f t="shared" si="88"/>
        <v>SX5-2912031</v>
      </c>
      <c r="R695" s="585" t="str">
        <f t="shared" si="89"/>
        <v xml:space="preserve"> فنر پیچشی عقب</v>
      </c>
      <c r="S695" s="586">
        <f t="shared" si="89"/>
        <v>2</v>
      </c>
      <c r="T695" s="589"/>
      <c r="U695" s="589"/>
      <c r="V695" s="589"/>
      <c r="W695" s="589"/>
      <c r="X695" s="590"/>
      <c r="Y695" s="590"/>
      <c r="Z695" s="589"/>
      <c r="AA695" s="724"/>
    </row>
    <row r="696" spans="1:34" ht="35.25" customHeight="1">
      <c r="A696" s="1178"/>
      <c r="B696" s="1238"/>
      <c r="C696" s="1201"/>
      <c r="D696" s="1202"/>
      <c r="E696" s="1165"/>
      <c r="F696" s="1227"/>
      <c r="G696" s="952" t="s">
        <v>1</v>
      </c>
      <c r="H696" s="952" t="s">
        <v>319</v>
      </c>
      <c r="I696" s="952"/>
      <c r="J696" s="230" t="s">
        <v>1833</v>
      </c>
      <c r="K696" s="952">
        <v>2</v>
      </c>
      <c r="L696" s="231" t="s">
        <v>5933</v>
      </c>
      <c r="M696" s="194"/>
      <c r="N696" s="1136"/>
      <c r="O696" s="1116"/>
      <c r="P696" s="1117"/>
      <c r="Q696" s="619" t="str">
        <f t="shared" si="88"/>
        <v>B20-2911104</v>
      </c>
      <c r="R696" s="585" t="str">
        <f t="shared" si="89"/>
        <v xml:space="preserve">قاب لاستيكي محافظ بالای فنر پیچشی </v>
      </c>
      <c r="S696" s="586">
        <f t="shared" si="89"/>
        <v>2</v>
      </c>
      <c r="T696" s="589"/>
      <c r="U696" s="589"/>
      <c r="V696" s="589"/>
      <c r="W696" s="589"/>
      <c r="X696" s="590"/>
      <c r="Y696" s="590"/>
      <c r="Z696" s="589"/>
      <c r="AA696" s="724"/>
    </row>
    <row r="697" spans="1:34" ht="35.25" customHeight="1">
      <c r="A697" s="1178"/>
      <c r="B697" s="1139"/>
      <c r="C697" s="1153"/>
      <c r="D697" s="1121"/>
      <c r="E697" s="1123"/>
      <c r="F697" s="1161"/>
      <c r="G697" s="952" t="s">
        <v>2</v>
      </c>
      <c r="H697" s="952" t="s">
        <v>1832</v>
      </c>
      <c r="I697" s="952"/>
      <c r="J697" s="230" t="s">
        <v>1831</v>
      </c>
      <c r="K697" s="952">
        <v>2</v>
      </c>
      <c r="L697" s="231" t="s">
        <v>5933</v>
      </c>
      <c r="M697" s="194"/>
      <c r="N697" s="1136"/>
      <c r="O697" s="1116"/>
      <c r="P697" s="1117"/>
      <c r="Q697" s="586" t="str">
        <f t="shared" si="88"/>
        <v>B20-2911103</v>
      </c>
      <c r="R697" s="585" t="str">
        <f t="shared" si="89"/>
        <v xml:space="preserve">قاب لاستيكي محافظ پایین فنر پیچشی </v>
      </c>
      <c r="S697" s="586">
        <f t="shared" si="89"/>
        <v>2</v>
      </c>
      <c r="T697" s="589"/>
      <c r="U697" s="589"/>
      <c r="V697" s="589"/>
      <c r="W697" s="589"/>
      <c r="X697" s="590"/>
      <c r="Y697" s="590"/>
      <c r="Z697" s="589"/>
      <c r="AA697" s="724"/>
    </row>
    <row r="698" spans="1:34" ht="35.25" customHeight="1">
      <c r="A698" s="1178"/>
      <c r="B698" s="933" t="s">
        <v>1821</v>
      </c>
      <c r="C698" s="475" t="s">
        <v>1830</v>
      </c>
      <c r="D698" s="476" t="s">
        <v>1829</v>
      </c>
      <c r="E698" s="1006" t="s">
        <v>4973</v>
      </c>
      <c r="F698" s="935">
        <v>0.38</v>
      </c>
      <c r="G698" s="292" t="s">
        <v>1371</v>
      </c>
      <c r="H698" s="292" t="s">
        <v>1372</v>
      </c>
      <c r="I698" s="292"/>
      <c r="J698" s="291" t="s">
        <v>1828</v>
      </c>
      <c r="K698" s="292" t="s">
        <v>1371</v>
      </c>
      <c r="L698" s="299"/>
      <c r="M698" s="194"/>
      <c r="N698" s="1136"/>
      <c r="O698" s="968" t="s">
        <v>1830</v>
      </c>
      <c r="P698" s="969" t="s">
        <v>1829</v>
      </c>
      <c r="Q698" s="586" t="str">
        <f t="shared" si="88"/>
        <v>--------</v>
      </c>
      <c r="R698" s="585" t="str">
        <f t="shared" si="89"/>
        <v>----------</v>
      </c>
      <c r="S698" s="586" t="str">
        <f t="shared" si="89"/>
        <v>---</v>
      </c>
      <c r="T698" s="589"/>
      <c r="U698" s="589"/>
      <c r="V698" s="589"/>
      <c r="W698" s="589"/>
      <c r="X698" s="590"/>
      <c r="Y698" s="590"/>
      <c r="Z698" s="589"/>
      <c r="AA698" s="724"/>
    </row>
    <row r="699" spans="1:34" ht="35.25" customHeight="1">
      <c r="A699" s="1178"/>
      <c r="B699" s="1124" t="s">
        <v>1821</v>
      </c>
      <c r="C699" s="1152" t="s">
        <v>1827</v>
      </c>
      <c r="D699" s="1120" t="s">
        <v>1786</v>
      </c>
      <c r="E699" s="1122" t="s">
        <v>4973</v>
      </c>
      <c r="F699" s="1160">
        <v>3.0510000000000002</v>
      </c>
      <c r="G699" s="952" t="s">
        <v>0</v>
      </c>
      <c r="H699" s="952" t="s">
        <v>1826</v>
      </c>
      <c r="I699" s="952"/>
      <c r="J699" s="230" t="s">
        <v>1785</v>
      </c>
      <c r="K699" s="952">
        <v>2</v>
      </c>
      <c r="L699" s="231" t="s">
        <v>5933</v>
      </c>
      <c r="M699" s="194"/>
      <c r="N699" s="1136"/>
      <c r="O699" s="1368" t="str">
        <f>C699</f>
        <v>نصب شیلنگ ترمز چرخ عقب</v>
      </c>
      <c r="P699" s="1369" t="str">
        <f>D699</f>
        <v>SX5-3506-7</v>
      </c>
      <c r="Q699" s="611" t="str">
        <f t="shared" si="88"/>
        <v>SX5-3561010</v>
      </c>
      <c r="R699" s="610" t="str">
        <f t="shared" si="89"/>
        <v>شیلنگ ترمز چرخ عقب</v>
      </c>
      <c r="S699" s="611">
        <f t="shared" si="89"/>
        <v>2</v>
      </c>
      <c r="T699" s="656">
        <v>15</v>
      </c>
      <c r="U699" s="656">
        <v>16</v>
      </c>
      <c r="V699" s="656">
        <v>17</v>
      </c>
      <c r="W699" s="657" t="s">
        <v>5513</v>
      </c>
      <c r="X699" s="656" t="s">
        <v>5581</v>
      </c>
      <c r="Y699" s="587" t="s">
        <v>5654</v>
      </c>
      <c r="Z699" s="589"/>
      <c r="AA699" s="724"/>
    </row>
    <row r="700" spans="1:34" ht="35.25" customHeight="1">
      <c r="A700" s="1178"/>
      <c r="B700" s="1260"/>
      <c r="C700" s="1153"/>
      <c r="D700" s="1121"/>
      <c r="E700" s="1123"/>
      <c r="F700" s="1161"/>
      <c r="G700" s="952" t="s">
        <v>1</v>
      </c>
      <c r="H700" s="952" t="s">
        <v>204</v>
      </c>
      <c r="I700" s="952"/>
      <c r="J700" s="230" t="s">
        <v>1825</v>
      </c>
      <c r="K700" s="952">
        <v>2</v>
      </c>
      <c r="L700" s="231" t="s">
        <v>5938</v>
      </c>
      <c r="M700" s="194"/>
      <c r="N700" s="1136"/>
      <c r="O700" s="1368"/>
      <c r="P700" s="1369"/>
      <c r="Q700" s="586" t="str">
        <f t="shared" si="88"/>
        <v>35MA-06073</v>
      </c>
      <c r="R700" s="585" t="str">
        <f t="shared" si="89"/>
        <v>بست دوشاخه کشویی</v>
      </c>
      <c r="S700" s="586">
        <f t="shared" si="89"/>
        <v>2</v>
      </c>
      <c r="T700" s="656"/>
      <c r="U700" s="656"/>
      <c r="V700" s="656"/>
      <c r="W700" s="657"/>
      <c r="X700" s="656"/>
      <c r="Y700" s="587"/>
      <c r="Z700" s="589"/>
      <c r="AA700" s="724"/>
    </row>
    <row r="701" spans="1:34" ht="35.25" customHeight="1">
      <c r="A701" s="1178"/>
      <c r="B701" s="1124" t="s">
        <v>1821</v>
      </c>
      <c r="C701" s="1298" t="s">
        <v>5265</v>
      </c>
      <c r="D701" s="1155" t="s">
        <v>1763</v>
      </c>
      <c r="E701" s="1122"/>
      <c r="F701" s="1372">
        <v>2.12</v>
      </c>
      <c r="G701" s="952" t="s">
        <v>0</v>
      </c>
      <c r="H701" s="952" t="s">
        <v>669</v>
      </c>
      <c r="I701" s="952"/>
      <c r="J701" s="230" t="s">
        <v>1819</v>
      </c>
      <c r="K701" s="952">
        <v>2</v>
      </c>
      <c r="L701" s="231" t="s">
        <v>5934</v>
      </c>
      <c r="M701" s="194"/>
      <c r="N701" s="1136"/>
      <c r="O701" s="1198" t="s">
        <v>5265</v>
      </c>
      <c r="P701" s="1197" t="s">
        <v>1763</v>
      </c>
      <c r="Q701" s="586" t="str">
        <f t="shared" si="88"/>
        <v>Q1851280TF38</v>
      </c>
      <c r="R701" s="585" t="str">
        <f t="shared" si="89"/>
        <v>پیچ سر شش گوش فلنجی</v>
      </c>
      <c r="S701" s="586">
        <f t="shared" si="89"/>
        <v>2</v>
      </c>
      <c r="T701" s="589"/>
      <c r="U701" s="589"/>
      <c r="V701" s="589"/>
      <c r="W701" s="589"/>
      <c r="X701" s="590"/>
      <c r="Y701" s="590"/>
      <c r="Z701" s="589"/>
      <c r="AA701" s="724"/>
    </row>
    <row r="702" spans="1:34" ht="35.25" customHeight="1">
      <c r="A702" s="1178"/>
      <c r="B702" s="1297"/>
      <c r="C702" s="1170"/>
      <c r="D702" s="1156"/>
      <c r="E702" s="1165"/>
      <c r="F702" s="1373"/>
      <c r="G702" s="952" t="s">
        <v>1</v>
      </c>
      <c r="H702" s="952" t="s">
        <v>5266</v>
      </c>
      <c r="I702" s="952"/>
      <c r="J702" s="230" t="s">
        <v>1762</v>
      </c>
      <c r="K702" s="952">
        <v>2</v>
      </c>
      <c r="L702" s="231" t="s">
        <v>5939</v>
      </c>
      <c r="M702" s="194"/>
      <c r="N702" s="1136"/>
      <c r="O702" s="1198"/>
      <c r="P702" s="1197"/>
      <c r="Q702" s="586" t="s">
        <v>669</v>
      </c>
      <c r="R702" s="585" t="s">
        <v>1819</v>
      </c>
      <c r="S702" s="586">
        <f t="shared" si="89"/>
        <v>2</v>
      </c>
      <c r="T702" s="590">
        <v>134</v>
      </c>
      <c r="U702" s="590">
        <v>142</v>
      </c>
      <c r="V702" s="590">
        <v>150</v>
      </c>
      <c r="W702" s="666" t="s">
        <v>5648</v>
      </c>
      <c r="X702" s="666" t="s">
        <v>5649</v>
      </c>
      <c r="Y702" s="666" t="s">
        <v>5650</v>
      </c>
      <c r="Z702" s="669" t="s">
        <v>5651</v>
      </c>
      <c r="AA702" s="724"/>
    </row>
    <row r="703" spans="1:34" ht="35.25" customHeight="1">
      <c r="A703" s="1178"/>
      <c r="B703" s="1297"/>
      <c r="C703" s="1170"/>
      <c r="D703" s="1156"/>
      <c r="E703" s="1165"/>
      <c r="F703" s="1373"/>
      <c r="G703" s="952" t="s">
        <v>2</v>
      </c>
      <c r="H703" s="952" t="s">
        <v>5267</v>
      </c>
      <c r="I703" s="952"/>
      <c r="J703" s="230" t="s">
        <v>1761</v>
      </c>
      <c r="K703" s="952">
        <v>4</v>
      </c>
      <c r="L703" s="231" t="s">
        <v>5932</v>
      </c>
      <c r="M703" s="194"/>
      <c r="N703" s="1136"/>
      <c r="O703" s="1198"/>
      <c r="P703" s="1197"/>
      <c r="Q703" s="586" t="s">
        <v>5266</v>
      </c>
      <c r="R703" s="585" t="s">
        <v>1762</v>
      </c>
      <c r="S703" s="586">
        <f t="shared" si="89"/>
        <v>4</v>
      </c>
      <c r="T703" s="590">
        <v>134</v>
      </c>
      <c r="U703" s="590">
        <v>142</v>
      </c>
      <c r="V703" s="590">
        <v>150</v>
      </c>
      <c r="W703" s="666" t="s">
        <v>5648</v>
      </c>
      <c r="X703" s="666" t="s">
        <v>5649</v>
      </c>
      <c r="Y703" s="666" t="s">
        <v>5650</v>
      </c>
      <c r="Z703" s="669" t="s">
        <v>5651</v>
      </c>
      <c r="AA703" s="724"/>
    </row>
    <row r="704" spans="1:34" ht="35.25" customHeight="1">
      <c r="A704" s="1178"/>
      <c r="B704" s="1260"/>
      <c r="C704" s="1171"/>
      <c r="D704" s="1157"/>
      <c r="E704" s="1123"/>
      <c r="F704" s="1374"/>
      <c r="G704" s="952" t="s">
        <v>7</v>
      </c>
      <c r="H704" s="952" t="s">
        <v>5268</v>
      </c>
      <c r="I704" s="952"/>
      <c r="J704" s="230" t="s">
        <v>5269</v>
      </c>
      <c r="K704" s="952">
        <v>2</v>
      </c>
      <c r="L704" s="231" t="s">
        <v>5940</v>
      </c>
      <c r="M704" s="194"/>
      <c r="N704" s="1136"/>
      <c r="O704" s="1198"/>
      <c r="P704" s="1197"/>
      <c r="Q704" s="586" t="s">
        <v>5267</v>
      </c>
      <c r="R704" s="585" t="s">
        <v>1761</v>
      </c>
      <c r="S704" s="586">
        <v>4</v>
      </c>
      <c r="T704" s="590">
        <v>134</v>
      </c>
      <c r="U704" s="590">
        <v>142</v>
      </c>
      <c r="V704" s="590">
        <v>150</v>
      </c>
      <c r="W704" s="666" t="s">
        <v>5648</v>
      </c>
      <c r="X704" s="666" t="s">
        <v>5649</v>
      </c>
      <c r="Y704" s="666" t="s">
        <v>5650</v>
      </c>
      <c r="Z704" s="669" t="s">
        <v>5651</v>
      </c>
      <c r="AA704" s="724"/>
    </row>
    <row r="705" spans="1:27" ht="35.25" customHeight="1">
      <c r="A705" s="1178"/>
      <c r="B705" s="1124" t="s">
        <v>1821</v>
      </c>
      <c r="C705" s="1152" t="s">
        <v>1824</v>
      </c>
      <c r="D705" s="1120" t="s">
        <v>339</v>
      </c>
      <c r="E705" s="1122" t="s">
        <v>4973</v>
      </c>
      <c r="F705" s="1160">
        <v>1.98</v>
      </c>
      <c r="G705" s="952" t="s">
        <v>0</v>
      </c>
      <c r="H705" s="952" t="s">
        <v>340</v>
      </c>
      <c r="I705" s="952"/>
      <c r="J705" s="230" t="s">
        <v>1823</v>
      </c>
      <c r="K705" s="952">
        <v>2</v>
      </c>
      <c r="L705" s="231" t="s">
        <v>5941</v>
      </c>
      <c r="M705" s="194"/>
      <c r="N705" s="1136"/>
      <c r="O705" s="1116" t="s">
        <v>1824</v>
      </c>
      <c r="P705" s="1117" t="s">
        <v>339</v>
      </c>
      <c r="Q705" s="586" t="s">
        <v>5268</v>
      </c>
      <c r="R705" s="585" t="s">
        <v>5269</v>
      </c>
      <c r="S705" s="586">
        <v>2</v>
      </c>
      <c r="T705" s="589"/>
      <c r="U705" s="589"/>
      <c r="V705" s="589"/>
      <c r="W705" s="589"/>
      <c r="X705" s="590"/>
      <c r="Y705" s="590"/>
      <c r="Z705" s="589"/>
      <c r="AA705" s="724"/>
    </row>
    <row r="706" spans="1:27" ht="35.25" customHeight="1" thickBot="1">
      <c r="A706" s="1179"/>
      <c r="B706" s="1125"/>
      <c r="C706" s="1243"/>
      <c r="D706" s="1244"/>
      <c r="E706" s="1245"/>
      <c r="F706" s="1242"/>
      <c r="G706" s="953" t="s">
        <v>1</v>
      </c>
      <c r="H706" s="953" t="s">
        <v>324</v>
      </c>
      <c r="I706" s="953"/>
      <c r="J706" s="272" t="s">
        <v>1587</v>
      </c>
      <c r="K706" s="953">
        <v>4</v>
      </c>
      <c r="L706" s="250" t="s">
        <v>5930</v>
      </c>
      <c r="M706" s="194"/>
      <c r="N706" s="1137"/>
      <c r="O706" s="1186"/>
      <c r="P706" s="1159"/>
      <c r="Q706" s="251" t="str">
        <f>H706</f>
        <v>Q1841025TF38</v>
      </c>
      <c r="R706" s="274" t="str">
        <f t="shared" si="89"/>
        <v xml:space="preserve">پیچ فلنجی سر شش گوش </v>
      </c>
      <c r="S706" s="251">
        <f t="shared" si="89"/>
        <v>4</v>
      </c>
      <c r="T706" s="283"/>
      <c r="U706" s="283"/>
      <c r="V706" s="283"/>
      <c r="W706" s="283"/>
      <c r="X706" s="284"/>
      <c r="Y706" s="284"/>
      <c r="Z706" s="283"/>
      <c r="AA706" s="285"/>
    </row>
    <row r="707" spans="1:27" ht="35.25" customHeight="1">
      <c r="A707" s="1177" t="s">
        <v>1822</v>
      </c>
      <c r="B707" s="992" t="s">
        <v>1821</v>
      </c>
      <c r="C707" s="966" t="s">
        <v>1820</v>
      </c>
      <c r="D707" s="967"/>
      <c r="E707" s="477"/>
      <c r="F707" s="946"/>
      <c r="G707" s="255"/>
      <c r="H707" s="255"/>
      <c r="I707" s="255"/>
      <c r="J707" s="256"/>
      <c r="K707" s="255"/>
      <c r="L707" s="257"/>
      <c r="M707" s="194"/>
      <c r="N707" s="1135" t="str">
        <f>A707</f>
        <v>P54</v>
      </c>
      <c r="O707" s="966" t="s">
        <v>1820</v>
      </c>
      <c r="P707" s="478"/>
      <c r="Q707" s="225">
        <f>H707</f>
        <v>0</v>
      </c>
      <c r="R707" s="224">
        <f t="shared" si="89"/>
        <v>0</v>
      </c>
      <c r="S707" s="225">
        <f t="shared" si="89"/>
        <v>0</v>
      </c>
      <c r="T707" s="479">
        <v>48</v>
      </c>
      <c r="U707" s="480" t="s">
        <v>5655</v>
      </c>
      <c r="V707" s="479">
        <v>58</v>
      </c>
      <c r="W707" s="481" t="s">
        <v>5445</v>
      </c>
      <c r="X707" s="482" t="s">
        <v>5446</v>
      </c>
      <c r="Y707" s="482" t="s">
        <v>5656</v>
      </c>
      <c r="Z707" s="482" t="s">
        <v>5448</v>
      </c>
      <c r="AA707" s="483" t="s">
        <v>5644</v>
      </c>
    </row>
    <row r="708" spans="1:27" ht="43.5" customHeight="1">
      <c r="A708" s="1178"/>
      <c r="B708" s="925" t="s">
        <v>5308</v>
      </c>
      <c r="C708" s="926" t="s">
        <v>1813</v>
      </c>
      <c r="D708" s="931" t="s">
        <v>1812</v>
      </c>
      <c r="E708" s="484" t="s">
        <v>4973</v>
      </c>
      <c r="F708" s="925">
        <v>0.45</v>
      </c>
      <c r="G708" s="975"/>
      <c r="H708" s="975" t="s">
        <v>1811</v>
      </c>
      <c r="I708" s="975" t="s">
        <v>1811</v>
      </c>
      <c r="J708" s="241" t="s">
        <v>1811</v>
      </c>
      <c r="K708" s="975"/>
      <c r="L708" s="236"/>
      <c r="M708" s="194"/>
      <c r="N708" s="1136"/>
      <c r="O708" s="964" t="str">
        <f t="shared" ref="O708:O709" si="91">C708</f>
        <v>بررسی صحت نصب بست لوله های خنک کن روغن گیربکس به رادیاتور</v>
      </c>
      <c r="P708" s="965" t="str">
        <f>D708</f>
        <v>SX5K-1503-3</v>
      </c>
      <c r="Q708" s="611" t="str">
        <f>H708</f>
        <v>.....</v>
      </c>
      <c r="R708" s="610" t="str">
        <f t="shared" si="89"/>
        <v>.....</v>
      </c>
      <c r="S708" s="611">
        <f t="shared" si="89"/>
        <v>0</v>
      </c>
      <c r="T708" s="589"/>
      <c r="U708" s="589"/>
      <c r="V708" s="589"/>
      <c r="W708" s="589"/>
      <c r="X708" s="590"/>
      <c r="Y708" s="590"/>
      <c r="Z708" s="589"/>
      <c r="AA708" s="724"/>
    </row>
    <row r="709" spans="1:27" ht="35.25" customHeight="1">
      <c r="A709" s="1178"/>
      <c r="B709" s="1228" t="s">
        <v>5308</v>
      </c>
      <c r="C709" s="1154" t="s">
        <v>1818</v>
      </c>
      <c r="D709" s="1121" t="s">
        <v>4983</v>
      </c>
      <c r="E709" s="1126" t="s">
        <v>37</v>
      </c>
      <c r="F709" s="1151">
        <v>2.75</v>
      </c>
      <c r="G709" s="952" t="s">
        <v>0</v>
      </c>
      <c r="H709" s="949" t="s">
        <v>1817</v>
      </c>
      <c r="I709" s="949"/>
      <c r="J709" s="230" t="s">
        <v>1816</v>
      </c>
      <c r="K709" s="952">
        <v>1</v>
      </c>
      <c r="L709" s="231" t="s">
        <v>5941</v>
      </c>
      <c r="M709" s="194"/>
      <c r="N709" s="1136"/>
      <c r="O709" s="1116" t="str">
        <f t="shared" si="91"/>
        <v>نصب سینی زیر موتور</v>
      </c>
      <c r="P709" s="1117" t="str">
        <f>D709</f>
        <v>SX5F-5504-1</v>
      </c>
      <c r="Q709" s="586" t="str">
        <f t="shared" ref="Q709" si="92">H709</f>
        <v>SX5E-5504011B</v>
      </c>
      <c r="R709" s="585" t="str">
        <f t="shared" si="89"/>
        <v>سینی زیر موتور</v>
      </c>
      <c r="S709" s="586">
        <f t="shared" si="89"/>
        <v>1</v>
      </c>
      <c r="T709" s="589"/>
      <c r="U709" s="589"/>
      <c r="V709" s="589"/>
      <c r="W709" s="589"/>
      <c r="X709" s="590"/>
      <c r="Y709" s="590"/>
      <c r="Z709" s="589"/>
      <c r="AA709" s="724"/>
    </row>
    <row r="710" spans="1:27" ht="35.25" customHeight="1">
      <c r="A710" s="1178"/>
      <c r="B710" s="1228"/>
      <c r="C710" s="1154" t="s">
        <v>1248</v>
      </c>
      <c r="D710" s="1209"/>
      <c r="E710" s="1126"/>
      <c r="F710" s="1151"/>
      <c r="G710" s="952" t="s">
        <v>1</v>
      </c>
      <c r="H710" s="952" t="s">
        <v>73</v>
      </c>
      <c r="I710" s="952"/>
      <c r="J710" s="230" t="s">
        <v>1251</v>
      </c>
      <c r="K710" s="952">
        <v>7</v>
      </c>
      <c r="L710" s="231" t="s">
        <v>5938</v>
      </c>
      <c r="M710" s="194"/>
      <c r="N710" s="1136"/>
      <c r="O710" s="1116"/>
      <c r="P710" s="1117"/>
      <c r="Q710" s="633" t="str">
        <f t="shared" si="88"/>
        <v>BL346</v>
      </c>
      <c r="R710" s="585" t="str">
        <f t="shared" si="89"/>
        <v>بست فشاری</v>
      </c>
      <c r="S710" s="586">
        <f t="shared" si="89"/>
        <v>7</v>
      </c>
      <c r="T710" s="589"/>
      <c r="U710" s="589"/>
      <c r="V710" s="589"/>
      <c r="W710" s="589"/>
      <c r="X710" s="590"/>
      <c r="Y710" s="590"/>
      <c r="Z710" s="589"/>
      <c r="AA710" s="724"/>
    </row>
    <row r="711" spans="1:27" ht="35.25" customHeight="1">
      <c r="A711" s="1178"/>
      <c r="B711" s="1228"/>
      <c r="C711" s="1154" t="s">
        <v>1248</v>
      </c>
      <c r="D711" s="1209"/>
      <c r="E711" s="1126"/>
      <c r="F711" s="1151"/>
      <c r="G711" s="952" t="s">
        <v>2</v>
      </c>
      <c r="H711" s="952" t="s">
        <v>88</v>
      </c>
      <c r="I711" s="952"/>
      <c r="J711" s="230" t="s">
        <v>1251</v>
      </c>
      <c r="K711" s="952">
        <v>2</v>
      </c>
      <c r="L711" s="231" t="s">
        <v>5938</v>
      </c>
      <c r="M711" s="194"/>
      <c r="N711" s="1136"/>
      <c r="O711" s="1116"/>
      <c r="P711" s="1117"/>
      <c r="Q711" s="586" t="str">
        <f t="shared" si="88"/>
        <v>BL611</v>
      </c>
      <c r="R711" s="585" t="str">
        <f t="shared" si="89"/>
        <v>بست فشاری</v>
      </c>
      <c r="S711" s="586">
        <f t="shared" si="89"/>
        <v>2</v>
      </c>
      <c r="T711" s="589"/>
      <c r="U711" s="589"/>
      <c r="V711" s="589"/>
      <c r="W711" s="589"/>
      <c r="X711" s="590"/>
      <c r="Y711" s="590"/>
      <c r="Z711" s="589"/>
      <c r="AA711" s="724"/>
    </row>
    <row r="712" spans="1:27" ht="35.25" customHeight="1">
      <c r="A712" s="1178"/>
      <c r="B712" s="1228"/>
      <c r="C712" s="1154" t="s">
        <v>1248</v>
      </c>
      <c r="D712" s="1209"/>
      <c r="E712" s="1126"/>
      <c r="F712" s="1151"/>
      <c r="G712" s="952" t="s">
        <v>7</v>
      </c>
      <c r="H712" s="952" t="s">
        <v>1500</v>
      </c>
      <c r="I712" s="952"/>
      <c r="J712" s="230" t="s">
        <v>1499</v>
      </c>
      <c r="K712" s="952">
        <v>3</v>
      </c>
      <c r="L712" s="231" t="s">
        <v>5936</v>
      </c>
      <c r="M712" s="194"/>
      <c r="N712" s="1136"/>
      <c r="O712" s="1116"/>
      <c r="P712" s="1117"/>
      <c r="Q712" s="586" t="str">
        <f t="shared" si="88"/>
        <v>LQ146B0625TF38</v>
      </c>
      <c r="R712" s="585" t="str">
        <f t="shared" si="89"/>
        <v>پیچ سر شش گوش واشردار</v>
      </c>
      <c r="S712" s="586">
        <f t="shared" si="89"/>
        <v>3</v>
      </c>
      <c r="T712" s="589"/>
      <c r="U712" s="589"/>
      <c r="V712" s="589"/>
      <c r="W712" s="589"/>
      <c r="X712" s="590"/>
      <c r="Y712" s="590"/>
      <c r="Z712" s="589"/>
      <c r="AA712" s="724"/>
    </row>
    <row r="713" spans="1:27" ht="35.25" customHeight="1" thickBot="1">
      <c r="A713" s="1179"/>
      <c r="B713" s="1237"/>
      <c r="C713" s="1186" t="s">
        <v>1248</v>
      </c>
      <c r="D713" s="1159"/>
      <c r="E713" s="1214"/>
      <c r="F713" s="1232"/>
      <c r="G713" s="953" t="s">
        <v>9</v>
      </c>
      <c r="H713" s="953" t="s">
        <v>198</v>
      </c>
      <c r="I713" s="953" t="s">
        <v>5397</v>
      </c>
      <c r="J713" s="272" t="s">
        <v>1815</v>
      </c>
      <c r="K713" s="953">
        <v>2</v>
      </c>
      <c r="L713" s="250" t="s">
        <v>5763</v>
      </c>
      <c r="M713" s="194"/>
      <c r="N713" s="1137"/>
      <c r="O713" s="1186"/>
      <c r="P713" s="1159"/>
      <c r="Q713" s="251" t="str">
        <f t="shared" si="88"/>
        <v>LQ2734816F38A1</v>
      </c>
      <c r="R713" s="274" t="str">
        <f t="shared" si="89"/>
        <v>پیچ سرعدسی چارسو</v>
      </c>
      <c r="S713" s="251">
        <f t="shared" si="89"/>
        <v>2</v>
      </c>
      <c r="T713" s="472">
        <v>6</v>
      </c>
      <c r="U713" s="472">
        <v>8</v>
      </c>
      <c r="V713" s="472">
        <v>10</v>
      </c>
      <c r="W713" s="473" t="s">
        <v>5431</v>
      </c>
      <c r="X713" s="472" t="s">
        <v>5485</v>
      </c>
      <c r="Y713" s="252" t="s">
        <v>5657</v>
      </c>
      <c r="Z713" s="283"/>
      <c r="AA713" s="285"/>
    </row>
    <row r="714" spans="1:27" ht="35.25" customHeight="1">
      <c r="A714" s="1175" t="s">
        <v>1810</v>
      </c>
      <c r="B714" s="1327" t="s">
        <v>1746</v>
      </c>
      <c r="C714" s="1169" t="s">
        <v>1809</v>
      </c>
      <c r="D714" s="1142" t="s">
        <v>539</v>
      </c>
      <c r="E714" s="1221"/>
      <c r="F714" s="1222">
        <v>1.74</v>
      </c>
      <c r="G714" s="997" t="s">
        <v>0</v>
      </c>
      <c r="H714" s="997" t="s">
        <v>5214</v>
      </c>
      <c r="I714" s="997" t="s">
        <v>5071</v>
      </c>
      <c r="J714" s="221" t="s">
        <v>1808</v>
      </c>
      <c r="K714" s="997">
        <v>1</v>
      </c>
      <c r="L714" s="222" t="s">
        <v>5942</v>
      </c>
      <c r="M714" s="194"/>
      <c r="N714" s="1166" t="str">
        <f>A714</f>
        <v>P55</v>
      </c>
      <c r="O714" s="1169" t="str">
        <f>C714</f>
        <v>مونتاژ بخش جلویی لوله اگزوز</v>
      </c>
      <c r="P714" s="1142" t="str">
        <f>D714</f>
        <v>SX5K-1203-1</v>
      </c>
      <c r="Q714" s="485" t="str">
        <f t="shared" si="88"/>
        <v>SX5K-1203020</v>
      </c>
      <c r="R714" s="486" t="str">
        <f t="shared" si="89"/>
        <v>بخش جلویی لوله اگزوز</v>
      </c>
      <c r="S714" s="225">
        <f t="shared" si="89"/>
        <v>1</v>
      </c>
      <c r="T714" s="469"/>
      <c r="U714" s="469"/>
      <c r="V714" s="469"/>
      <c r="W714" s="469"/>
      <c r="X714" s="227"/>
      <c r="Y714" s="227"/>
      <c r="Z714" s="469"/>
      <c r="AA714" s="487"/>
    </row>
    <row r="715" spans="1:27" ht="35.25" customHeight="1">
      <c r="A715" s="1176"/>
      <c r="B715" s="1220"/>
      <c r="C715" s="1154" t="s">
        <v>1248</v>
      </c>
      <c r="D715" s="1209"/>
      <c r="E715" s="1126"/>
      <c r="F715" s="1151"/>
      <c r="G715" s="952" t="s">
        <v>1</v>
      </c>
      <c r="H715" s="952" t="s">
        <v>540</v>
      </c>
      <c r="I715" s="952" t="s">
        <v>5172</v>
      </c>
      <c r="J715" s="230" t="s">
        <v>1798</v>
      </c>
      <c r="K715" s="952">
        <v>1</v>
      </c>
      <c r="L715" s="231" t="s">
        <v>5943</v>
      </c>
      <c r="M715" s="194"/>
      <c r="N715" s="1167"/>
      <c r="O715" s="1116"/>
      <c r="P715" s="1117"/>
      <c r="Q715" s="671" t="str">
        <f t="shared" si="88"/>
        <v>SX5-1204013</v>
      </c>
      <c r="R715" s="672" t="str">
        <f t="shared" si="89"/>
        <v>واشر آب بندی</v>
      </c>
      <c r="S715" s="586">
        <f t="shared" si="89"/>
        <v>1</v>
      </c>
      <c r="T715" s="673"/>
      <c r="U715" s="673"/>
      <c r="V715" s="673"/>
      <c r="W715" s="673"/>
      <c r="X715" s="590"/>
      <c r="Y715" s="590"/>
      <c r="Z715" s="673"/>
      <c r="AA715" s="736"/>
    </row>
    <row r="716" spans="1:27" ht="35.25" customHeight="1">
      <c r="A716" s="1176"/>
      <c r="B716" s="1220"/>
      <c r="C716" s="1154" t="s">
        <v>1248</v>
      </c>
      <c r="D716" s="1209"/>
      <c r="E716" s="1126"/>
      <c r="F716" s="1151"/>
      <c r="G716" s="952" t="s">
        <v>2</v>
      </c>
      <c r="H716" s="952" t="s">
        <v>1800</v>
      </c>
      <c r="I716" s="952"/>
      <c r="J716" s="230" t="s">
        <v>1757</v>
      </c>
      <c r="K716" s="952">
        <v>2</v>
      </c>
      <c r="L716" s="231" t="s">
        <v>5938</v>
      </c>
      <c r="M716" s="194"/>
      <c r="N716" s="1167"/>
      <c r="O716" s="1116"/>
      <c r="P716" s="1117"/>
      <c r="Q716" s="671" t="str">
        <f t="shared" si="88"/>
        <v>Q33110F38</v>
      </c>
      <c r="R716" s="672" t="str">
        <f t="shared" si="89"/>
        <v>مهره فلنجی شش گوش تمام فلزی</v>
      </c>
      <c r="S716" s="586">
        <f t="shared" si="89"/>
        <v>2</v>
      </c>
      <c r="T716" s="666">
        <v>40</v>
      </c>
      <c r="U716" s="666">
        <v>45</v>
      </c>
      <c r="V716" s="666">
        <v>50</v>
      </c>
      <c r="W716" s="667" t="s">
        <v>5476</v>
      </c>
      <c r="X716" s="666" t="s">
        <v>5446</v>
      </c>
      <c r="Y716" s="666" t="s">
        <v>5658</v>
      </c>
      <c r="Z716" s="666" t="s">
        <v>5448</v>
      </c>
      <c r="AA716" s="734" t="s">
        <v>5659</v>
      </c>
    </row>
    <row r="717" spans="1:27" ht="35.25" customHeight="1">
      <c r="A717" s="1176"/>
      <c r="B717" s="1151" t="s">
        <v>1746</v>
      </c>
      <c r="C717" s="1247" t="s">
        <v>1807</v>
      </c>
      <c r="D717" s="1248" t="s">
        <v>347</v>
      </c>
      <c r="E717" s="1212"/>
      <c r="F717" s="1151">
        <v>2.87</v>
      </c>
      <c r="G717" s="952" t="s">
        <v>0</v>
      </c>
      <c r="H717" s="401" t="s">
        <v>1075</v>
      </c>
      <c r="I717" s="952" t="s">
        <v>1806</v>
      </c>
      <c r="J717" s="230" t="s">
        <v>1805</v>
      </c>
      <c r="K717" s="952">
        <v>2</v>
      </c>
      <c r="L717" s="231" t="s">
        <v>5943</v>
      </c>
      <c r="M717" s="194"/>
      <c r="N717" s="1167"/>
      <c r="O717" s="1143" t="str">
        <f>C717</f>
        <v>مونتاژ صدا خفه کن عقب</v>
      </c>
      <c r="P717" s="1144" t="str">
        <f>D717</f>
        <v>SX3-1200-4</v>
      </c>
      <c r="Q717" s="671" t="str">
        <f t="shared" si="88"/>
        <v>SX5-1202040</v>
      </c>
      <c r="R717" s="672" t="str">
        <f t="shared" si="89"/>
        <v>بوش لاستیکی نصب لوله اگزوز</v>
      </c>
      <c r="S717" s="586">
        <f t="shared" si="89"/>
        <v>2</v>
      </c>
      <c r="T717" s="673"/>
      <c r="U717" s="673"/>
      <c r="V717" s="673"/>
      <c r="W717" s="673"/>
      <c r="X717" s="590"/>
      <c r="Y717" s="590"/>
      <c r="Z717" s="673"/>
      <c r="AA717" s="736"/>
    </row>
    <row r="718" spans="1:27" ht="35.25" customHeight="1">
      <c r="A718" s="1176"/>
      <c r="B718" s="1151"/>
      <c r="C718" s="1247" t="s">
        <v>1248</v>
      </c>
      <c r="D718" s="1248"/>
      <c r="E718" s="1212"/>
      <c r="F718" s="1151"/>
      <c r="G718" s="952" t="s">
        <v>717</v>
      </c>
      <c r="H718" s="952" t="s">
        <v>346</v>
      </c>
      <c r="I718" s="952"/>
      <c r="J718" s="230" t="s">
        <v>1804</v>
      </c>
      <c r="K718" s="952">
        <v>1</v>
      </c>
      <c r="L718" s="231" t="s">
        <v>5942</v>
      </c>
      <c r="M718" s="194"/>
      <c r="N718" s="1167"/>
      <c r="O718" s="1143"/>
      <c r="P718" s="1144"/>
      <c r="Q718" s="671" t="str">
        <f t="shared" si="88"/>
        <v>SX5-1201086</v>
      </c>
      <c r="R718" s="672" t="str">
        <f t="shared" si="89"/>
        <v xml:space="preserve"> صدا خفه کن عقب</v>
      </c>
      <c r="S718" s="586">
        <f t="shared" si="89"/>
        <v>1</v>
      </c>
      <c r="T718" s="673"/>
      <c r="U718" s="673"/>
      <c r="V718" s="673"/>
      <c r="W718" s="673"/>
      <c r="X718" s="590"/>
      <c r="Y718" s="590"/>
      <c r="Z718" s="673"/>
      <c r="AA718" s="736"/>
    </row>
    <row r="719" spans="1:27" ht="35.25" customHeight="1">
      <c r="A719" s="1176"/>
      <c r="B719" s="1151"/>
      <c r="C719" s="1247" t="s">
        <v>1248</v>
      </c>
      <c r="D719" s="1248"/>
      <c r="E719" s="1212"/>
      <c r="F719" s="1151"/>
      <c r="G719" s="952" t="s">
        <v>863</v>
      </c>
      <c r="H719" s="952" t="s">
        <v>1800</v>
      </c>
      <c r="I719" s="952"/>
      <c r="J719" s="230" t="s">
        <v>1757</v>
      </c>
      <c r="K719" s="952">
        <v>2</v>
      </c>
      <c r="L719" s="231" t="s">
        <v>5938</v>
      </c>
      <c r="M719" s="194"/>
      <c r="N719" s="1167"/>
      <c r="O719" s="1143"/>
      <c r="P719" s="1144"/>
      <c r="Q719" s="671" t="str">
        <f t="shared" si="88"/>
        <v>Q33110F38</v>
      </c>
      <c r="R719" s="672" t="str">
        <f t="shared" si="89"/>
        <v>مهره فلنجی شش گوش تمام فلزی</v>
      </c>
      <c r="S719" s="586">
        <f t="shared" si="89"/>
        <v>2</v>
      </c>
      <c r="T719" s="666">
        <v>40</v>
      </c>
      <c r="U719" s="666">
        <v>45</v>
      </c>
      <c r="V719" s="666">
        <v>50</v>
      </c>
      <c r="W719" s="667" t="s">
        <v>5476</v>
      </c>
      <c r="X719" s="666" t="s">
        <v>5446</v>
      </c>
      <c r="Y719" s="666" t="s">
        <v>5658</v>
      </c>
      <c r="Z719" s="666" t="s">
        <v>5448</v>
      </c>
      <c r="AA719" s="734" t="s">
        <v>5659</v>
      </c>
    </row>
    <row r="720" spans="1:27" ht="35.25" customHeight="1">
      <c r="A720" s="1176"/>
      <c r="B720" s="1151"/>
      <c r="C720" s="1247" t="s">
        <v>1248</v>
      </c>
      <c r="D720" s="1248"/>
      <c r="E720" s="1212"/>
      <c r="F720" s="1151"/>
      <c r="G720" s="952" t="s">
        <v>864</v>
      </c>
      <c r="H720" s="952" t="s">
        <v>349</v>
      </c>
      <c r="I720" s="952"/>
      <c r="J720" s="230" t="s">
        <v>1798</v>
      </c>
      <c r="K720" s="952">
        <v>1</v>
      </c>
      <c r="L720" s="231" t="s">
        <v>5763</v>
      </c>
      <c r="M720" s="194"/>
      <c r="N720" s="1167"/>
      <c r="O720" s="1143"/>
      <c r="P720" s="1144"/>
      <c r="Q720" s="671" t="str">
        <f t="shared" si="88"/>
        <v>SX5-1204011</v>
      </c>
      <c r="R720" s="672" t="str">
        <f t="shared" si="89"/>
        <v>واشر آب بندی</v>
      </c>
      <c r="S720" s="586">
        <f t="shared" si="89"/>
        <v>1</v>
      </c>
      <c r="T720" s="673"/>
      <c r="U720" s="673"/>
      <c r="V720" s="673"/>
      <c r="W720" s="673"/>
      <c r="X720" s="590"/>
      <c r="Y720" s="590"/>
      <c r="Z720" s="673"/>
      <c r="AA720" s="736"/>
    </row>
    <row r="721" spans="1:27" ht="35.25" customHeight="1">
      <c r="A721" s="1176"/>
      <c r="B721" s="1151"/>
      <c r="C721" s="1247" t="s">
        <v>1248</v>
      </c>
      <c r="D721" s="1248"/>
      <c r="E721" s="1212"/>
      <c r="F721" s="1151"/>
      <c r="G721" s="952"/>
      <c r="H721" s="952" t="s">
        <v>1617</v>
      </c>
      <c r="I721" s="952"/>
      <c r="J721" s="230" t="s">
        <v>1797</v>
      </c>
      <c r="K721" s="952" t="s">
        <v>5160</v>
      </c>
      <c r="L721" s="231" t="s">
        <v>5944</v>
      </c>
      <c r="M721" s="194"/>
      <c r="N721" s="1167"/>
      <c r="O721" s="1143"/>
      <c r="P721" s="1144"/>
      <c r="Q721" s="671" t="str">
        <f t="shared" si="88"/>
        <v>CS005975SB</v>
      </c>
      <c r="R721" s="672" t="str">
        <f t="shared" si="89"/>
        <v>مایع روانکارقطعات پلیمری- بهزیست 1238</v>
      </c>
      <c r="S721" s="586" t="str">
        <f t="shared" si="89"/>
        <v>15 میلی لیتر</v>
      </c>
      <c r="T721" s="673"/>
      <c r="U721" s="673"/>
      <c r="V721" s="673"/>
      <c r="W721" s="673"/>
      <c r="X721" s="590"/>
      <c r="Y721" s="590"/>
      <c r="Z721" s="673"/>
      <c r="AA721" s="736"/>
    </row>
    <row r="722" spans="1:27" ht="35.25" customHeight="1">
      <c r="A722" s="1176"/>
      <c r="B722" s="1151" t="s">
        <v>1746</v>
      </c>
      <c r="C722" s="1296" t="s">
        <v>1803</v>
      </c>
      <c r="D722" s="1162" t="s">
        <v>350</v>
      </c>
      <c r="E722" s="1212"/>
      <c r="F722" s="1151">
        <v>2.76</v>
      </c>
      <c r="G722" s="935" t="s">
        <v>721</v>
      </c>
      <c r="H722" s="952" t="s">
        <v>1802</v>
      </c>
      <c r="I722" s="952"/>
      <c r="J722" s="230" t="s">
        <v>1801</v>
      </c>
      <c r="K722" s="935">
        <v>1</v>
      </c>
      <c r="L722" s="231" t="s">
        <v>5942</v>
      </c>
      <c r="M722" s="194"/>
      <c r="N722" s="1167"/>
      <c r="O722" s="1145" t="str">
        <f>C722</f>
        <v>نصب منبع میانی اگزوز</v>
      </c>
      <c r="P722" s="1185" t="str">
        <f>D722</f>
        <v>SX5A-1203-2</v>
      </c>
      <c r="Q722" s="671" t="str">
        <f t="shared" si="88"/>
        <v>SX5-1201085</v>
      </c>
      <c r="R722" s="672" t="str">
        <f t="shared" si="89"/>
        <v>منبع میانی اگزوز</v>
      </c>
      <c r="S722" s="629">
        <f t="shared" si="89"/>
        <v>1</v>
      </c>
      <c r="T722" s="673"/>
      <c r="U722" s="673"/>
      <c r="V722" s="673"/>
      <c r="W722" s="673"/>
      <c r="X722" s="590"/>
      <c r="Y722" s="590"/>
      <c r="Z722" s="673"/>
      <c r="AA722" s="736"/>
    </row>
    <row r="723" spans="1:27" ht="35.25" customHeight="1">
      <c r="A723" s="1176"/>
      <c r="B723" s="1151"/>
      <c r="C723" s="1296" t="s">
        <v>1248</v>
      </c>
      <c r="D723" s="1162"/>
      <c r="E723" s="1212"/>
      <c r="F723" s="1151"/>
      <c r="G723" s="935" t="s">
        <v>701</v>
      </c>
      <c r="H723" s="935" t="s">
        <v>5106</v>
      </c>
      <c r="I723" s="935"/>
      <c r="J723" s="230" t="s">
        <v>5133</v>
      </c>
      <c r="K723" s="952">
        <v>2</v>
      </c>
      <c r="L723" s="231" t="s">
        <v>5943</v>
      </c>
      <c r="M723" s="194"/>
      <c r="N723" s="1167"/>
      <c r="O723" s="1145"/>
      <c r="P723" s="1185"/>
      <c r="Q723" s="674" t="str">
        <f t="shared" si="88"/>
        <v>SX5-1202030</v>
      </c>
      <c r="R723" s="672" t="str">
        <f t="shared" si="89"/>
        <v>بوش لاستیکی لوله اگزوز</v>
      </c>
      <c r="S723" s="586">
        <f t="shared" si="89"/>
        <v>2</v>
      </c>
      <c r="T723" s="673"/>
      <c r="U723" s="673"/>
      <c r="V723" s="673"/>
      <c r="W723" s="673"/>
      <c r="X723" s="590"/>
      <c r="Y723" s="590"/>
      <c r="Z723" s="673"/>
      <c r="AA723" s="736"/>
    </row>
    <row r="724" spans="1:27" ht="35.25" customHeight="1">
      <c r="A724" s="1176"/>
      <c r="B724" s="1151"/>
      <c r="C724" s="1296" t="s">
        <v>1248</v>
      </c>
      <c r="D724" s="1162"/>
      <c r="E724" s="1212"/>
      <c r="F724" s="1151"/>
      <c r="G724" s="935" t="s">
        <v>824</v>
      </c>
      <c r="H724" s="952" t="s">
        <v>1800</v>
      </c>
      <c r="I724" s="952"/>
      <c r="J724" s="230" t="s">
        <v>1755</v>
      </c>
      <c r="K724" s="952">
        <v>2</v>
      </c>
      <c r="L724" s="231" t="s">
        <v>5938</v>
      </c>
      <c r="M724" s="194"/>
      <c r="N724" s="1167"/>
      <c r="O724" s="1145"/>
      <c r="P724" s="1185"/>
      <c r="Q724" s="671" t="str">
        <f t="shared" si="88"/>
        <v>Q33110F38</v>
      </c>
      <c r="R724" s="672" t="str">
        <f t="shared" si="89"/>
        <v>مهره فلنجی تمام فلزی</v>
      </c>
      <c r="S724" s="586">
        <f t="shared" si="89"/>
        <v>2</v>
      </c>
      <c r="T724" s="666">
        <v>40</v>
      </c>
      <c r="U724" s="666">
        <v>45</v>
      </c>
      <c r="V724" s="666">
        <v>50</v>
      </c>
      <c r="W724" s="667" t="s">
        <v>5476</v>
      </c>
      <c r="X724" s="666" t="s">
        <v>5446</v>
      </c>
      <c r="Y724" s="666" t="s">
        <v>5658</v>
      </c>
      <c r="Z724" s="666" t="s">
        <v>5448</v>
      </c>
      <c r="AA724" s="734" t="s">
        <v>5659</v>
      </c>
    </row>
    <row r="725" spans="1:27" ht="35.25" customHeight="1">
      <c r="A725" s="1176"/>
      <c r="B725" s="1151"/>
      <c r="C725" s="1296" t="s">
        <v>1248</v>
      </c>
      <c r="D725" s="1162"/>
      <c r="E725" s="1212"/>
      <c r="F725" s="1151"/>
      <c r="G725" s="935" t="s">
        <v>826</v>
      </c>
      <c r="H725" s="952" t="s">
        <v>1799</v>
      </c>
      <c r="I725" s="952" t="s">
        <v>349</v>
      </c>
      <c r="J725" s="230" t="s">
        <v>1798</v>
      </c>
      <c r="K725" s="952">
        <v>1</v>
      </c>
      <c r="L725" s="231" t="s">
        <v>5936</v>
      </c>
      <c r="M725" s="194"/>
      <c r="N725" s="1167"/>
      <c r="O725" s="1145"/>
      <c r="P725" s="1185"/>
      <c r="Q725" s="671" t="str">
        <f t="shared" si="88"/>
        <v>SX7-1204010</v>
      </c>
      <c r="R725" s="672" t="str">
        <f t="shared" si="89"/>
        <v>واشر آب بندی</v>
      </c>
      <c r="S725" s="586">
        <f t="shared" si="89"/>
        <v>1</v>
      </c>
      <c r="T725" s="673"/>
      <c r="U725" s="673"/>
      <c r="V725" s="673"/>
      <c r="W725" s="673"/>
      <c r="X725" s="590"/>
      <c r="Y725" s="590"/>
      <c r="Z725" s="673"/>
      <c r="AA725" s="736"/>
    </row>
    <row r="726" spans="1:27" ht="35.25" customHeight="1">
      <c r="A726" s="1176"/>
      <c r="B726" s="1151"/>
      <c r="C726" s="1296" t="s">
        <v>1248</v>
      </c>
      <c r="D726" s="1162"/>
      <c r="E726" s="1212"/>
      <c r="F726" s="1151"/>
      <c r="G726" s="935"/>
      <c r="H726" s="952" t="s">
        <v>1617</v>
      </c>
      <c r="I726" s="952"/>
      <c r="J726" s="230" t="s">
        <v>1797</v>
      </c>
      <c r="K726" s="952" t="s">
        <v>5160</v>
      </c>
      <c r="L726" s="231" t="s">
        <v>5944</v>
      </c>
      <c r="M726" s="194"/>
      <c r="N726" s="1167"/>
      <c r="O726" s="1145"/>
      <c r="P726" s="1185"/>
      <c r="Q726" s="671" t="str">
        <f t="shared" si="88"/>
        <v>CS005975SB</v>
      </c>
      <c r="R726" s="672" t="str">
        <f t="shared" si="89"/>
        <v>مایع روانکارقطعات پلیمری- بهزیست 1238</v>
      </c>
      <c r="S726" s="586" t="str">
        <f t="shared" si="89"/>
        <v>15 میلی لیتر</v>
      </c>
      <c r="T726" s="673"/>
      <c r="U726" s="673"/>
      <c r="V726" s="673"/>
      <c r="W726" s="673"/>
      <c r="X726" s="590"/>
      <c r="Y726" s="590"/>
      <c r="Z726" s="673"/>
      <c r="AA726" s="736"/>
    </row>
    <row r="727" spans="1:27" ht="35.25" customHeight="1">
      <c r="A727" s="1176"/>
      <c r="B727" s="1151" t="s">
        <v>1746</v>
      </c>
      <c r="C727" s="1154" t="s">
        <v>1796</v>
      </c>
      <c r="D727" s="1209" t="s">
        <v>332</v>
      </c>
      <c r="E727" s="1126" t="s">
        <v>4973</v>
      </c>
      <c r="F727" s="1151">
        <v>2.76</v>
      </c>
      <c r="G727" s="952" t="s">
        <v>0</v>
      </c>
      <c r="H727" s="952" t="s">
        <v>333</v>
      </c>
      <c r="I727" s="952"/>
      <c r="J727" s="230" t="s">
        <v>1795</v>
      </c>
      <c r="K727" s="952">
        <v>1</v>
      </c>
      <c r="L727" s="231" t="s">
        <v>5945</v>
      </c>
      <c r="M727" s="194"/>
      <c r="N727" s="1167"/>
      <c r="O727" s="1116" t="str">
        <f>C727</f>
        <v>نصب محافظ لوله های سوخت</v>
      </c>
      <c r="P727" s="1117" t="str">
        <f>D727</f>
        <v>SX5-5504-3</v>
      </c>
      <c r="Q727" s="671" t="str">
        <f>H727</f>
        <v>SX5-5504030B</v>
      </c>
      <c r="R727" s="672" t="str">
        <f>J727</f>
        <v>محافظ لوله های سوخت</v>
      </c>
      <c r="S727" s="586">
        <f>K727</f>
        <v>1</v>
      </c>
      <c r="T727" s="673"/>
      <c r="U727" s="673"/>
      <c r="V727" s="673"/>
      <c r="W727" s="673"/>
      <c r="X727" s="590"/>
      <c r="Y727" s="590"/>
      <c r="Z727" s="673"/>
      <c r="AA727" s="736"/>
    </row>
    <row r="728" spans="1:27" ht="35.25" customHeight="1" thickBot="1">
      <c r="A728" s="1236"/>
      <c r="B728" s="1232"/>
      <c r="C728" s="1186" t="s">
        <v>1248</v>
      </c>
      <c r="D728" s="1159"/>
      <c r="E728" s="1214"/>
      <c r="F728" s="1232"/>
      <c r="G728" s="953" t="s">
        <v>1</v>
      </c>
      <c r="H728" s="953" t="s">
        <v>1794</v>
      </c>
      <c r="I728" s="953"/>
      <c r="J728" s="272" t="s">
        <v>1498</v>
      </c>
      <c r="K728" s="953">
        <v>10</v>
      </c>
      <c r="L728" s="250" t="s">
        <v>5938</v>
      </c>
      <c r="M728" s="194"/>
      <c r="N728" s="1168"/>
      <c r="O728" s="1186"/>
      <c r="P728" s="1159"/>
      <c r="Q728" s="488" t="str">
        <f>H728</f>
        <v>Q32206F38L</v>
      </c>
      <c r="R728" s="489" t="str">
        <f>J728</f>
        <v xml:space="preserve">مهره فلنجی سر شش گوش </v>
      </c>
      <c r="S728" s="251">
        <f>K728</f>
        <v>10</v>
      </c>
      <c r="T728" s="286"/>
      <c r="U728" s="286"/>
      <c r="V728" s="286"/>
      <c r="W728" s="286"/>
      <c r="X728" s="284"/>
      <c r="Y728" s="284"/>
      <c r="Z728" s="286"/>
      <c r="AA728" s="490"/>
    </row>
    <row r="729" spans="1:27" ht="32.1" customHeight="1">
      <c r="A729" s="1175" t="s">
        <v>5193</v>
      </c>
      <c r="B729" s="1271" t="s">
        <v>1793</v>
      </c>
      <c r="C729" s="1169" t="s">
        <v>1792</v>
      </c>
      <c r="D729" s="1142" t="s">
        <v>6089</v>
      </c>
      <c r="E729" s="1221" t="s">
        <v>4973</v>
      </c>
      <c r="F729" s="1291">
        <v>0.4</v>
      </c>
      <c r="G729" s="997" t="s">
        <v>0</v>
      </c>
      <c r="H729" s="997" t="s">
        <v>1393</v>
      </c>
      <c r="I729" s="997"/>
      <c r="J729" s="221" t="s">
        <v>1791</v>
      </c>
      <c r="K729" s="997">
        <v>1</v>
      </c>
      <c r="L729" s="324"/>
      <c r="M729" s="194"/>
      <c r="N729" s="1166" t="str">
        <f>A729</f>
        <v>P56</v>
      </c>
      <c r="O729" s="1169" t="str">
        <f>C729</f>
        <v>ترک و مارک لوله های رابط ترمز عقب</v>
      </c>
      <c r="P729" s="1142" t="str">
        <f>D729</f>
        <v>SX5-3506-3A</v>
      </c>
      <c r="Q729" s="485" t="str">
        <f t="shared" si="88"/>
        <v>-</v>
      </c>
      <c r="R729" s="486" t="str">
        <f t="shared" si="89"/>
        <v>لوله رابط ترمز عقب راست</v>
      </c>
      <c r="S729" s="225">
        <f t="shared" si="89"/>
        <v>1</v>
      </c>
      <c r="T729" s="441">
        <v>15</v>
      </c>
      <c r="U729" s="441">
        <v>16</v>
      </c>
      <c r="V729" s="441">
        <v>17</v>
      </c>
      <c r="W729" s="442" t="s">
        <v>5513</v>
      </c>
      <c r="X729" s="441" t="s">
        <v>5581</v>
      </c>
      <c r="Y729" s="441" t="s">
        <v>5660</v>
      </c>
      <c r="Z729" s="469"/>
      <c r="AA729" s="487"/>
    </row>
    <row r="730" spans="1:27" ht="32.1" customHeight="1">
      <c r="A730" s="1176"/>
      <c r="B730" s="1227"/>
      <c r="C730" s="1154"/>
      <c r="D730" s="1209"/>
      <c r="E730" s="1126"/>
      <c r="F730" s="1292"/>
      <c r="G730" s="952" t="s">
        <v>1</v>
      </c>
      <c r="H730" s="952" t="s">
        <v>1393</v>
      </c>
      <c r="I730" s="952"/>
      <c r="J730" s="230" t="s">
        <v>1790</v>
      </c>
      <c r="K730" s="952">
        <v>1</v>
      </c>
      <c r="L730" s="236"/>
      <c r="M730" s="194"/>
      <c r="N730" s="1167"/>
      <c r="O730" s="1116"/>
      <c r="P730" s="1117"/>
      <c r="Q730" s="671" t="str">
        <f t="shared" si="88"/>
        <v>-</v>
      </c>
      <c r="R730" s="672" t="str">
        <f t="shared" si="89"/>
        <v>لوله رابط ترمز عقب چپ</v>
      </c>
      <c r="S730" s="586">
        <f t="shared" si="89"/>
        <v>1</v>
      </c>
      <c r="T730" s="656">
        <v>15</v>
      </c>
      <c r="U730" s="656">
        <v>16</v>
      </c>
      <c r="V730" s="656">
        <v>17</v>
      </c>
      <c r="W730" s="657" t="s">
        <v>5513</v>
      </c>
      <c r="X730" s="656" t="s">
        <v>5581</v>
      </c>
      <c r="Y730" s="656" t="s">
        <v>5660</v>
      </c>
      <c r="Z730" s="673"/>
      <c r="AA730" s="736"/>
    </row>
    <row r="731" spans="1:27" ht="32.1" customHeight="1">
      <c r="A731" s="1176"/>
      <c r="B731" s="1227"/>
      <c r="C731" s="929" t="s">
        <v>1789</v>
      </c>
      <c r="D731" s="931" t="s">
        <v>6090</v>
      </c>
      <c r="E731" s="939"/>
      <c r="F731" s="935">
        <v>0.3</v>
      </c>
      <c r="G731" s="952" t="s">
        <v>9</v>
      </c>
      <c r="H731" s="935" t="s">
        <v>1393</v>
      </c>
      <c r="I731" s="935"/>
      <c r="J731" s="230" t="s">
        <v>1499</v>
      </c>
      <c r="K731" s="952">
        <v>1</v>
      </c>
      <c r="L731" s="236"/>
      <c r="M731" s="194"/>
      <c r="N731" s="1167"/>
      <c r="O731" s="914" t="str">
        <f t="shared" ref="O731:O735" si="93">C731</f>
        <v>ترک و مارک لوله انتهایی ترمز عقب چپ</v>
      </c>
      <c r="P731" s="915" t="str">
        <f>D731</f>
        <v>SX5-3506-2A</v>
      </c>
      <c r="Q731" s="674" t="str">
        <f t="shared" si="88"/>
        <v>-</v>
      </c>
      <c r="R731" s="672" t="str">
        <f t="shared" si="89"/>
        <v>پیچ سر شش گوش واشردار</v>
      </c>
      <c r="S731" s="586">
        <f t="shared" si="89"/>
        <v>1</v>
      </c>
      <c r="T731" s="656">
        <v>15</v>
      </c>
      <c r="U731" s="656">
        <v>16</v>
      </c>
      <c r="V731" s="656">
        <v>17</v>
      </c>
      <c r="W731" s="657" t="s">
        <v>5513</v>
      </c>
      <c r="X731" s="656" t="s">
        <v>5581</v>
      </c>
      <c r="Y731" s="656" t="s">
        <v>5660</v>
      </c>
      <c r="Z731" s="673"/>
      <c r="AA731" s="736"/>
    </row>
    <row r="732" spans="1:27" ht="32.1" customHeight="1">
      <c r="A732" s="1176"/>
      <c r="B732" s="1227"/>
      <c r="C732" s="929" t="s">
        <v>1788</v>
      </c>
      <c r="D732" s="931"/>
      <c r="E732" s="939"/>
      <c r="F732" s="952">
        <v>0.8</v>
      </c>
      <c r="G732" s="952" t="s">
        <v>0</v>
      </c>
      <c r="H732" s="952" t="s">
        <v>1393</v>
      </c>
      <c r="I732" s="952"/>
      <c r="J732" s="230" t="s">
        <v>1393</v>
      </c>
      <c r="K732" s="952"/>
      <c r="L732" s="236"/>
      <c r="M732" s="194"/>
      <c r="N732" s="1167"/>
      <c r="O732" s="914" t="str">
        <f t="shared" si="93"/>
        <v>ترک و مارک لوله ترمز چرخ هاي جلو به ديسك و توپی</v>
      </c>
      <c r="P732" s="915" t="s">
        <v>1393</v>
      </c>
      <c r="Q732" s="586" t="str">
        <f t="shared" si="88"/>
        <v>-</v>
      </c>
      <c r="R732" s="585" t="str">
        <f t="shared" si="89"/>
        <v>-</v>
      </c>
      <c r="S732" s="586">
        <f t="shared" si="89"/>
        <v>0</v>
      </c>
      <c r="T732" s="673"/>
      <c r="U732" s="673"/>
      <c r="V732" s="673"/>
      <c r="W732" s="673"/>
      <c r="X732" s="656" t="s">
        <v>5581</v>
      </c>
      <c r="Y732" s="656" t="s">
        <v>5660</v>
      </c>
      <c r="Z732" s="673"/>
      <c r="AA732" s="736"/>
    </row>
    <row r="733" spans="1:27" ht="32.1" customHeight="1">
      <c r="A733" s="1176"/>
      <c r="B733" s="1227"/>
      <c r="C733" s="929" t="s">
        <v>1787</v>
      </c>
      <c r="D733" s="931" t="s">
        <v>6091</v>
      </c>
      <c r="E733" s="939" t="s">
        <v>4973</v>
      </c>
      <c r="F733" s="935">
        <v>0.3</v>
      </c>
      <c r="G733" s="952" t="s">
        <v>0</v>
      </c>
      <c r="H733" s="952" t="s">
        <v>1393</v>
      </c>
      <c r="I733" s="952"/>
      <c r="J733" s="230" t="s">
        <v>1785</v>
      </c>
      <c r="K733" s="952">
        <v>2</v>
      </c>
      <c r="L733" s="236"/>
      <c r="M733" s="194"/>
      <c r="N733" s="1167"/>
      <c r="O733" s="914" t="str">
        <f t="shared" si="93"/>
        <v>ترک و مارک شیلنگ ترمز چرخ عقب</v>
      </c>
      <c r="P733" s="915" t="str">
        <f>D733</f>
        <v>SX5-3506-7A</v>
      </c>
      <c r="Q733" s="671" t="str">
        <f t="shared" si="88"/>
        <v>-</v>
      </c>
      <c r="R733" s="672" t="str">
        <f t="shared" si="89"/>
        <v>شیلنگ ترمز چرخ عقب</v>
      </c>
      <c r="S733" s="586">
        <f t="shared" si="89"/>
        <v>2</v>
      </c>
      <c r="T733" s="656">
        <v>15</v>
      </c>
      <c r="U733" s="656">
        <v>16</v>
      </c>
      <c r="V733" s="656">
        <v>17</v>
      </c>
      <c r="W733" s="657" t="s">
        <v>5513</v>
      </c>
      <c r="X733" s="656" t="s">
        <v>5581</v>
      </c>
      <c r="Y733" s="587" t="s">
        <v>5660</v>
      </c>
      <c r="Z733" s="673"/>
      <c r="AA733" s="736"/>
    </row>
    <row r="734" spans="1:27" ht="32.1" customHeight="1">
      <c r="A734" s="1176"/>
      <c r="B734" s="1227"/>
      <c r="C734" s="929" t="s">
        <v>1784</v>
      </c>
      <c r="D734" s="931" t="s">
        <v>6092</v>
      </c>
      <c r="E734" s="939"/>
      <c r="F734" s="935">
        <v>0.74</v>
      </c>
      <c r="G734" s="952" t="s">
        <v>717</v>
      </c>
      <c r="H734" s="952" t="s">
        <v>1393</v>
      </c>
      <c r="I734" s="952"/>
      <c r="J734" s="230" t="s">
        <v>1587</v>
      </c>
      <c r="K734" s="240" t="s">
        <v>1783</v>
      </c>
      <c r="L734" s="491"/>
      <c r="M734" s="194"/>
      <c r="N734" s="1167"/>
      <c r="O734" s="914" t="str">
        <f t="shared" si="93"/>
        <v xml:space="preserve">   ترک و مارک مخزن سوخت</v>
      </c>
      <c r="P734" s="915" t="str">
        <f>D734</f>
        <v>SX5K-1101-1A</v>
      </c>
      <c r="Q734" s="671" t="str">
        <f t="shared" si="88"/>
        <v>-</v>
      </c>
      <c r="R734" s="672" t="str">
        <f t="shared" si="89"/>
        <v xml:space="preserve">پیچ فلنجی سر شش گوش </v>
      </c>
      <c r="S734" s="598" t="str">
        <f t="shared" si="89"/>
        <v>4</v>
      </c>
      <c r="T734" s="656">
        <v>22</v>
      </c>
      <c r="U734" s="656">
        <v>24</v>
      </c>
      <c r="V734" s="656">
        <v>26</v>
      </c>
      <c r="W734" s="657" t="s">
        <v>5445</v>
      </c>
      <c r="X734" s="656" t="s">
        <v>5442</v>
      </c>
      <c r="Y734" s="606" t="s">
        <v>5661</v>
      </c>
      <c r="Z734" s="673"/>
      <c r="AA734" s="736"/>
    </row>
    <row r="735" spans="1:27" ht="32.1" customHeight="1">
      <c r="A735" s="1176"/>
      <c r="B735" s="1227"/>
      <c r="C735" s="1154" t="s">
        <v>1782</v>
      </c>
      <c r="D735" s="1209" t="s">
        <v>6093</v>
      </c>
      <c r="E735" s="1126"/>
      <c r="F735" s="1151">
        <v>1.34</v>
      </c>
      <c r="G735" s="952" t="s">
        <v>1</v>
      </c>
      <c r="H735" s="952" t="s">
        <v>1393</v>
      </c>
      <c r="I735" s="952"/>
      <c r="J735" s="230" t="s">
        <v>1781</v>
      </c>
      <c r="K735" s="952">
        <v>2</v>
      </c>
      <c r="L735" s="236"/>
      <c r="M735" s="194"/>
      <c r="N735" s="1167"/>
      <c r="O735" s="1116" t="str">
        <f t="shared" si="93"/>
        <v>ترک و مارک رام جلو به بدنه</v>
      </c>
      <c r="P735" s="1117" t="str">
        <f>D735</f>
        <v>SX5-2810-3A</v>
      </c>
      <c r="Q735" s="671" t="str">
        <f t="shared" si="88"/>
        <v>-</v>
      </c>
      <c r="R735" s="672" t="str">
        <f t="shared" si="89"/>
        <v xml:space="preserve"> پیچ بلند اتصال عقب رام به بدنه (بدون واشر)</v>
      </c>
      <c r="S735" s="586">
        <f t="shared" si="89"/>
        <v>2</v>
      </c>
      <c r="T735" s="666">
        <v>120</v>
      </c>
      <c r="U735" s="666">
        <v>130</v>
      </c>
      <c r="V735" s="666">
        <v>140</v>
      </c>
      <c r="W735" s="667" t="s">
        <v>5606</v>
      </c>
      <c r="X735" s="666" t="s">
        <v>5504</v>
      </c>
      <c r="Y735" s="669" t="s">
        <v>6058</v>
      </c>
      <c r="Z735" s="673"/>
      <c r="AA735" s="736"/>
    </row>
    <row r="736" spans="1:27" ht="32.1" customHeight="1">
      <c r="A736" s="1176"/>
      <c r="B736" s="1227"/>
      <c r="C736" s="1154"/>
      <c r="D736" s="1209"/>
      <c r="E736" s="1126"/>
      <c r="F736" s="1151"/>
      <c r="G736" s="952" t="s">
        <v>7</v>
      </c>
      <c r="H736" s="952" t="s">
        <v>1393</v>
      </c>
      <c r="I736" s="952"/>
      <c r="J736" s="230" t="s">
        <v>1780</v>
      </c>
      <c r="K736" s="952">
        <v>2</v>
      </c>
      <c r="L736" s="236"/>
      <c r="M736" s="194"/>
      <c r="N736" s="1167"/>
      <c r="O736" s="1116"/>
      <c r="P736" s="1117"/>
      <c r="Q736" s="671" t="str">
        <f t="shared" si="88"/>
        <v>-</v>
      </c>
      <c r="R736" s="672" t="str">
        <f t="shared" si="89"/>
        <v xml:space="preserve"> پیچ اتصال وسط رام به بدنه</v>
      </c>
      <c r="S736" s="586">
        <f t="shared" si="89"/>
        <v>2</v>
      </c>
      <c r="T736" s="666">
        <v>120</v>
      </c>
      <c r="U736" s="666">
        <v>130</v>
      </c>
      <c r="V736" s="666">
        <v>140</v>
      </c>
      <c r="W736" s="667" t="s">
        <v>5606</v>
      </c>
      <c r="X736" s="666" t="s">
        <v>5504</v>
      </c>
      <c r="Y736" s="669" t="s">
        <v>6058</v>
      </c>
      <c r="Z736" s="673"/>
      <c r="AA736" s="736"/>
    </row>
    <row r="737" spans="1:27" ht="32.1" customHeight="1">
      <c r="A737" s="1176"/>
      <c r="B737" s="1227"/>
      <c r="C737" s="1154"/>
      <c r="D737" s="1209"/>
      <c r="E737" s="1126"/>
      <c r="F737" s="1151"/>
      <c r="G737" s="952" t="s">
        <v>9</v>
      </c>
      <c r="H737" s="952" t="s">
        <v>1393</v>
      </c>
      <c r="I737" s="952"/>
      <c r="J737" s="230" t="s">
        <v>1587</v>
      </c>
      <c r="K737" s="952">
        <v>4</v>
      </c>
      <c r="L737" s="236"/>
      <c r="M737" s="194"/>
      <c r="N737" s="1167"/>
      <c r="O737" s="1116"/>
      <c r="P737" s="1117"/>
      <c r="Q737" s="671" t="str">
        <f t="shared" si="88"/>
        <v>-</v>
      </c>
      <c r="R737" s="672" t="str">
        <f t="shared" si="89"/>
        <v xml:space="preserve">پیچ فلنجی سر شش گوش </v>
      </c>
      <c r="S737" s="586">
        <f t="shared" si="89"/>
        <v>4</v>
      </c>
      <c r="T737" s="666">
        <v>72</v>
      </c>
      <c r="U737" s="666">
        <v>80</v>
      </c>
      <c r="V737" s="666">
        <v>88</v>
      </c>
      <c r="W737" s="667" t="s">
        <v>5611</v>
      </c>
      <c r="X737" s="666" t="s">
        <v>5504</v>
      </c>
      <c r="Y737" s="675" t="s">
        <v>5614</v>
      </c>
      <c r="Z737" s="673"/>
      <c r="AA737" s="736"/>
    </row>
    <row r="738" spans="1:27" ht="32.1" customHeight="1">
      <c r="A738" s="1176"/>
      <c r="B738" s="1227"/>
      <c r="C738" s="929" t="s">
        <v>1779</v>
      </c>
      <c r="D738" s="931" t="s">
        <v>6094</v>
      </c>
      <c r="E738" s="939"/>
      <c r="F738" s="935">
        <v>0.8</v>
      </c>
      <c r="G738" s="952" t="s">
        <v>1</v>
      </c>
      <c r="H738" s="315" t="s">
        <v>1393</v>
      </c>
      <c r="I738" s="315"/>
      <c r="J738" s="230" t="s">
        <v>1455</v>
      </c>
      <c r="K738" s="952">
        <v>2</v>
      </c>
      <c r="L738" s="236"/>
      <c r="M738" s="194"/>
      <c r="N738" s="1167"/>
      <c r="O738" s="914" t="str">
        <f t="shared" ref="O738:O742" si="94">C738</f>
        <v xml:space="preserve">ترک و مارک اتصال بازوي سيستم تعليق جلو به دیسک و توپی  </v>
      </c>
      <c r="P738" s="915" t="str">
        <f>D738</f>
        <v>SX5-2904-4A</v>
      </c>
      <c r="Q738" s="676" t="str">
        <f t="shared" si="88"/>
        <v>-</v>
      </c>
      <c r="R738" s="672" t="str">
        <f t="shared" si="89"/>
        <v>مهره فلنجی</v>
      </c>
      <c r="S738" s="586">
        <f t="shared" si="89"/>
        <v>2</v>
      </c>
      <c r="T738" s="666">
        <v>120</v>
      </c>
      <c r="U738" s="666">
        <v>130</v>
      </c>
      <c r="V738" s="666">
        <v>140</v>
      </c>
      <c r="W738" s="667" t="s">
        <v>5616</v>
      </c>
      <c r="X738" s="666" t="s">
        <v>5504</v>
      </c>
      <c r="Y738" s="669" t="s">
        <v>6058</v>
      </c>
      <c r="Z738" s="673"/>
      <c r="AA738" s="736"/>
    </row>
    <row r="739" spans="1:27" ht="32.1" customHeight="1">
      <c r="A739" s="1176"/>
      <c r="B739" s="1227"/>
      <c r="C739" s="929" t="s">
        <v>1777</v>
      </c>
      <c r="D739" s="931" t="s">
        <v>6095</v>
      </c>
      <c r="E739" s="939" t="s">
        <v>4973</v>
      </c>
      <c r="F739" s="935">
        <v>0.74</v>
      </c>
      <c r="G739" s="952" t="s">
        <v>0</v>
      </c>
      <c r="H739" s="234" t="s">
        <v>1393</v>
      </c>
      <c r="I739" s="315"/>
      <c r="J739" s="230" t="s">
        <v>1775</v>
      </c>
      <c r="K739" s="952">
        <v>2</v>
      </c>
      <c r="L739" s="236"/>
      <c r="M739" s="194"/>
      <c r="N739" s="1167"/>
      <c r="O739" s="914" t="str">
        <f t="shared" si="94"/>
        <v>ترک و مارک اتصال میل تعادل به اکسل جلو</v>
      </c>
      <c r="P739" s="915" t="str">
        <f>D739</f>
        <v>SX5-2906-3A</v>
      </c>
      <c r="Q739" s="677" t="str">
        <f t="shared" si="88"/>
        <v>-</v>
      </c>
      <c r="R739" s="672" t="str">
        <f t="shared" si="89"/>
        <v>مهره قفلی فلنجی</v>
      </c>
      <c r="S739" s="586">
        <f t="shared" si="89"/>
        <v>2</v>
      </c>
      <c r="T739" s="666">
        <v>110</v>
      </c>
      <c r="U739" s="666">
        <v>115</v>
      </c>
      <c r="V739" s="666">
        <v>120</v>
      </c>
      <c r="W739" s="667" t="s">
        <v>5616</v>
      </c>
      <c r="X739" s="666" t="s">
        <v>5504</v>
      </c>
      <c r="Y739" s="669" t="s">
        <v>6058</v>
      </c>
      <c r="Z739" s="673"/>
      <c r="AA739" s="736"/>
    </row>
    <row r="740" spans="1:27" ht="32.1" customHeight="1">
      <c r="A740" s="1176"/>
      <c r="B740" s="1227"/>
      <c r="C740" s="929" t="s">
        <v>1774</v>
      </c>
      <c r="D740" s="931" t="s">
        <v>6096</v>
      </c>
      <c r="E740" s="939" t="s">
        <v>4973</v>
      </c>
      <c r="F740" s="935">
        <v>0.9</v>
      </c>
      <c r="G740" s="292" t="s">
        <v>1371</v>
      </c>
      <c r="H740" s="234" t="s">
        <v>1393</v>
      </c>
      <c r="I740" s="952"/>
      <c r="J740" s="230" t="s">
        <v>6034</v>
      </c>
      <c r="K740" s="952">
        <v>2</v>
      </c>
      <c r="L740" s="299"/>
      <c r="M740" s="194"/>
      <c r="N740" s="1167"/>
      <c r="O740" s="914" t="str">
        <f t="shared" si="94"/>
        <v>ترک و مارک اتصال سیبک جعبه فرمان به دیسک و توپی</v>
      </c>
      <c r="P740" s="915" t="str">
        <f>D740</f>
        <v>SX5-3401-2A</v>
      </c>
      <c r="Q740" s="677" t="str">
        <f t="shared" si="88"/>
        <v>-</v>
      </c>
      <c r="R740" s="672" t="str">
        <f t="shared" si="89"/>
        <v xml:space="preserve">مهره قفلی  (همراه رام میاد) </v>
      </c>
      <c r="S740" s="586">
        <f t="shared" si="89"/>
        <v>2</v>
      </c>
      <c r="T740" s="666">
        <v>54</v>
      </c>
      <c r="U740" s="666">
        <v>60</v>
      </c>
      <c r="V740" s="666">
        <v>66</v>
      </c>
      <c r="W740" s="638"/>
      <c r="X740" s="669" t="s">
        <v>5504</v>
      </c>
      <c r="Y740" s="669" t="s">
        <v>5663</v>
      </c>
      <c r="Z740" s="673"/>
      <c r="AA740" s="736"/>
    </row>
    <row r="741" spans="1:27" ht="32.1" customHeight="1">
      <c r="A741" s="1176"/>
      <c r="B741" s="1227"/>
      <c r="C741" s="929" t="s">
        <v>1772</v>
      </c>
      <c r="D741" s="931" t="s">
        <v>6097</v>
      </c>
      <c r="E741" s="939"/>
      <c r="F741" s="935">
        <v>0.56000000000000005</v>
      </c>
      <c r="G741" s="952" t="s">
        <v>1</v>
      </c>
      <c r="H741" s="952" t="s">
        <v>1393</v>
      </c>
      <c r="I741" s="952"/>
      <c r="J741" s="230" t="s">
        <v>1499</v>
      </c>
      <c r="K741" s="952">
        <v>2</v>
      </c>
      <c r="L741" s="236"/>
      <c r="M741" s="194"/>
      <c r="N741" s="1167"/>
      <c r="O741" s="914" t="str">
        <f t="shared" si="94"/>
        <v xml:space="preserve">ترک و مارک سنسور سرعت چرخهای جلو  </v>
      </c>
      <c r="P741" s="915" t="str">
        <f>D741</f>
        <v>SX5-3630-2A</v>
      </c>
      <c r="Q741" s="671" t="str">
        <f t="shared" si="88"/>
        <v>-</v>
      </c>
      <c r="R741" s="672" t="str">
        <f t="shared" si="89"/>
        <v>پیچ سر شش گوش واشردار</v>
      </c>
      <c r="S741" s="586">
        <f t="shared" si="89"/>
        <v>2</v>
      </c>
      <c r="T741" s="666">
        <v>6</v>
      </c>
      <c r="U741" s="666">
        <v>8</v>
      </c>
      <c r="V741" s="666">
        <v>10</v>
      </c>
      <c r="W741" s="667" t="s">
        <v>5431</v>
      </c>
      <c r="X741" s="587" t="s">
        <v>5442</v>
      </c>
      <c r="Y741" s="669" t="s">
        <v>5664</v>
      </c>
      <c r="Z741" s="673"/>
      <c r="AA741" s="736"/>
    </row>
    <row r="742" spans="1:27" ht="32.1" customHeight="1">
      <c r="A742" s="1176"/>
      <c r="B742" s="1227"/>
      <c r="C742" s="1154" t="s">
        <v>1771</v>
      </c>
      <c r="D742" s="1209" t="s">
        <v>6098</v>
      </c>
      <c r="E742" s="1126"/>
      <c r="F742" s="1151">
        <v>0.95</v>
      </c>
      <c r="G742" s="952" t="s">
        <v>1</v>
      </c>
      <c r="H742" s="229" t="s">
        <v>1393</v>
      </c>
      <c r="I742" s="229"/>
      <c r="J742" s="230" t="s">
        <v>1503</v>
      </c>
      <c r="K742" s="952">
        <v>2</v>
      </c>
      <c r="L742" s="236"/>
      <c r="M742" s="194"/>
      <c r="N742" s="1167"/>
      <c r="O742" s="1116" t="str">
        <f t="shared" si="94"/>
        <v>ترک و مارک اتصال دسته موتور پایین به میل کراواتی</v>
      </c>
      <c r="P742" s="1117" t="str">
        <f>D742</f>
        <v>SX5K-1001-2A</v>
      </c>
      <c r="Q742" s="678" t="str">
        <f t="shared" si="88"/>
        <v>-</v>
      </c>
      <c r="R742" s="672" t="str">
        <f t="shared" si="89"/>
        <v xml:space="preserve">پیچ فلنجی شش گوش </v>
      </c>
      <c r="S742" s="586">
        <f t="shared" si="89"/>
        <v>2</v>
      </c>
      <c r="T742" s="606">
        <v>65</v>
      </c>
      <c r="U742" s="606">
        <v>70</v>
      </c>
      <c r="V742" s="606">
        <v>75</v>
      </c>
      <c r="W742" s="667" t="s">
        <v>5476</v>
      </c>
      <c r="X742" s="666" t="s">
        <v>5504</v>
      </c>
      <c r="Y742" s="669" t="s">
        <v>6049</v>
      </c>
      <c r="Z742" s="673"/>
      <c r="AA742" s="736"/>
    </row>
    <row r="743" spans="1:27" ht="32.1" customHeight="1">
      <c r="A743" s="1176"/>
      <c r="B743" s="1227"/>
      <c r="C743" s="1154"/>
      <c r="D743" s="1209"/>
      <c r="E743" s="1126"/>
      <c r="F743" s="1151"/>
      <c r="G743" s="952" t="s">
        <v>2</v>
      </c>
      <c r="H743" s="952" t="s">
        <v>1393</v>
      </c>
      <c r="I743" s="952"/>
      <c r="J743" s="230" t="s">
        <v>1503</v>
      </c>
      <c r="K743" s="952">
        <v>1</v>
      </c>
      <c r="L743" s="236"/>
      <c r="M743" s="194"/>
      <c r="N743" s="1167"/>
      <c r="O743" s="1116"/>
      <c r="P743" s="1117"/>
      <c r="Q743" s="671" t="str">
        <f t="shared" si="88"/>
        <v>-</v>
      </c>
      <c r="R743" s="672" t="str">
        <f t="shared" si="89"/>
        <v xml:space="preserve">پیچ فلنجی شش گوش </v>
      </c>
      <c r="S743" s="586">
        <f t="shared" si="89"/>
        <v>1</v>
      </c>
      <c r="T743" s="666">
        <v>50</v>
      </c>
      <c r="U743" s="666">
        <v>55</v>
      </c>
      <c r="V743" s="666">
        <v>60</v>
      </c>
      <c r="W743" s="667" t="s">
        <v>5476</v>
      </c>
      <c r="X743" s="666" t="s">
        <v>5448</v>
      </c>
      <c r="Y743" s="590" t="s">
        <v>6056</v>
      </c>
      <c r="Z743" s="673"/>
      <c r="AA743" s="736"/>
    </row>
    <row r="744" spans="1:27" ht="32.1" customHeight="1">
      <c r="A744" s="1176"/>
      <c r="B744" s="1227"/>
      <c r="C744" s="1154"/>
      <c r="D744" s="1209"/>
      <c r="E744" s="1126"/>
      <c r="F744" s="1151"/>
      <c r="G744" s="952" t="s">
        <v>7</v>
      </c>
      <c r="H744" s="229" t="s">
        <v>1393</v>
      </c>
      <c r="I744" s="229"/>
      <c r="J744" s="230" t="s">
        <v>1503</v>
      </c>
      <c r="K744" s="952">
        <v>1</v>
      </c>
      <c r="L744" s="236"/>
      <c r="M744" s="194"/>
      <c r="N744" s="1167"/>
      <c r="O744" s="1116"/>
      <c r="P744" s="1117"/>
      <c r="Q744" s="678" t="str">
        <f t="shared" si="88"/>
        <v>-</v>
      </c>
      <c r="R744" s="672" t="str">
        <f t="shared" si="89"/>
        <v xml:space="preserve">پیچ فلنجی شش گوش </v>
      </c>
      <c r="S744" s="586">
        <f t="shared" si="89"/>
        <v>1</v>
      </c>
      <c r="T744" s="666">
        <v>50</v>
      </c>
      <c r="U744" s="666">
        <v>55</v>
      </c>
      <c r="V744" s="666">
        <v>60</v>
      </c>
      <c r="W744" s="667" t="s">
        <v>5476</v>
      </c>
      <c r="X744" s="666" t="s">
        <v>5448</v>
      </c>
      <c r="Y744" s="590" t="s">
        <v>6056</v>
      </c>
      <c r="Z744" s="673"/>
      <c r="AA744" s="736"/>
    </row>
    <row r="745" spans="1:27" ht="32.1" customHeight="1">
      <c r="A745" s="1176"/>
      <c r="B745" s="1227"/>
      <c r="C745" s="1154"/>
      <c r="D745" s="1209"/>
      <c r="E745" s="1126"/>
      <c r="F745" s="1151"/>
      <c r="G745" s="952" t="s">
        <v>9</v>
      </c>
      <c r="H745" s="229" t="s">
        <v>1393</v>
      </c>
      <c r="I745" s="229"/>
      <c r="J745" s="230" t="s">
        <v>1769</v>
      </c>
      <c r="K745" s="952">
        <v>1</v>
      </c>
      <c r="L745" s="236"/>
      <c r="M745" s="194"/>
      <c r="N745" s="1167"/>
      <c r="O745" s="1116"/>
      <c r="P745" s="1117"/>
      <c r="Q745" s="678" t="str">
        <f t="shared" si="88"/>
        <v>-</v>
      </c>
      <c r="R745" s="672" t="str">
        <f t="shared" si="89"/>
        <v>پیچ شماره 8 در شکل</v>
      </c>
      <c r="S745" s="586">
        <f t="shared" si="89"/>
        <v>1</v>
      </c>
      <c r="T745" s="666">
        <v>100</v>
      </c>
      <c r="U745" s="666">
        <v>110</v>
      </c>
      <c r="V745" s="666">
        <v>120</v>
      </c>
      <c r="W745" s="667" t="s">
        <v>5606</v>
      </c>
      <c r="X745" s="666" t="s">
        <v>5504</v>
      </c>
      <c r="Y745" s="669" t="s">
        <v>5665</v>
      </c>
      <c r="Z745" s="673"/>
      <c r="AA745" s="736"/>
    </row>
    <row r="746" spans="1:27" ht="32.1" customHeight="1">
      <c r="A746" s="1176"/>
      <c r="B746" s="1227"/>
      <c r="C746" s="1256" t="s">
        <v>1768</v>
      </c>
      <c r="D746" s="1158" t="s">
        <v>6118</v>
      </c>
      <c r="E746" s="1383" t="s">
        <v>4973</v>
      </c>
      <c r="F746" s="1151">
        <v>0.7</v>
      </c>
      <c r="G746" s="292" t="s">
        <v>1371</v>
      </c>
      <c r="H746" s="952" t="s">
        <v>1393</v>
      </c>
      <c r="I746" s="292"/>
      <c r="J746" s="291" t="s">
        <v>1767</v>
      </c>
      <c r="K746" s="292">
        <v>8</v>
      </c>
      <c r="L746" s="299"/>
      <c r="M746" s="194"/>
      <c r="N746" s="1167"/>
      <c r="O746" s="1192" t="str">
        <f>C746</f>
        <v>کنترل گشتاور و چک مارک پیچهای اکسل عقب</v>
      </c>
      <c r="P746" s="1194" t="s">
        <v>1393</v>
      </c>
      <c r="Q746" s="679" t="str">
        <f t="shared" si="88"/>
        <v>-</v>
      </c>
      <c r="R746" s="680" t="str">
        <f t="shared" si="89"/>
        <v>پیچ فلنجی سر شش گوش - کوتاه</v>
      </c>
      <c r="S746" s="611">
        <f t="shared" si="89"/>
        <v>8</v>
      </c>
      <c r="T746" s="666">
        <v>120</v>
      </c>
      <c r="U746" s="666">
        <v>130</v>
      </c>
      <c r="V746" s="666">
        <v>140</v>
      </c>
      <c r="W746" s="667" t="s">
        <v>5606</v>
      </c>
      <c r="X746" s="666" t="s">
        <v>5650</v>
      </c>
      <c r="Y746" s="669" t="s">
        <v>5651</v>
      </c>
      <c r="Z746" s="673"/>
      <c r="AA746" s="736"/>
    </row>
    <row r="747" spans="1:27" ht="32.1" customHeight="1">
      <c r="A747" s="1176"/>
      <c r="B747" s="1227"/>
      <c r="C747" s="1256"/>
      <c r="D747" s="1158"/>
      <c r="E747" s="1383"/>
      <c r="F747" s="1151"/>
      <c r="G747" s="292" t="s">
        <v>1371</v>
      </c>
      <c r="H747" s="952" t="s">
        <v>1393</v>
      </c>
      <c r="I747" s="292"/>
      <c r="J747" s="492" t="s">
        <v>1766</v>
      </c>
      <c r="K747" s="292">
        <v>4</v>
      </c>
      <c r="L747" s="299"/>
      <c r="M747" s="194"/>
      <c r="N747" s="1167"/>
      <c r="O747" s="1192"/>
      <c r="P747" s="1194"/>
      <c r="Q747" s="679" t="str">
        <f t="shared" si="88"/>
        <v>-</v>
      </c>
      <c r="R747" s="680" t="str">
        <f t="shared" si="89"/>
        <v xml:space="preserve"> پیچ اتصال عقب رام به بدنه (پیچ بلند نصب شاسی عقب)</v>
      </c>
      <c r="S747" s="611">
        <f t="shared" si="89"/>
        <v>4</v>
      </c>
      <c r="T747" s="606">
        <v>90</v>
      </c>
      <c r="U747" s="606">
        <v>100</v>
      </c>
      <c r="V747" s="606">
        <v>110</v>
      </c>
      <c r="W747" s="667" t="s">
        <v>5606</v>
      </c>
      <c r="X747" s="590" t="s">
        <v>5504</v>
      </c>
      <c r="Y747" s="590" t="s">
        <v>6057</v>
      </c>
      <c r="Z747" s="673"/>
      <c r="AA747" s="736"/>
    </row>
    <row r="748" spans="1:27" ht="32.1" customHeight="1">
      <c r="A748" s="1176"/>
      <c r="B748" s="1227"/>
      <c r="C748" s="929" t="s">
        <v>1765</v>
      </c>
      <c r="D748" s="931" t="s">
        <v>6099</v>
      </c>
      <c r="E748" s="939"/>
      <c r="F748" s="935">
        <v>0.4</v>
      </c>
      <c r="G748" s="952" t="s">
        <v>1</v>
      </c>
      <c r="H748" s="952" t="s">
        <v>1393</v>
      </c>
      <c r="I748" s="952"/>
      <c r="J748" s="230" t="s">
        <v>1587</v>
      </c>
      <c r="K748" s="952">
        <v>4</v>
      </c>
      <c r="L748" s="236"/>
      <c r="M748" s="194"/>
      <c r="N748" s="1167"/>
      <c r="O748" s="914" t="str">
        <f>C748</f>
        <v>ترک و مارک بازوی اتصال اکسل عقب به بدنه</v>
      </c>
      <c r="P748" s="915" t="str">
        <f>D748</f>
        <v>SX5-2914-4A</v>
      </c>
      <c r="Q748" s="671" t="str">
        <f t="shared" si="88"/>
        <v>-</v>
      </c>
      <c r="R748" s="672" t="str">
        <f t="shared" si="89"/>
        <v xml:space="preserve">پیچ فلنجی سر شش گوش </v>
      </c>
      <c r="S748" s="586">
        <f t="shared" si="89"/>
        <v>4</v>
      </c>
      <c r="T748" s="606">
        <v>48</v>
      </c>
      <c r="U748" s="606">
        <v>53</v>
      </c>
      <c r="V748" s="606">
        <v>58</v>
      </c>
      <c r="W748" s="667" t="s">
        <v>5445</v>
      </c>
      <c r="X748" s="666" t="s">
        <v>5448</v>
      </c>
      <c r="Y748" s="606" t="s">
        <v>5644</v>
      </c>
      <c r="Z748" s="673"/>
      <c r="AA748" s="736"/>
    </row>
    <row r="749" spans="1:27" ht="32.1" customHeight="1">
      <c r="A749" s="1176"/>
      <c r="B749" s="1227"/>
      <c r="C749" s="1256" t="s">
        <v>1764</v>
      </c>
      <c r="D749" s="1158" t="s">
        <v>6119</v>
      </c>
      <c r="E749" s="1212"/>
      <c r="F749" s="1151">
        <v>0.8</v>
      </c>
      <c r="G749" s="493"/>
      <c r="H749" s="952" t="s">
        <v>1393</v>
      </c>
      <c r="I749" s="494"/>
      <c r="J749" s="230" t="s">
        <v>1762</v>
      </c>
      <c r="K749" s="952">
        <v>2</v>
      </c>
      <c r="L749" s="236"/>
      <c r="M749" s="194"/>
      <c r="N749" s="1167"/>
      <c r="O749" s="1192" t="str">
        <f>C749</f>
        <v>ترک و مارک اکسل عقب</v>
      </c>
      <c r="P749" s="1194" t="str">
        <f>D749</f>
        <v>T5-2810-4-B</v>
      </c>
      <c r="Q749" s="671" t="str">
        <f t="shared" si="88"/>
        <v>-</v>
      </c>
      <c r="R749" s="672" t="str">
        <f t="shared" si="89"/>
        <v>پیچ سر شش گوش</v>
      </c>
      <c r="S749" s="586">
        <f t="shared" si="89"/>
        <v>2</v>
      </c>
      <c r="T749" s="666">
        <v>134</v>
      </c>
      <c r="U749" s="666">
        <v>142</v>
      </c>
      <c r="V749" s="666">
        <v>150</v>
      </c>
      <c r="W749" s="667" t="s">
        <v>5606</v>
      </c>
      <c r="X749" s="666" t="s">
        <v>5650</v>
      </c>
      <c r="Y749" s="669" t="s">
        <v>5651</v>
      </c>
      <c r="Z749" s="673"/>
      <c r="AA749" s="736"/>
    </row>
    <row r="750" spans="1:27" ht="32.1" customHeight="1">
      <c r="A750" s="1176"/>
      <c r="B750" s="1227"/>
      <c r="C750" s="1256"/>
      <c r="D750" s="1158"/>
      <c r="E750" s="1212"/>
      <c r="F750" s="1151"/>
      <c r="G750" s="493"/>
      <c r="H750" s="952" t="s">
        <v>1393</v>
      </c>
      <c r="I750" s="494"/>
      <c r="J750" s="230" t="s">
        <v>1761</v>
      </c>
      <c r="K750" s="952">
        <v>4</v>
      </c>
      <c r="L750" s="236"/>
      <c r="M750" s="194"/>
      <c r="N750" s="1167"/>
      <c r="O750" s="1192"/>
      <c r="P750" s="1194"/>
      <c r="Q750" s="671" t="str">
        <f t="shared" si="88"/>
        <v>-</v>
      </c>
      <c r="R750" s="672" t="str">
        <f t="shared" ref="R750:S828" si="95">J750</f>
        <v>مهره</v>
      </c>
      <c r="S750" s="586">
        <f t="shared" si="95"/>
        <v>4</v>
      </c>
      <c r="T750" s="666">
        <v>134</v>
      </c>
      <c r="U750" s="666">
        <v>142</v>
      </c>
      <c r="V750" s="666">
        <v>150</v>
      </c>
      <c r="W750" s="667" t="s">
        <v>5632</v>
      </c>
      <c r="X750" s="666" t="s">
        <v>5609</v>
      </c>
      <c r="Y750" s="669" t="s">
        <v>5662</v>
      </c>
      <c r="Z750" s="673"/>
      <c r="AA750" s="736"/>
    </row>
    <row r="751" spans="1:27" ht="32.1" customHeight="1">
      <c r="A751" s="1176"/>
      <c r="B751" s="1227"/>
      <c r="C751" s="947" t="s">
        <v>1760</v>
      </c>
      <c r="D751" s="948"/>
      <c r="E751" s="1001"/>
      <c r="F751" s="935">
        <v>0.6</v>
      </c>
      <c r="G751" s="935" t="s">
        <v>824</v>
      </c>
      <c r="H751" s="952" t="s">
        <v>1393</v>
      </c>
      <c r="I751" s="952"/>
      <c r="J751" s="230" t="s">
        <v>1755</v>
      </c>
      <c r="K751" s="952">
        <v>2</v>
      </c>
      <c r="L751" s="236"/>
      <c r="M751" s="194"/>
      <c r="N751" s="1167"/>
      <c r="O751" s="962" t="str">
        <f t="shared" ref="O751:O754" si="96">C751</f>
        <v>ترک و مارک اکسل جلو</v>
      </c>
      <c r="P751" s="963" t="s">
        <v>1393</v>
      </c>
      <c r="Q751" s="671" t="str">
        <f t="shared" si="88"/>
        <v>-</v>
      </c>
      <c r="R751" s="672" t="str">
        <f t="shared" si="95"/>
        <v>مهره فلنجی تمام فلزی</v>
      </c>
      <c r="S751" s="586">
        <f t="shared" si="95"/>
        <v>2</v>
      </c>
      <c r="T751" s="666">
        <v>110</v>
      </c>
      <c r="U751" s="666">
        <v>120</v>
      </c>
      <c r="V751" s="666">
        <v>130</v>
      </c>
      <c r="W751" s="667" t="s">
        <v>5666</v>
      </c>
      <c r="X751" s="590" t="s">
        <v>5504</v>
      </c>
      <c r="Y751" s="669" t="s">
        <v>5667</v>
      </c>
      <c r="Z751" s="673"/>
      <c r="AA751" s="736"/>
    </row>
    <row r="752" spans="1:27" ht="32.1" customHeight="1">
      <c r="A752" s="1176"/>
      <c r="B752" s="1227"/>
      <c r="C752" s="929" t="s">
        <v>1759</v>
      </c>
      <c r="D752" s="931" t="s">
        <v>6100</v>
      </c>
      <c r="E752" s="939"/>
      <c r="F752" s="935">
        <v>0.54</v>
      </c>
      <c r="G752" s="952" t="s">
        <v>2</v>
      </c>
      <c r="H752" s="952" t="s">
        <v>1393</v>
      </c>
      <c r="I752" s="952"/>
      <c r="J752" s="230" t="s">
        <v>1757</v>
      </c>
      <c r="K752" s="952">
        <v>2</v>
      </c>
      <c r="L752" s="236"/>
      <c r="M752" s="194"/>
      <c r="N752" s="1167"/>
      <c r="O752" s="914" t="str">
        <f t="shared" si="96"/>
        <v>ترک و مارک بخش جلویی لوله اگزوز</v>
      </c>
      <c r="P752" s="915" t="str">
        <f>D752</f>
        <v>SX5K-1203-1A</v>
      </c>
      <c r="Q752" s="671" t="str">
        <f>H752</f>
        <v>-</v>
      </c>
      <c r="R752" s="672" t="str">
        <f t="shared" si="95"/>
        <v>مهره فلنجی شش گوش تمام فلزی</v>
      </c>
      <c r="S752" s="586">
        <f t="shared" si="95"/>
        <v>2</v>
      </c>
      <c r="T752" s="666">
        <v>40</v>
      </c>
      <c r="U752" s="666">
        <v>45</v>
      </c>
      <c r="V752" s="666">
        <v>50</v>
      </c>
      <c r="W752" s="667" t="s">
        <v>5476</v>
      </c>
      <c r="X752" s="666" t="s">
        <v>5448</v>
      </c>
      <c r="Y752" s="590" t="s">
        <v>6056</v>
      </c>
      <c r="Z752" s="673"/>
      <c r="AA752" s="736"/>
    </row>
    <row r="753" spans="1:27" ht="32.1" customHeight="1">
      <c r="A753" s="1176"/>
      <c r="B753" s="1227"/>
      <c r="C753" s="1004" t="s">
        <v>1758</v>
      </c>
      <c r="D753" s="1005" t="s">
        <v>6101</v>
      </c>
      <c r="E753" s="1001"/>
      <c r="F753" s="935">
        <v>0.62</v>
      </c>
      <c r="G753" s="952" t="s">
        <v>863</v>
      </c>
      <c r="H753" s="952" t="s">
        <v>1393</v>
      </c>
      <c r="I753" s="952"/>
      <c r="J753" s="230" t="s">
        <v>1757</v>
      </c>
      <c r="K753" s="952">
        <v>2</v>
      </c>
      <c r="L753" s="236"/>
      <c r="M753" s="194"/>
      <c r="N753" s="1167"/>
      <c r="O753" s="971" t="str">
        <f t="shared" si="96"/>
        <v>ترک و مارک صدا خفه کن عقب</v>
      </c>
      <c r="P753" s="972" t="str">
        <f>D753</f>
        <v>SX3-1200-4A</v>
      </c>
      <c r="Q753" s="671" t="str">
        <f>H753</f>
        <v>-</v>
      </c>
      <c r="R753" s="672" t="str">
        <f t="shared" si="95"/>
        <v>مهره فلنجی شش گوش تمام فلزی</v>
      </c>
      <c r="S753" s="586">
        <f t="shared" si="95"/>
        <v>2</v>
      </c>
      <c r="T753" s="666">
        <v>40</v>
      </c>
      <c r="U753" s="666">
        <v>45</v>
      </c>
      <c r="V753" s="666">
        <v>50</v>
      </c>
      <c r="W753" s="667" t="s">
        <v>5476</v>
      </c>
      <c r="X753" s="666" t="s">
        <v>5448</v>
      </c>
      <c r="Y753" s="590" t="s">
        <v>6056</v>
      </c>
      <c r="Z753" s="673"/>
      <c r="AA753" s="736"/>
    </row>
    <row r="754" spans="1:27" ht="32.1" customHeight="1" thickBot="1">
      <c r="A754" s="1236"/>
      <c r="B754" s="1242"/>
      <c r="C754" s="1027" t="s">
        <v>1756</v>
      </c>
      <c r="D754" s="1029" t="s">
        <v>6102</v>
      </c>
      <c r="E754" s="1025"/>
      <c r="F754" s="936" t="s">
        <v>4975</v>
      </c>
      <c r="G754" s="936" t="s">
        <v>824</v>
      </c>
      <c r="H754" s="953" t="s">
        <v>1393</v>
      </c>
      <c r="I754" s="953"/>
      <c r="J754" s="272" t="s">
        <v>1755</v>
      </c>
      <c r="K754" s="953">
        <v>2</v>
      </c>
      <c r="L754" s="263"/>
      <c r="M754" s="194"/>
      <c r="N754" s="1168"/>
      <c r="O754" s="1027" t="str">
        <f t="shared" si="96"/>
        <v>ترک و مارک منبع میانی اگزوز</v>
      </c>
      <c r="P754" s="1029" t="str">
        <f>D754</f>
        <v>SX5A-1203-2A</v>
      </c>
      <c r="Q754" s="488" t="str">
        <f>H754</f>
        <v>-</v>
      </c>
      <c r="R754" s="489" t="str">
        <f t="shared" si="95"/>
        <v>مهره فلنجی تمام فلزی</v>
      </c>
      <c r="S754" s="251">
        <f t="shared" si="95"/>
        <v>2</v>
      </c>
      <c r="T754" s="472">
        <v>40</v>
      </c>
      <c r="U754" s="472">
        <v>45</v>
      </c>
      <c r="V754" s="472">
        <v>50</v>
      </c>
      <c r="W754" s="473" t="s">
        <v>5476</v>
      </c>
      <c r="X754" s="472" t="s">
        <v>5448</v>
      </c>
      <c r="Y754" s="284" t="s">
        <v>6056</v>
      </c>
      <c r="Z754" s="286"/>
      <c r="AA754" s="490"/>
    </row>
    <row r="755" spans="1:27" ht="51.75" customHeight="1">
      <c r="A755" s="1146" t="s">
        <v>6038</v>
      </c>
      <c r="B755" s="1218" t="s">
        <v>6155</v>
      </c>
      <c r="C755" s="1310" t="s">
        <v>5753</v>
      </c>
      <c r="D755" s="1180" t="s">
        <v>5194</v>
      </c>
      <c r="E755" s="1302" t="s">
        <v>4973</v>
      </c>
      <c r="F755" s="1127"/>
      <c r="G755" s="495" t="s">
        <v>0</v>
      </c>
      <c r="H755" s="778" t="s">
        <v>6224</v>
      </c>
      <c r="I755" s="1089" t="s">
        <v>6225</v>
      </c>
      <c r="J755" s="496" t="s">
        <v>1754</v>
      </c>
      <c r="K755" s="497">
        <v>1</v>
      </c>
      <c r="L755" s="222" t="s">
        <v>5946</v>
      </c>
      <c r="M755" s="779"/>
      <c r="N755" s="1146" t="str">
        <f>A755</f>
        <v>P57 &amp; P58</v>
      </c>
      <c r="O755" s="1187" t="s">
        <v>5753</v>
      </c>
      <c r="P755" s="1180" t="s">
        <v>5194</v>
      </c>
      <c r="Q755" s="780" t="str">
        <f t="shared" ref="Q755:Q766" si="97">H755</f>
        <v>M4-3685020</v>
      </c>
      <c r="R755" s="710" t="str">
        <f t="shared" si="95"/>
        <v>والف و سنسور TPMS</v>
      </c>
      <c r="S755" s="711">
        <f t="shared" si="95"/>
        <v>1</v>
      </c>
      <c r="T755" s="469"/>
      <c r="U755" s="469"/>
      <c r="V755" s="469"/>
      <c r="W755" s="469"/>
      <c r="X755" s="469"/>
      <c r="Y755" s="469"/>
      <c r="Z755" s="469"/>
      <c r="AA755" s="487"/>
    </row>
    <row r="756" spans="1:27" ht="35.25" customHeight="1">
      <c r="A756" s="1148"/>
      <c r="B756" s="1227"/>
      <c r="C756" s="1311"/>
      <c r="D756" s="1307"/>
      <c r="E756" s="1301"/>
      <c r="F756" s="1128"/>
      <c r="G756" s="498" t="s">
        <v>1</v>
      </c>
      <c r="H756" s="781" t="s">
        <v>1753</v>
      </c>
      <c r="I756" s="933"/>
      <c r="J756" s="499" t="s">
        <v>1752</v>
      </c>
      <c r="K756" s="500">
        <v>5</v>
      </c>
      <c r="L756" s="231" t="s">
        <v>5762</v>
      </c>
      <c r="M756" s="779"/>
      <c r="N756" s="1148"/>
      <c r="O756" s="1188"/>
      <c r="P756" s="1181"/>
      <c r="Q756" s="782" t="str">
        <f t="shared" si="97"/>
        <v>SX5-3101040</v>
      </c>
      <c r="R756" s="683" t="str">
        <f t="shared" si="95"/>
        <v>رينگ</v>
      </c>
      <c r="S756" s="682">
        <f t="shared" si="95"/>
        <v>5</v>
      </c>
      <c r="T756" s="673"/>
      <c r="U756" s="673"/>
      <c r="V756" s="673"/>
      <c r="W756" s="673"/>
      <c r="X756" s="673"/>
      <c r="Y756" s="673"/>
      <c r="Z756" s="673"/>
      <c r="AA756" s="736"/>
    </row>
    <row r="757" spans="1:27" ht="35.25" customHeight="1">
      <c r="A757" s="1148"/>
      <c r="B757" s="1227"/>
      <c r="C757" s="1311"/>
      <c r="D757" s="1307"/>
      <c r="E757" s="1301"/>
      <c r="F757" s="1128"/>
      <c r="G757" s="498" t="s">
        <v>2</v>
      </c>
      <c r="H757" s="781" t="s">
        <v>5754</v>
      </c>
      <c r="I757" s="933"/>
      <c r="J757" s="499" t="s">
        <v>1750</v>
      </c>
      <c r="K757" s="500">
        <v>2</v>
      </c>
      <c r="L757" s="231" t="s">
        <v>5946</v>
      </c>
      <c r="M757" s="779"/>
      <c r="N757" s="1148"/>
      <c r="O757" s="1188"/>
      <c r="P757" s="1181"/>
      <c r="Q757" s="782" t="str">
        <f t="shared" si="97"/>
        <v>A-3101062</v>
      </c>
      <c r="R757" s="683" t="str">
        <f t="shared" si="95"/>
        <v>سرب تعادلی</v>
      </c>
      <c r="S757" s="682">
        <f t="shared" si="95"/>
        <v>2</v>
      </c>
      <c r="T757" s="673"/>
      <c r="U757" s="673"/>
      <c r="V757" s="673"/>
      <c r="W757" s="673"/>
      <c r="X757" s="673"/>
      <c r="Y757" s="673"/>
      <c r="Z757" s="673"/>
      <c r="AA757" s="736"/>
    </row>
    <row r="758" spans="1:27" ht="35.25" customHeight="1">
      <c r="A758" s="1148"/>
      <c r="B758" s="1227"/>
      <c r="C758" s="1311"/>
      <c r="D758" s="1307"/>
      <c r="E758" s="1301"/>
      <c r="F758" s="1128"/>
      <c r="G758" s="937" t="s">
        <v>7</v>
      </c>
      <c r="H758" s="783" t="s">
        <v>1749</v>
      </c>
      <c r="I758" s="937" t="s">
        <v>5755</v>
      </c>
      <c r="J758" s="501" t="s">
        <v>1748</v>
      </c>
      <c r="K758" s="502">
        <v>5</v>
      </c>
      <c r="L758" s="231" t="s">
        <v>5762</v>
      </c>
      <c r="M758" s="784"/>
      <c r="N758" s="1148"/>
      <c r="O758" s="1188"/>
      <c r="P758" s="1181"/>
      <c r="Q758" s="782" t="str">
        <f t="shared" si="97"/>
        <v>SX5-3106050AS</v>
      </c>
      <c r="R758" s="683" t="str">
        <f t="shared" si="95"/>
        <v>تاير</v>
      </c>
      <c r="S758" s="684">
        <f t="shared" si="95"/>
        <v>5</v>
      </c>
      <c r="T758" s="673"/>
      <c r="U758" s="673"/>
      <c r="V758" s="673"/>
      <c r="W758" s="673"/>
      <c r="X758" s="673"/>
      <c r="Y758" s="673"/>
      <c r="Z758" s="673"/>
      <c r="AA758" s="736"/>
    </row>
    <row r="759" spans="1:27" ht="35.25" customHeight="1">
      <c r="A759" s="1148"/>
      <c r="B759" s="1227"/>
      <c r="C759" s="1312"/>
      <c r="D759" s="1182"/>
      <c r="E759" s="1303"/>
      <c r="F759" s="1128"/>
      <c r="G759" s="498" t="s">
        <v>9</v>
      </c>
      <c r="H759" s="781" t="s">
        <v>1393</v>
      </c>
      <c r="I759" s="933"/>
      <c r="J759" s="503" t="s">
        <v>1747</v>
      </c>
      <c r="K759" s="500" t="s">
        <v>5756</v>
      </c>
      <c r="L759" s="785"/>
      <c r="M759" s="784"/>
      <c r="N759" s="1148"/>
      <c r="O759" s="1188"/>
      <c r="P759" s="1181"/>
      <c r="Q759" s="782" t="str">
        <f t="shared" si="97"/>
        <v>-</v>
      </c>
      <c r="R759" s="681" t="str">
        <f t="shared" si="95"/>
        <v>چربی بر(الکل ایزوپروپاتول)</v>
      </c>
      <c r="S759" s="682" t="str">
        <f t="shared" si="95"/>
        <v>2 mL</v>
      </c>
      <c r="T759" s="673"/>
      <c r="U759" s="673"/>
      <c r="V759" s="673"/>
      <c r="W759" s="673"/>
      <c r="X759" s="673"/>
      <c r="Y759" s="673"/>
      <c r="Z759" s="673"/>
      <c r="AA759" s="736"/>
    </row>
    <row r="760" spans="1:27" ht="35.25" customHeight="1">
      <c r="A760" s="1148"/>
      <c r="B760" s="1151"/>
      <c r="C760" s="1189" t="s">
        <v>5757</v>
      </c>
      <c r="D760" s="1307" t="s">
        <v>5194</v>
      </c>
      <c r="E760" s="1300" t="s">
        <v>4973</v>
      </c>
      <c r="F760" s="1382"/>
      <c r="G760" s="938" t="s">
        <v>0</v>
      </c>
      <c r="H760" s="781" t="s">
        <v>5758</v>
      </c>
      <c r="I760" s="933"/>
      <c r="J760" s="499" t="s">
        <v>5759</v>
      </c>
      <c r="K760" s="504">
        <v>1</v>
      </c>
      <c r="L760" s="231" t="s">
        <v>5946</v>
      </c>
      <c r="M760" s="784"/>
      <c r="N760" s="1148"/>
      <c r="O760" s="1188" t="s">
        <v>5757</v>
      </c>
      <c r="P760" s="1181" t="s">
        <v>5194</v>
      </c>
      <c r="Q760" s="782" t="s">
        <v>5760</v>
      </c>
      <c r="R760" s="683" t="s">
        <v>5759</v>
      </c>
      <c r="S760" s="684">
        <v>1</v>
      </c>
      <c r="T760" s="673"/>
      <c r="U760" s="673"/>
      <c r="V760" s="673"/>
      <c r="W760" s="673"/>
      <c r="X760" s="673"/>
      <c r="Y760" s="673"/>
      <c r="Z760" s="673"/>
      <c r="AA760" s="736"/>
    </row>
    <row r="761" spans="1:27" ht="35.25" customHeight="1">
      <c r="A761" s="1148"/>
      <c r="B761" s="1151"/>
      <c r="C761" s="1311"/>
      <c r="D761" s="1307"/>
      <c r="E761" s="1301"/>
      <c r="F761" s="1128"/>
      <c r="G761" s="498" t="s">
        <v>1</v>
      </c>
      <c r="H761" s="781" t="s">
        <v>5761</v>
      </c>
      <c r="I761" s="933"/>
      <c r="J761" s="499" t="s">
        <v>1752</v>
      </c>
      <c r="K761" s="500">
        <v>5</v>
      </c>
      <c r="L761" s="231" t="s">
        <v>5762</v>
      </c>
      <c r="M761" s="784"/>
      <c r="N761" s="1148"/>
      <c r="O761" s="1188"/>
      <c r="P761" s="1181"/>
      <c r="Q761" s="782" t="s">
        <v>1753</v>
      </c>
      <c r="R761" s="683" t="s">
        <v>1752</v>
      </c>
      <c r="S761" s="682">
        <v>5</v>
      </c>
      <c r="T761" s="673"/>
      <c r="U761" s="673"/>
      <c r="V761" s="673"/>
      <c r="W761" s="673"/>
      <c r="X761" s="673"/>
      <c r="Y761" s="673"/>
      <c r="Z761" s="673"/>
      <c r="AA761" s="736"/>
    </row>
    <row r="762" spans="1:27" ht="35.25" customHeight="1">
      <c r="A762" s="1148"/>
      <c r="B762" s="1151"/>
      <c r="C762" s="1311"/>
      <c r="D762" s="1307"/>
      <c r="E762" s="1301"/>
      <c r="F762" s="1128"/>
      <c r="G762" s="498" t="s">
        <v>2</v>
      </c>
      <c r="H762" s="781" t="s">
        <v>5754</v>
      </c>
      <c r="I762" s="933"/>
      <c r="J762" s="499" t="s">
        <v>1750</v>
      </c>
      <c r="K762" s="500">
        <v>2</v>
      </c>
      <c r="L762" s="231" t="s">
        <v>5946</v>
      </c>
      <c r="M762" s="784"/>
      <c r="N762" s="1148"/>
      <c r="O762" s="1188"/>
      <c r="P762" s="1181"/>
      <c r="Q762" s="782" t="s">
        <v>1751</v>
      </c>
      <c r="R762" s="683" t="s">
        <v>1750</v>
      </c>
      <c r="S762" s="682">
        <v>2</v>
      </c>
      <c r="T762" s="673"/>
      <c r="U762" s="673"/>
      <c r="V762" s="673"/>
      <c r="W762" s="673"/>
      <c r="X762" s="673"/>
      <c r="Y762" s="673"/>
      <c r="Z762" s="673"/>
      <c r="AA762" s="736"/>
    </row>
    <row r="763" spans="1:27" ht="35.25" customHeight="1">
      <c r="A763" s="1148"/>
      <c r="B763" s="1151"/>
      <c r="C763" s="1311"/>
      <c r="D763" s="1307"/>
      <c r="E763" s="1301"/>
      <c r="F763" s="1128"/>
      <c r="G763" s="937" t="s">
        <v>7</v>
      </c>
      <c r="H763" s="783" t="s">
        <v>1749</v>
      </c>
      <c r="I763" s="937" t="s">
        <v>5755</v>
      </c>
      <c r="J763" s="501" t="s">
        <v>1748</v>
      </c>
      <c r="K763" s="502">
        <v>5</v>
      </c>
      <c r="L763" s="231" t="s">
        <v>5762</v>
      </c>
      <c r="M763" s="784"/>
      <c r="N763" s="1148"/>
      <c r="O763" s="1188"/>
      <c r="P763" s="1181"/>
      <c r="Q763" s="782" t="s">
        <v>1749</v>
      </c>
      <c r="R763" s="683" t="s">
        <v>1748</v>
      </c>
      <c r="S763" s="684">
        <v>5</v>
      </c>
      <c r="T763" s="673"/>
      <c r="U763" s="673"/>
      <c r="V763" s="673"/>
      <c r="W763" s="673"/>
      <c r="X763" s="673"/>
      <c r="Y763" s="673"/>
      <c r="Z763" s="673"/>
      <c r="AA763" s="736"/>
    </row>
    <row r="764" spans="1:27" ht="35.25" customHeight="1" thickBot="1">
      <c r="A764" s="1148"/>
      <c r="B764" s="1160"/>
      <c r="C764" s="1311"/>
      <c r="D764" s="1182"/>
      <c r="E764" s="1301"/>
      <c r="F764" s="1128"/>
      <c r="G764" s="831" t="s">
        <v>9</v>
      </c>
      <c r="H764" s="783" t="s">
        <v>1393</v>
      </c>
      <c r="I764" s="937"/>
      <c r="J764" s="832" t="s">
        <v>1747</v>
      </c>
      <c r="K764" s="833" t="s">
        <v>5756</v>
      </c>
      <c r="L764" s="785"/>
      <c r="M764" s="784"/>
      <c r="N764" s="1148"/>
      <c r="O764" s="1189"/>
      <c r="P764" s="1182"/>
      <c r="Q764" s="835" t="s">
        <v>1393</v>
      </c>
      <c r="R764" s="836" t="s">
        <v>1747</v>
      </c>
      <c r="S764" s="837" t="s">
        <v>5756</v>
      </c>
      <c r="T764" s="412"/>
      <c r="U764" s="412"/>
      <c r="V764" s="412"/>
      <c r="W764" s="412"/>
      <c r="X764" s="412"/>
      <c r="Y764" s="412"/>
      <c r="Z764" s="412"/>
      <c r="AA764" s="794"/>
    </row>
    <row r="765" spans="1:27" ht="35.25" customHeight="1">
      <c r="A765" s="1146" t="s">
        <v>1740</v>
      </c>
      <c r="B765" s="1218" t="s">
        <v>6155</v>
      </c>
      <c r="C765" s="1308" t="s">
        <v>1745</v>
      </c>
      <c r="D765" s="1354" t="s">
        <v>370</v>
      </c>
      <c r="E765" s="1263" t="s">
        <v>4973</v>
      </c>
      <c r="F765" s="1305"/>
      <c r="G765" s="997" t="s">
        <v>0</v>
      </c>
      <c r="H765" s="834" t="s">
        <v>5375</v>
      </c>
      <c r="I765" s="834"/>
      <c r="J765" s="221" t="s">
        <v>1744</v>
      </c>
      <c r="K765" s="997">
        <v>4</v>
      </c>
      <c r="L765" s="222" t="s">
        <v>5762</v>
      </c>
      <c r="M765" s="784"/>
      <c r="N765" s="1146" t="str">
        <f>A765</f>
        <v>P59</v>
      </c>
      <c r="O765" s="1149" t="str">
        <f t="shared" ref="O765:P765" si="98">C765</f>
        <v>نصب رینگ و تایر</v>
      </c>
      <c r="P765" s="1183" t="str">
        <f t="shared" si="98"/>
        <v>SX5-3106-2</v>
      </c>
      <c r="Q765" s="485" t="str">
        <f t="shared" si="97"/>
        <v>SX5F-3101-0003-2</v>
      </c>
      <c r="R765" s="224" t="str">
        <f t="shared" si="95"/>
        <v>مجموعه رینگ و تایر اصلي بالانس شده</v>
      </c>
      <c r="S765" s="225">
        <f t="shared" si="95"/>
        <v>4</v>
      </c>
      <c r="T765" s="469"/>
      <c r="U765" s="469"/>
      <c r="V765" s="469"/>
      <c r="W765" s="469"/>
      <c r="X765" s="469"/>
      <c r="Y765" s="469"/>
      <c r="Z765" s="469"/>
      <c r="AA765" s="487"/>
    </row>
    <row r="766" spans="1:27" ht="35.25" customHeight="1" thickBot="1">
      <c r="A766" s="1147"/>
      <c r="B766" s="1242"/>
      <c r="C766" s="1309"/>
      <c r="D766" s="1355"/>
      <c r="E766" s="1304"/>
      <c r="F766" s="1306"/>
      <c r="G766" s="953" t="s">
        <v>1</v>
      </c>
      <c r="H766" s="505" t="s">
        <v>1743</v>
      </c>
      <c r="I766" s="505"/>
      <c r="J766" s="272" t="s">
        <v>1742</v>
      </c>
      <c r="K766" s="953">
        <v>20</v>
      </c>
      <c r="L766" s="250" t="s">
        <v>5763</v>
      </c>
      <c r="M766" s="196"/>
      <c r="N766" s="1147"/>
      <c r="O766" s="1150"/>
      <c r="P766" s="1184"/>
      <c r="Q766" s="488" t="str">
        <f t="shared" si="97"/>
        <v>31MA-03012A</v>
      </c>
      <c r="R766" s="274" t="str">
        <f t="shared" si="95"/>
        <v>مهره مخروطی چرخ</v>
      </c>
      <c r="S766" s="251">
        <f t="shared" si="95"/>
        <v>20</v>
      </c>
      <c r="T766" s="472">
        <v>120</v>
      </c>
      <c r="U766" s="472" t="s">
        <v>5615</v>
      </c>
      <c r="V766" s="472">
        <v>140</v>
      </c>
      <c r="W766" s="473" t="s">
        <v>5606</v>
      </c>
      <c r="X766" s="506" t="s">
        <v>5597</v>
      </c>
      <c r="Y766" s="341" t="s">
        <v>5652</v>
      </c>
      <c r="Z766" s="286"/>
      <c r="AA766" s="490"/>
    </row>
    <row r="767" spans="1:27" ht="39.75" customHeight="1" thickBot="1">
      <c r="A767" s="757"/>
      <c r="B767" s="461"/>
      <c r="C767" s="989" t="s">
        <v>1248</v>
      </c>
      <c r="D767" s="507"/>
      <c r="E767" s="461"/>
      <c r="F767" s="461"/>
      <c r="G767" s="461"/>
      <c r="H767" s="464" t="s">
        <v>1741</v>
      </c>
      <c r="I767" s="461"/>
      <c r="J767" s="508"/>
      <c r="K767" s="461"/>
      <c r="L767" s="466"/>
      <c r="M767" s="194"/>
      <c r="N767" s="1384" t="s">
        <v>1741</v>
      </c>
      <c r="O767" s="1385"/>
      <c r="P767" s="1385"/>
      <c r="Q767" s="1385"/>
      <c r="R767" s="1385"/>
      <c r="S767" s="1385"/>
      <c r="T767" s="1385"/>
      <c r="U767" s="1385"/>
      <c r="V767" s="1385"/>
      <c r="W767" s="1385"/>
      <c r="X767" s="1385"/>
      <c r="Y767" s="1385"/>
      <c r="Z767" s="1385"/>
      <c r="AA767" s="1386"/>
    </row>
    <row r="768" spans="1:27" ht="27" customHeight="1">
      <c r="A768" s="1166" t="s">
        <v>1724</v>
      </c>
      <c r="B768" s="946" t="s">
        <v>1596</v>
      </c>
      <c r="C768" s="509" t="s">
        <v>1739</v>
      </c>
      <c r="D768" s="510"/>
      <c r="E768" s="945"/>
      <c r="F768" s="946">
        <v>0.2109</v>
      </c>
      <c r="G768" s="255" t="s">
        <v>1371</v>
      </c>
      <c r="H768" s="255" t="s">
        <v>1464</v>
      </c>
      <c r="I768" s="255"/>
      <c r="J768" s="256" t="s">
        <v>1372</v>
      </c>
      <c r="K768" s="255" t="s">
        <v>1371</v>
      </c>
      <c r="L768" s="511"/>
      <c r="M768" s="194"/>
      <c r="N768" s="1166" t="str">
        <f t="shared" ref="N768:N815" si="99">A768</f>
        <v>P60</v>
      </c>
      <c r="O768" s="509" t="str">
        <f t="shared" ref="O768:O769" si="100">C768</f>
        <v>جا زدن سوکت پمپ بنزین</v>
      </c>
      <c r="P768" s="510" t="s">
        <v>1393</v>
      </c>
      <c r="Q768" s="512" t="str">
        <f t="shared" ref="Q768:Q833" si="101">H768</f>
        <v>---------</v>
      </c>
      <c r="R768" s="513" t="str">
        <f t="shared" si="95"/>
        <v>--------</v>
      </c>
      <c r="S768" s="346" t="str">
        <f t="shared" si="95"/>
        <v>---</v>
      </c>
      <c r="T768" s="469"/>
      <c r="U768" s="469"/>
      <c r="V768" s="469"/>
      <c r="W768" s="469"/>
      <c r="X768" s="227"/>
      <c r="Y768" s="227"/>
      <c r="Z768" s="469"/>
      <c r="AA768" s="487"/>
    </row>
    <row r="769" spans="1:34" ht="27" customHeight="1">
      <c r="A769" s="1167"/>
      <c r="B769" s="1228" t="s">
        <v>1596</v>
      </c>
      <c r="C769" s="1154" t="s">
        <v>1738</v>
      </c>
      <c r="D769" s="1209" t="s">
        <v>84</v>
      </c>
      <c r="E769" s="1126"/>
      <c r="F769" s="1216">
        <v>3.23</v>
      </c>
      <c r="G769" s="952" t="s">
        <v>0</v>
      </c>
      <c r="H769" s="952" t="s">
        <v>1393</v>
      </c>
      <c r="I769" s="952"/>
      <c r="J769" s="230" t="s">
        <v>1737</v>
      </c>
      <c r="K769" s="952">
        <v>1</v>
      </c>
      <c r="L769" s="299"/>
      <c r="M769" s="194"/>
      <c r="N769" s="1167">
        <f t="shared" si="99"/>
        <v>0</v>
      </c>
      <c r="O769" s="1116" t="str">
        <f t="shared" si="100"/>
        <v>نصب قاب ستون های عقب پایین</v>
      </c>
      <c r="P769" s="1117" t="str">
        <f>D769</f>
        <v>SX5F-5402-2</v>
      </c>
      <c r="Q769" s="671" t="str">
        <f t="shared" si="101"/>
        <v>-</v>
      </c>
      <c r="R769" s="672" t="str">
        <f t="shared" si="95"/>
        <v>قاب ستون عقب پایین راست-ساب شده</v>
      </c>
      <c r="S769" s="586">
        <f t="shared" si="95"/>
        <v>1</v>
      </c>
      <c r="T769" s="673"/>
      <c r="U769" s="673"/>
      <c r="V769" s="673"/>
      <c r="W769" s="673"/>
      <c r="X769" s="590"/>
      <c r="Y769" s="590"/>
      <c r="Z769" s="673"/>
      <c r="AA769" s="736"/>
    </row>
    <row r="770" spans="1:34" ht="27" customHeight="1">
      <c r="A770" s="1167"/>
      <c r="B770" s="1228"/>
      <c r="C770" s="1154" t="s">
        <v>1248</v>
      </c>
      <c r="D770" s="1209"/>
      <c r="E770" s="1126"/>
      <c r="F770" s="1216"/>
      <c r="G770" s="952" t="s">
        <v>0</v>
      </c>
      <c r="H770" s="952" t="s">
        <v>1393</v>
      </c>
      <c r="I770" s="952"/>
      <c r="J770" s="230" t="s">
        <v>1736</v>
      </c>
      <c r="K770" s="952">
        <v>1</v>
      </c>
      <c r="L770" s="516"/>
      <c r="M770" s="194"/>
      <c r="N770" s="1167">
        <f t="shared" si="99"/>
        <v>0</v>
      </c>
      <c r="O770" s="1116"/>
      <c r="P770" s="1117"/>
      <c r="Q770" s="671" t="str">
        <f t="shared" si="101"/>
        <v>-</v>
      </c>
      <c r="R770" s="672" t="str">
        <f t="shared" si="95"/>
        <v>قاب ستون عقب پایین چپ-ساب شده</v>
      </c>
      <c r="S770" s="586">
        <f t="shared" si="95"/>
        <v>1</v>
      </c>
      <c r="T770" s="673"/>
      <c r="U770" s="673"/>
      <c r="V770" s="673"/>
      <c r="W770" s="673"/>
      <c r="X770" s="590"/>
      <c r="Y770" s="590"/>
      <c r="Z770" s="673"/>
      <c r="AA770" s="736"/>
    </row>
    <row r="771" spans="1:34" ht="27" customHeight="1">
      <c r="A771" s="1167"/>
      <c r="B771" s="1228"/>
      <c r="C771" s="1154" t="s">
        <v>1248</v>
      </c>
      <c r="D771" s="1209"/>
      <c r="E771" s="1126"/>
      <c r="F771" s="1216"/>
      <c r="G771" s="952" t="s">
        <v>1</v>
      </c>
      <c r="H771" s="952" t="s">
        <v>85</v>
      </c>
      <c r="I771" s="952"/>
      <c r="J771" s="230" t="s">
        <v>1470</v>
      </c>
      <c r="K771" s="952">
        <v>4</v>
      </c>
      <c r="L771" s="231" t="s">
        <v>5948</v>
      </c>
      <c r="M771" s="194"/>
      <c r="N771" s="1167">
        <f t="shared" si="99"/>
        <v>0</v>
      </c>
      <c r="O771" s="1116"/>
      <c r="P771" s="1117"/>
      <c r="Q771" s="671" t="str">
        <f t="shared" si="101"/>
        <v>BL338</v>
      </c>
      <c r="R771" s="672" t="str">
        <f t="shared" si="95"/>
        <v>خار پلاستیکی</v>
      </c>
      <c r="S771" s="586">
        <f t="shared" si="95"/>
        <v>4</v>
      </c>
      <c r="T771" s="673"/>
      <c r="U771" s="673"/>
      <c r="V771" s="673"/>
      <c r="W771" s="673"/>
      <c r="X771" s="590"/>
      <c r="Y771" s="590"/>
      <c r="Z771" s="673"/>
      <c r="AA771" s="736"/>
    </row>
    <row r="772" spans="1:34" ht="27" customHeight="1">
      <c r="A772" s="1167"/>
      <c r="B772" s="1228"/>
      <c r="C772" s="1154" t="s">
        <v>1248</v>
      </c>
      <c r="D772" s="1209"/>
      <c r="E772" s="1126"/>
      <c r="F772" s="1216"/>
      <c r="G772" s="952" t="s">
        <v>2</v>
      </c>
      <c r="H772" s="952" t="s">
        <v>86</v>
      </c>
      <c r="I772" s="952" t="s">
        <v>5397</v>
      </c>
      <c r="J772" s="230" t="s">
        <v>1252</v>
      </c>
      <c r="K772" s="952">
        <v>4</v>
      </c>
      <c r="L772" s="231" t="s">
        <v>5948</v>
      </c>
      <c r="M772" s="194"/>
      <c r="N772" s="1167">
        <f t="shared" si="99"/>
        <v>0</v>
      </c>
      <c r="O772" s="1116"/>
      <c r="P772" s="1117"/>
      <c r="Q772" s="671" t="str">
        <f t="shared" si="101"/>
        <v>Q2734816F38</v>
      </c>
      <c r="R772" s="672" t="str">
        <f t="shared" si="95"/>
        <v xml:space="preserve">پیچ خودکار چهارسو </v>
      </c>
      <c r="S772" s="586">
        <f t="shared" si="95"/>
        <v>4</v>
      </c>
      <c r="T772" s="639">
        <v>2</v>
      </c>
      <c r="U772" s="639">
        <v>2.5</v>
      </c>
      <c r="V772" s="639">
        <v>3</v>
      </c>
      <c r="W772" s="591" t="s">
        <v>5668</v>
      </c>
      <c r="X772" s="639" t="s">
        <v>5451</v>
      </c>
      <c r="Y772" s="639" t="s">
        <v>5669</v>
      </c>
      <c r="Z772" s="673"/>
      <c r="AA772" s="736"/>
    </row>
    <row r="773" spans="1:34" ht="27" customHeight="1">
      <c r="A773" s="1167"/>
      <c r="B773" s="1228"/>
      <c r="C773" s="1154" t="s">
        <v>1248</v>
      </c>
      <c r="D773" s="1209"/>
      <c r="E773" s="1126"/>
      <c r="F773" s="1216"/>
      <c r="G773" s="952" t="s">
        <v>7</v>
      </c>
      <c r="H773" s="952" t="s">
        <v>87</v>
      </c>
      <c r="I773" s="952"/>
      <c r="J773" s="230" t="s">
        <v>1249</v>
      </c>
      <c r="K773" s="952">
        <v>2</v>
      </c>
      <c r="L773" s="231" t="s">
        <v>5948</v>
      </c>
      <c r="M773" s="194"/>
      <c r="N773" s="1167">
        <f t="shared" si="99"/>
        <v>0</v>
      </c>
      <c r="O773" s="1116"/>
      <c r="P773" s="1117"/>
      <c r="Q773" s="671" t="str">
        <f t="shared" si="101"/>
        <v>Q2140610F38</v>
      </c>
      <c r="R773" s="672" t="str">
        <f t="shared" si="95"/>
        <v>پیچ چهارسو</v>
      </c>
      <c r="S773" s="586">
        <f t="shared" si="95"/>
        <v>2</v>
      </c>
      <c r="T773" s="639">
        <v>2</v>
      </c>
      <c r="U773" s="639">
        <v>2.5</v>
      </c>
      <c r="V773" s="639">
        <v>3</v>
      </c>
      <c r="W773" s="591" t="s">
        <v>5668</v>
      </c>
      <c r="X773" s="639" t="s">
        <v>5451</v>
      </c>
      <c r="Y773" s="639" t="s">
        <v>5669</v>
      </c>
      <c r="Z773" s="673"/>
      <c r="AA773" s="736"/>
    </row>
    <row r="774" spans="1:34" ht="27" customHeight="1">
      <c r="A774" s="1167"/>
      <c r="B774" s="1228"/>
      <c r="C774" s="1154" t="s">
        <v>1248</v>
      </c>
      <c r="D774" s="1209"/>
      <c r="E774" s="1126"/>
      <c r="F774" s="1216"/>
      <c r="G774" s="952" t="s">
        <v>9</v>
      </c>
      <c r="H774" s="952" t="s">
        <v>88</v>
      </c>
      <c r="I774" s="952"/>
      <c r="J774" s="230" t="s">
        <v>1251</v>
      </c>
      <c r="K774" s="952">
        <v>4</v>
      </c>
      <c r="L774" s="231" t="s">
        <v>5948</v>
      </c>
      <c r="M774" s="194"/>
      <c r="N774" s="1167">
        <f t="shared" si="99"/>
        <v>0</v>
      </c>
      <c r="O774" s="1116"/>
      <c r="P774" s="1117"/>
      <c r="Q774" s="671" t="str">
        <f t="shared" si="101"/>
        <v>BL611</v>
      </c>
      <c r="R774" s="672" t="str">
        <f t="shared" si="95"/>
        <v>بست فشاری</v>
      </c>
      <c r="S774" s="586">
        <f t="shared" si="95"/>
        <v>4</v>
      </c>
      <c r="T774" s="673"/>
      <c r="U774" s="673"/>
      <c r="V774" s="673"/>
      <c r="W774" s="673"/>
      <c r="X774" s="590"/>
      <c r="Y774" s="590"/>
      <c r="Z774" s="673"/>
      <c r="AA774" s="736"/>
    </row>
    <row r="775" spans="1:34" ht="27" customHeight="1">
      <c r="A775" s="1167"/>
      <c r="B775" s="1228" t="s">
        <v>1596</v>
      </c>
      <c r="C775" s="1154" t="s">
        <v>1735</v>
      </c>
      <c r="D775" s="1209" t="s">
        <v>1734</v>
      </c>
      <c r="E775" s="1126"/>
      <c r="F775" s="1151">
        <v>1.1200000000000001</v>
      </c>
      <c r="G775" s="952" t="s">
        <v>0</v>
      </c>
      <c r="H775" s="952" t="s">
        <v>1733</v>
      </c>
      <c r="I775" s="952"/>
      <c r="J775" s="230" t="s">
        <v>1732</v>
      </c>
      <c r="K775" s="952">
        <v>1</v>
      </c>
      <c r="L775" s="231" t="s">
        <v>5949</v>
      </c>
      <c r="M775" s="194"/>
      <c r="N775" s="1167">
        <f t="shared" si="99"/>
        <v>0</v>
      </c>
      <c r="O775" s="1116" t="str">
        <f>C775</f>
        <v>نصب جعبه ابزارهای صندوق عقب</v>
      </c>
      <c r="P775" s="1117" t="str">
        <f>D775</f>
        <v>SX5F-5402-5</v>
      </c>
      <c r="Q775" s="671" t="str">
        <f t="shared" si="101"/>
        <v>SX5F-5402610B</v>
      </c>
      <c r="R775" s="672" t="str">
        <f t="shared" si="95"/>
        <v>جعبه ابزار سمت چپ صندوق</v>
      </c>
      <c r="S775" s="586">
        <f t="shared" si="95"/>
        <v>1</v>
      </c>
      <c r="T775" s="673"/>
      <c r="U775" s="673"/>
      <c r="V775" s="673"/>
      <c r="W775" s="673"/>
      <c r="X775" s="590"/>
      <c r="Y775" s="590"/>
      <c r="Z775" s="673"/>
      <c r="AA775" s="736"/>
    </row>
    <row r="776" spans="1:34" ht="27" customHeight="1">
      <c r="A776" s="1167"/>
      <c r="B776" s="1228"/>
      <c r="C776" s="1154" t="s">
        <v>1248</v>
      </c>
      <c r="D776" s="1209"/>
      <c r="E776" s="1126"/>
      <c r="F776" s="1151"/>
      <c r="G776" s="952" t="s">
        <v>0</v>
      </c>
      <c r="H776" s="952" t="s">
        <v>1731</v>
      </c>
      <c r="I776" s="952"/>
      <c r="J776" s="230" t="s">
        <v>1730</v>
      </c>
      <c r="K776" s="952">
        <v>1</v>
      </c>
      <c r="L776" s="231" t="s">
        <v>5950</v>
      </c>
      <c r="M776" s="194"/>
      <c r="N776" s="1167">
        <f t="shared" si="99"/>
        <v>0</v>
      </c>
      <c r="O776" s="1116"/>
      <c r="P776" s="1117"/>
      <c r="Q776" s="671" t="str">
        <f t="shared" si="101"/>
        <v>SX5F-5402620B</v>
      </c>
      <c r="R776" s="672" t="str">
        <f t="shared" si="95"/>
        <v>جعبه ابزار سمت راست صندوق</v>
      </c>
      <c r="S776" s="586">
        <f t="shared" si="95"/>
        <v>1</v>
      </c>
      <c r="T776" s="673"/>
      <c r="U776" s="673"/>
      <c r="V776" s="673"/>
      <c r="W776" s="673"/>
      <c r="X776" s="590"/>
      <c r="Y776" s="590"/>
      <c r="Z776" s="673"/>
      <c r="AA776" s="736"/>
    </row>
    <row r="777" spans="1:34" ht="27" customHeight="1">
      <c r="A777" s="1167"/>
      <c r="B777" s="1228"/>
      <c r="C777" s="1154" t="s">
        <v>1248</v>
      </c>
      <c r="D777" s="1209"/>
      <c r="E777" s="1126"/>
      <c r="F777" s="1151"/>
      <c r="G777" s="952" t="s">
        <v>1</v>
      </c>
      <c r="H777" s="952" t="s">
        <v>5</v>
      </c>
      <c r="I777" s="952"/>
      <c r="J777" s="230" t="s">
        <v>1498</v>
      </c>
      <c r="K777" s="952">
        <v>4</v>
      </c>
      <c r="L777" s="231" t="s">
        <v>5948</v>
      </c>
      <c r="M777" s="194"/>
      <c r="N777" s="1167">
        <f t="shared" si="99"/>
        <v>0</v>
      </c>
      <c r="O777" s="1116"/>
      <c r="P777" s="1117"/>
      <c r="Q777" s="671" t="str">
        <f t="shared" si="101"/>
        <v>Q32006F38</v>
      </c>
      <c r="R777" s="672" t="str">
        <f t="shared" si="95"/>
        <v xml:space="preserve">مهره فلنجی سر شش گوش </v>
      </c>
      <c r="S777" s="586">
        <f t="shared" si="95"/>
        <v>4</v>
      </c>
      <c r="T777" s="639">
        <v>3</v>
      </c>
      <c r="U777" s="639">
        <v>5</v>
      </c>
      <c r="V777" s="639">
        <v>7</v>
      </c>
      <c r="W777" s="591" t="s">
        <v>5601</v>
      </c>
      <c r="X777" s="639" t="s">
        <v>5451</v>
      </c>
      <c r="Y777" s="639" t="s">
        <v>5670</v>
      </c>
      <c r="Z777" s="673"/>
      <c r="AA777" s="736"/>
    </row>
    <row r="778" spans="1:34" ht="27" customHeight="1">
      <c r="A778" s="1167"/>
      <c r="B778" s="1160" t="s">
        <v>1596</v>
      </c>
      <c r="C778" s="1154" t="s">
        <v>1729</v>
      </c>
      <c r="D778" s="1209" t="s">
        <v>391</v>
      </c>
      <c r="E778" s="1126"/>
      <c r="F778" s="1151">
        <v>2.35</v>
      </c>
      <c r="G778" s="952" t="s">
        <v>0</v>
      </c>
      <c r="H778" s="952" t="s">
        <v>392</v>
      </c>
      <c r="I778" s="952"/>
      <c r="J778" s="230" t="s">
        <v>1728</v>
      </c>
      <c r="K778" s="952">
        <v>1</v>
      </c>
      <c r="L778" s="231" t="s">
        <v>5952</v>
      </c>
      <c r="M778" s="194"/>
      <c r="N778" s="1167">
        <f t="shared" si="99"/>
        <v>0</v>
      </c>
      <c r="O778" s="1116" t="str">
        <f>C778</f>
        <v>نصب قاب درگاهی دربهای عقب</v>
      </c>
      <c r="P778" s="1117" t="str">
        <f>D778</f>
        <v>SX5-5402-10</v>
      </c>
      <c r="Q778" s="671" t="str">
        <f t="shared" si="101"/>
        <v>SX5-5402510</v>
      </c>
      <c r="R778" s="672" t="str">
        <f t="shared" si="95"/>
        <v>قاب درگاهی درب عقب چپ</v>
      </c>
      <c r="S778" s="586">
        <f t="shared" si="95"/>
        <v>1</v>
      </c>
      <c r="T778" s="673"/>
      <c r="U778" s="673"/>
      <c r="V778" s="673"/>
      <c r="W778" s="673"/>
      <c r="X778" s="590"/>
      <c r="Y778" s="590"/>
      <c r="Z778" s="673"/>
      <c r="AA778" s="736"/>
    </row>
    <row r="779" spans="1:34" ht="27" customHeight="1">
      <c r="A779" s="1167"/>
      <c r="B779" s="1161"/>
      <c r="C779" s="1154" t="s">
        <v>1248</v>
      </c>
      <c r="D779" s="1209"/>
      <c r="E779" s="1126"/>
      <c r="F779" s="1151"/>
      <c r="G779" s="952" t="s">
        <v>0</v>
      </c>
      <c r="H779" s="952" t="s">
        <v>393</v>
      </c>
      <c r="I779" s="952"/>
      <c r="J779" s="230" t="s">
        <v>1727</v>
      </c>
      <c r="K779" s="952">
        <v>1</v>
      </c>
      <c r="L779" s="231" t="s">
        <v>5952</v>
      </c>
      <c r="M779" s="194"/>
      <c r="N779" s="1167">
        <f t="shared" si="99"/>
        <v>0</v>
      </c>
      <c r="O779" s="1116"/>
      <c r="P779" s="1117"/>
      <c r="Q779" s="671" t="str">
        <f t="shared" si="101"/>
        <v>SX5-5402520</v>
      </c>
      <c r="R779" s="672" t="str">
        <f t="shared" si="95"/>
        <v>قاب درگاهی درب عقب راست</v>
      </c>
      <c r="S779" s="586">
        <f t="shared" si="95"/>
        <v>1</v>
      </c>
      <c r="T779" s="673"/>
      <c r="U779" s="673"/>
      <c r="V779" s="673"/>
      <c r="W779" s="673"/>
      <c r="X779" s="590"/>
      <c r="Y779" s="590"/>
      <c r="Z779" s="673"/>
      <c r="AA779" s="736"/>
    </row>
    <row r="780" spans="1:34" ht="27" customHeight="1">
      <c r="A780" s="1167"/>
      <c r="B780" s="1151" t="s">
        <v>1596</v>
      </c>
      <c r="C780" s="1154" t="s">
        <v>1726</v>
      </c>
      <c r="D780" s="1209" t="s">
        <v>596</v>
      </c>
      <c r="E780" s="1126"/>
      <c r="F780" s="1151">
        <v>1.1000000000000001</v>
      </c>
      <c r="G780" s="952" t="s">
        <v>0</v>
      </c>
      <c r="H780" s="952" t="s">
        <v>597</v>
      </c>
      <c r="I780" s="952"/>
      <c r="J780" s="230" t="s">
        <v>1725</v>
      </c>
      <c r="K780" s="952">
        <v>1</v>
      </c>
      <c r="L780" s="231" t="s">
        <v>5949</v>
      </c>
      <c r="M780" s="194"/>
      <c r="N780" s="1167">
        <f t="shared" si="99"/>
        <v>0</v>
      </c>
      <c r="O780" s="1116" t="str">
        <f>C780</f>
        <v>نصب قاب درگاهی صندوق</v>
      </c>
      <c r="P780" s="1117" t="str">
        <f>D780</f>
        <v>SX5-5602-1</v>
      </c>
      <c r="Q780" s="671" t="str">
        <f t="shared" si="101"/>
        <v>SX5F-5602010-Y1</v>
      </c>
      <c r="R780" s="672" t="str">
        <f t="shared" si="95"/>
        <v>قاب درگاهی صندوق عقب</v>
      </c>
      <c r="S780" s="586">
        <f t="shared" si="95"/>
        <v>1</v>
      </c>
      <c r="T780" s="673"/>
      <c r="U780" s="673"/>
      <c r="V780" s="673"/>
      <c r="W780" s="673"/>
      <c r="X780" s="590"/>
      <c r="Y780" s="590"/>
      <c r="Z780" s="673"/>
      <c r="AA780" s="736"/>
    </row>
    <row r="781" spans="1:34" ht="27" customHeight="1">
      <c r="A781" s="1167"/>
      <c r="B781" s="1151"/>
      <c r="C781" s="1154" t="s">
        <v>1248</v>
      </c>
      <c r="D781" s="1209"/>
      <c r="E781" s="1126"/>
      <c r="F781" s="1151"/>
      <c r="G781" s="952" t="s">
        <v>1</v>
      </c>
      <c r="H781" s="952" t="s">
        <v>88</v>
      </c>
      <c r="I781" s="952"/>
      <c r="J781" s="230" t="s">
        <v>1251</v>
      </c>
      <c r="K781" s="952">
        <v>5</v>
      </c>
      <c r="L781" s="231" t="s">
        <v>5948</v>
      </c>
      <c r="M781" s="194"/>
      <c r="N781" s="1167">
        <f t="shared" si="99"/>
        <v>0</v>
      </c>
      <c r="O781" s="1116"/>
      <c r="P781" s="1117"/>
      <c r="Q781" s="671" t="str">
        <f t="shared" si="101"/>
        <v>BL611</v>
      </c>
      <c r="R781" s="672" t="str">
        <f t="shared" si="95"/>
        <v>بست فشاری</v>
      </c>
      <c r="S781" s="586">
        <f t="shared" si="95"/>
        <v>5</v>
      </c>
      <c r="T781" s="673"/>
      <c r="U781" s="673"/>
      <c r="V781" s="673"/>
      <c r="W781" s="673"/>
      <c r="X781" s="590"/>
      <c r="Y781" s="590"/>
      <c r="Z781" s="673"/>
      <c r="AA781" s="736"/>
    </row>
    <row r="782" spans="1:34" ht="27" customHeight="1" thickBot="1">
      <c r="A782" s="1168"/>
      <c r="B782" s="1232"/>
      <c r="C782" s="1186" t="s">
        <v>1248</v>
      </c>
      <c r="D782" s="1159"/>
      <c r="E782" s="1214"/>
      <c r="F782" s="1232"/>
      <c r="G782" s="953" t="s">
        <v>2</v>
      </c>
      <c r="H782" s="953" t="s">
        <v>1397</v>
      </c>
      <c r="I782" s="953"/>
      <c r="J782" s="272" t="s">
        <v>1396</v>
      </c>
      <c r="K782" s="953">
        <v>6</v>
      </c>
      <c r="L782" s="250" t="s">
        <v>5953</v>
      </c>
      <c r="M782" s="194"/>
      <c r="N782" s="1168">
        <f t="shared" si="99"/>
        <v>0</v>
      </c>
      <c r="O782" s="1186"/>
      <c r="P782" s="1159"/>
      <c r="Q782" s="488" t="str">
        <f t="shared" si="101"/>
        <v>SX6A-5402934</v>
      </c>
      <c r="R782" s="489" t="str">
        <f t="shared" si="95"/>
        <v>مهره فشاری (خار)</v>
      </c>
      <c r="S782" s="251">
        <f t="shared" si="95"/>
        <v>6</v>
      </c>
      <c r="T782" s="286"/>
      <c r="U782" s="286"/>
      <c r="V782" s="286"/>
      <c r="W782" s="286"/>
      <c r="X782" s="284"/>
      <c r="Y782" s="284"/>
      <c r="Z782" s="286"/>
      <c r="AA782" s="490"/>
    </row>
    <row r="783" spans="1:34" s="267" customFormat="1" ht="37.5" customHeight="1">
      <c r="A783" s="1175" t="s">
        <v>5764</v>
      </c>
      <c r="B783" s="946" t="s">
        <v>1370</v>
      </c>
      <c r="C783" s="943" t="s">
        <v>5398</v>
      </c>
      <c r="D783" s="944" t="s">
        <v>5399</v>
      </c>
      <c r="E783" s="945"/>
      <c r="F783" s="517">
        <v>0.378695</v>
      </c>
      <c r="G783" s="997"/>
      <c r="H783" s="997" t="s">
        <v>5377</v>
      </c>
      <c r="I783" s="308"/>
      <c r="J783" s="221" t="s">
        <v>5400</v>
      </c>
      <c r="K783" s="310">
        <v>1</v>
      </c>
      <c r="L783" s="222" t="s">
        <v>5951</v>
      </c>
      <c r="M783" s="194"/>
      <c r="N783" s="1166" t="str">
        <f>A783</f>
        <v>P61</v>
      </c>
      <c r="O783" s="943" t="s">
        <v>5398</v>
      </c>
      <c r="P783" s="944" t="s">
        <v>5399</v>
      </c>
      <c r="Q783" s="485" t="s">
        <v>5377</v>
      </c>
      <c r="R783" s="486" t="s">
        <v>5400</v>
      </c>
      <c r="S783" s="312">
        <v>1</v>
      </c>
      <c r="T783" s="469"/>
      <c r="U783" s="469"/>
      <c r="V783" s="469"/>
      <c r="W783" s="469"/>
      <c r="X783" s="227"/>
      <c r="Y783" s="227"/>
      <c r="Z783" s="469"/>
      <c r="AA783" s="487"/>
      <c r="AB783" s="194"/>
      <c r="AC783" s="194"/>
      <c r="AD783" s="194"/>
      <c r="AE783" s="194"/>
      <c r="AF783" s="194"/>
      <c r="AG783" s="194"/>
      <c r="AH783" s="194"/>
    </row>
    <row r="784" spans="1:34" ht="27" customHeight="1">
      <c r="A784" s="1176"/>
      <c r="B784" s="918" t="s">
        <v>1370</v>
      </c>
      <c r="C784" s="514" t="s">
        <v>5199</v>
      </c>
      <c r="D784" s="515"/>
      <c r="E784" s="924"/>
      <c r="F784" s="918"/>
      <c r="G784" s="258"/>
      <c r="H784" s="258" t="s">
        <v>5305</v>
      </c>
      <c r="I784" s="258"/>
      <c r="J784" s="259" t="s">
        <v>5304</v>
      </c>
      <c r="K784" s="258" t="s">
        <v>6035</v>
      </c>
      <c r="L784" s="231" t="s">
        <v>5947</v>
      </c>
      <c r="M784" s="194"/>
      <c r="N784" s="1210"/>
      <c r="O784" s="705"/>
      <c r="P784" s="706"/>
      <c r="Q784" s="679"/>
      <c r="R784" s="680"/>
      <c r="S784" s="611"/>
      <c r="T784" s="673"/>
      <c r="U784" s="673"/>
      <c r="V784" s="673"/>
      <c r="W784" s="673"/>
      <c r="X784" s="590"/>
      <c r="Y784" s="590"/>
      <c r="Z784" s="673"/>
      <c r="AA784" s="736"/>
    </row>
    <row r="785" spans="1:34" s="460" customFormat="1" ht="47.25" customHeight="1">
      <c r="A785" s="1176"/>
      <c r="B785" s="1119" t="s">
        <v>1370</v>
      </c>
      <c r="C785" s="1152" t="s">
        <v>5258</v>
      </c>
      <c r="D785" s="1120" t="s">
        <v>5259</v>
      </c>
      <c r="E785" s="1122"/>
      <c r="F785" s="1160"/>
      <c r="G785" s="977" t="s">
        <v>0</v>
      </c>
      <c r="H785" s="952" t="s">
        <v>1240</v>
      </c>
      <c r="I785" s="977"/>
      <c r="J785" s="268" t="s">
        <v>5260</v>
      </c>
      <c r="K785" s="977">
        <v>1</v>
      </c>
      <c r="L785" s="1059" t="s">
        <v>6014</v>
      </c>
      <c r="M785" s="194"/>
      <c r="N785" s="1210"/>
      <c r="O785" s="1116" t="s">
        <v>5258</v>
      </c>
      <c r="P785" s="1117" t="s">
        <v>5259</v>
      </c>
      <c r="Q785" s="586" t="s">
        <v>1240</v>
      </c>
      <c r="R785" s="600" t="s">
        <v>5260</v>
      </c>
      <c r="S785" s="586">
        <v>1</v>
      </c>
      <c r="T785" s="639"/>
      <c r="U785" s="639"/>
      <c r="V785" s="639"/>
      <c r="W785" s="591"/>
      <c r="X785" s="590"/>
      <c r="Y785" s="590"/>
      <c r="Z785" s="590"/>
      <c r="AA785" s="733"/>
      <c r="AB785" s="194"/>
      <c r="AC785" s="194"/>
      <c r="AD785" s="194"/>
      <c r="AE785" s="194"/>
      <c r="AF785" s="194"/>
      <c r="AG785" s="194"/>
      <c r="AH785" s="194"/>
    </row>
    <row r="786" spans="1:34" s="673" customFormat="1" ht="47.25" customHeight="1">
      <c r="A786" s="1176"/>
      <c r="B786" s="1119"/>
      <c r="C786" s="1153"/>
      <c r="D786" s="1121"/>
      <c r="E786" s="1123"/>
      <c r="F786" s="1161"/>
      <c r="G786" s="941" t="s">
        <v>1</v>
      </c>
      <c r="H786" s="941" t="s">
        <v>5751</v>
      </c>
      <c r="I786" s="941"/>
      <c r="J786" s="870" t="s">
        <v>5248</v>
      </c>
      <c r="K786" s="941">
        <v>1</v>
      </c>
      <c r="L786" s="1059" t="s">
        <v>5965</v>
      </c>
      <c r="M786" s="541"/>
      <c r="N786" s="1210"/>
      <c r="O786" s="1116"/>
      <c r="P786" s="1117"/>
      <c r="Q786" s="586" t="s">
        <v>845</v>
      </c>
      <c r="R786" s="600" t="s">
        <v>5248</v>
      </c>
      <c r="S786" s="586">
        <v>1</v>
      </c>
      <c r="T786" s="639"/>
      <c r="U786" s="639"/>
      <c r="V786" s="639"/>
      <c r="W786" s="591"/>
      <c r="X786" s="590"/>
      <c r="Y786" s="590"/>
      <c r="Z786" s="590"/>
      <c r="AA786" s="733"/>
      <c r="AB786" s="541"/>
      <c r="AC786" s="541"/>
      <c r="AD786" s="541"/>
      <c r="AE786" s="541"/>
      <c r="AF786" s="541"/>
      <c r="AG786" s="541"/>
      <c r="AH786" s="541"/>
    </row>
    <row r="787" spans="1:34" ht="37.5" customHeight="1">
      <c r="A787" s="1176"/>
      <c r="B787" s="1227" t="s">
        <v>1370</v>
      </c>
      <c r="C787" s="1153" t="s">
        <v>1380</v>
      </c>
      <c r="D787" s="1121" t="s">
        <v>535</v>
      </c>
      <c r="E787" s="1123"/>
      <c r="F787" s="1299">
        <v>1.45</v>
      </c>
      <c r="G787" s="977" t="s">
        <v>0</v>
      </c>
      <c r="H787" s="977" t="s">
        <v>278</v>
      </c>
      <c r="I787" s="977"/>
      <c r="J787" s="298" t="s">
        <v>1377</v>
      </c>
      <c r="K787" s="977">
        <v>8</v>
      </c>
      <c r="L787" s="435" t="s">
        <v>5954</v>
      </c>
      <c r="M787" s="194"/>
      <c r="N787" s="1167"/>
      <c r="O787" s="1153" t="str">
        <f t="shared" ref="O787" si="102">C787</f>
        <v xml:space="preserve">مونتاژ بلندگوهای دربهای جانبی سمت چپ </v>
      </c>
      <c r="P787" s="1121" t="str">
        <f>D787</f>
        <v>SX5-7911-1</v>
      </c>
      <c r="Q787" s="814" t="str">
        <f t="shared" si="101"/>
        <v>BL338B</v>
      </c>
      <c r="R787" s="901" t="str">
        <f t="shared" si="95"/>
        <v>مهره پلاستیکی با سوراخ مربعی</v>
      </c>
      <c r="S787" s="803">
        <f t="shared" si="95"/>
        <v>8</v>
      </c>
      <c r="T787" s="460"/>
      <c r="U787" s="460"/>
      <c r="V787" s="460"/>
      <c r="W787" s="460"/>
      <c r="X787" s="806"/>
      <c r="Y787" s="806"/>
      <c r="Z787" s="460"/>
      <c r="AA787" s="816"/>
    </row>
    <row r="788" spans="1:34" ht="37.5" customHeight="1">
      <c r="A788" s="1176"/>
      <c r="B788" s="1227"/>
      <c r="C788" s="1154" t="s">
        <v>1248</v>
      </c>
      <c r="D788" s="1209"/>
      <c r="E788" s="1126"/>
      <c r="F788" s="1223"/>
      <c r="G788" s="952" t="s">
        <v>1</v>
      </c>
      <c r="H788" s="952" t="s">
        <v>536</v>
      </c>
      <c r="I788" s="952"/>
      <c r="J788" s="230" t="s">
        <v>5149</v>
      </c>
      <c r="K788" s="952">
        <v>2</v>
      </c>
      <c r="L788" s="231" t="s">
        <v>5807</v>
      </c>
      <c r="M788" s="194"/>
      <c r="N788" s="1167"/>
      <c r="O788" s="1116"/>
      <c r="P788" s="1117"/>
      <c r="Q788" s="671" t="str">
        <f t="shared" si="101"/>
        <v>B12-7911710</v>
      </c>
      <c r="R788" s="672" t="str">
        <f t="shared" si="95"/>
        <v xml:space="preserve"> مجموعه بلند گو درب های سمت چپ</v>
      </c>
      <c r="S788" s="586">
        <f t="shared" si="95"/>
        <v>2</v>
      </c>
      <c r="T788" s="673"/>
      <c r="U788" s="673"/>
      <c r="V788" s="673"/>
      <c r="W788" s="673"/>
      <c r="X788" s="590"/>
      <c r="Y788" s="590"/>
      <c r="Z788" s="673"/>
      <c r="AA788" s="736"/>
    </row>
    <row r="789" spans="1:34" ht="37.5" customHeight="1">
      <c r="A789" s="1176"/>
      <c r="B789" s="1161"/>
      <c r="C789" s="1154" t="s">
        <v>1248</v>
      </c>
      <c r="D789" s="1209"/>
      <c r="E789" s="1126"/>
      <c r="F789" s="1223"/>
      <c r="G789" s="952" t="s">
        <v>2</v>
      </c>
      <c r="H789" s="952" t="s">
        <v>1375</v>
      </c>
      <c r="I789" s="952"/>
      <c r="J789" s="230" t="s">
        <v>1287</v>
      </c>
      <c r="K789" s="952">
        <v>8</v>
      </c>
      <c r="L789" s="231" t="s">
        <v>5955</v>
      </c>
      <c r="M789" s="194"/>
      <c r="N789" s="1167"/>
      <c r="O789" s="1116"/>
      <c r="P789" s="1117"/>
      <c r="Q789" s="671" t="str">
        <f t="shared" si="101"/>
        <v>Q2735516F38</v>
      </c>
      <c r="R789" s="672" t="str">
        <f t="shared" si="95"/>
        <v xml:space="preserve">پیچ چهارسو </v>
      </c>
      <c r="S789" s="586">
        <f t="shared" si="95"/>
        <v>8</v>
      </c>
      <c r="T789" s="614">
        <v>3</v>
      </c>
      <c r="U789" s="614">
        <v>4</v>
      </c>
      <c r="V789" s="614">
        <v>5</v>
      </c>
      <c r="W789" s="615" t="s">
        <v>5461</v>
      </c>
      <c r="X789" s="614" t="s">
        <v>5671</v>
      </c>
      <c r="Y789" s="614" t="s">
        <v>5672</v>
      </c>
      <c r="Z789" s="673"/>
      <c r="AA789" s="736"/>
    </row>
    <row r="790" spans="1:34" ht="37.5" customHeight="1">
      <c r="A790" s="1176"/>
      <c r="B790" s="1151" t="s">
        <v>1370</v>
      </c>
      <c r="C790" s="1154" t="s">
        <v>1378</v>
      </c>
      <c r="D790" s="1209" t="s">
        <v>535</v>
      </c>
      <c r="E790" s="1126"/>
      <c r="F790" s="1223">
        <v>1.45</v>
      </c>
      <c r="G790" s="952" t="s">
        <v>0</v>
      </c>
      <c r="H790" s="952" t="s">
        <v>278</v>
      </c>
      <c r="I790" s="952"/>
      <c r="J790" s="230" t="s">
        <v>1377</v>
      </c>
      <c r="K790" s="952">
        <v>8</v>
      </c>
      <c r="L790" s="231" t="s">
        <v>5954</v>
      </c>
      <c r="M790" s="194"/>
      <c r="N790" s="1167"/>
      <c r="O790" s="1116" t="str">
        <f t="shared" ref="O790" si="103">C790</f>
        <v xml:space="preserve">مونتاژ بلندگوهای دربهای جانبی سمت راست </v>
      </c>
      <c r="P790" s="1117" t="str">
        <f>D790</f>
        <v>SX5-7911-1</v>
      </c>
      <c r="Q790" s="671" t="str">
        <f t="shared" si="101"/>
        <v>BL338B</v>
      </c>
      <c r="R790" s="672" t="str">
        <f t="shared" si="95"/>
        <v>مهره پلاستیکی با سوراخ مربعی</v>
      </c>
      <c r="S790" s="586">
        <f t="shared" si="95"/>
        <v>8</v>
      </c>
      <c r="T790" s="673"/>
      <c r="U790" s="673"/>
      <c r="V790" s="673"/>
      <c r="W790" s="673"/>
      <c r="X790" s="590"/>
      <c r="Y790" s="590"/>
      <c r="Z790" s="673"/>
      <c r="AA790" s="736"/>
    </row>
    <row r="791" spans="1:34" ht="37.5" customHeight="1">
      <c r="A791" s="1176"/>
      <c r="B791" s="1151"/>
      <c r="C791" s="1154" t="s">
        <v>1248</v>
      </c>
      <c r="D791" s="1209"/>
      <c r="E791" s="1126"/>
      <c r="F791" s="1223"/>
      <c r="G791" s="952" t="s">
        <v>1</v>
      </c>
      <c r="H791" s="952" t="s">
        <v>1376</v>
      </c>
      <c r="I791" s="952"/>
      <c r="J791" s="230" t="s">
        <v>5150</v>
      </c>
      <c r="K791" s="952">
        <v>2</v>
      </c>
      <c r="L791" s="231" t="s">
        <v>5807</v>
      </c>
      <c r="M791" s="194"/>
      <c r="N791" s="1167"/>
      <c r="O791" s="1116"/>
      <c r="P791" s="1117"/>
      <c r="Q791" s="671" t="str">
        <f t="shared" si="101"/>
        <v>B12-7911710</v>
      </c>
      <c r="R791" s="672" t="str">
        <f t="shared" si="95"/>
        <v>مجموعه بلندگو درب های سمت راست</v>
      </c>
      <c r="S791" s="586">
        <f t="shared" si="95"/>
        <v>2</v>
      </c>
      <c r="T791" s="673"/>
      <c r="U791" s="673"/>
      <c r="V791" s="673"/>
      <c r="W791" s="673"/>
      <c r="X791" s="590"/>
      <c r="Y791" s="590"/>
      <c r="Z791" s="673"/>
      <c r="AA791" s="736"/>
    </row>
    <row r="792" spans="1:34" ht="37.5" customHeight="1">
      <c r="A792" s="1176"/>
      <c r="B792" s="1151"/>
      <c r="C792" s="1154" t="s">
        <v>1248</v>
      </c>
      <c r="D792" s="1209"/>
      <c r="E792" s="1126"/>
      <c r="F792" s="1223"/>
      <c r="G792" s="952" t="s">
        <v>2</v>
      </c>
      <c r="H792" s="952" t="s">
        <v>1375</v>
      </c>
      <c r="I792" s="952"/>
      <c r="J792" s="230" t="s">
        <v>1287</v>
      </c>
      <c r="K792" s="952">
        <v>8</v>
      </c>
      <c r="L792" s="231" t="s">
        <v>5955</v>
      </c>
      <c r="M792" s="194"/>
      <c r="N792" s="1167"/>
      <c r="O792" s="1116"/>
      <c r="P792" s="1117"/>
      <c r="Q792" s="671" t="str">
        <f t="shared" si="101"/>
        <v>Q2735516F38</v>
      </c>
      <c r="R792" s="672" t="str">
        <f t="shared" si="95"/>
        <v xml:space="preserve">پیچ چهارسو </v>
      </c>
      <c r="S792" s="586">
        <f t="shared" si="95"/>
        <v>8</v>
      </c>
      <c r="T792" s="614">
        <v>3</v>
      </c>
      <c r="U792" s="614">
        <v>4</v>
      </c>
      <c r="V792" s="614">
        <v>5</v>
      </c>
      <c r="W792" s="615" t="s">
        <v>5461</v>
      </c>
      <c r="X792" s="614" t="s">
        <v>5671</v>
      </c>
      <c r="Y792" s="614" t="s">
        <v>5672</v>
      </c>
      <c r="Z792" s="673"/>
      <c r="AA792" s="736"/>
    </row>
    <row r="793" spans="1:34" ht="37.5" customHeight="1">
      <c r="A793" s="1176"/>
      <c r="B793" s="935" t="s">
        <v>1370</v>
      </c>
      <c r="C793" s="982" t="s">
        <v>1374</v>
      </c>
      <c r="D793" s="995" t="s">
        <v>1373</v>
      </c>
      <c r="E793" s="939" t="s">
        <v>4973</v>
      </c>
      <c r="F793" s="935">
        <v>2.31</v>
      </c>
      <c r="G793" s="292" t="s">
        <v>1371</v>
      </c>
      <c r="H793" s="292" t="s">
        <v>1372</v>
      </c>
      <c r="I793" s="292"/>
      <c r="J793" s="291" t="s">
        <v>1372</v>
      </c>
      <c r="K793" s="292" t="s">
        <v>1371</v>
      </c>
      <c r="L793" s="299"/>
      <c r="M793" s="194"/>
      <c r="N793" s="1167"/>
      <c r="O793" s="964" t="str">
        <f t="shared" ref="O793:P795" si="104">C793</f>
        <v xml:space="preserve">کنترل گشتاور و چک مارک مهره چرخ ها   </v>
      </c>
      <c r="P793" s="965" t="str">
        <f t="shared" si="104"/>
        <v>SX5-5702-3</v>
      </c>
      <c r="Q793" s="679" t="str">
        <f t="shared" si="101"/>
        <v>--------</v>
      </c>
      <c r="R793" s="680" t="str">
        <f t="shared" si="95"/>
        <v>--------</v>
      </c>
      <c r="S793" s="611" t="str">
        <f t="shared" si="95"/>
        <v>---</v>
      </c>
      <c r="T793" s="639">
        <v>120</v>
      </c>
      <c r="U793" s="639">
        <v>130</v>
      </c>
      <c r="V793" s="639">
        <v>140</v>
      </c>
      <c r="W793" s="591" t="s">
        <v>5606</v>
      </c>
      <c r="X793" s="639" t="s">
        <v>5650</v>
      </c>
      <c r="Y793" s="639" t="s">
        <v>5673</v>
      </c>
      <c r="Z793" s="673"/>
      <c r="AA793" s="736"/>
    </row>
    <row r="794" spans="1:34" ht="37.5" customHeight="1">
      <c r="A794" s="1176"/>
      <c r="B794" s="935" t="s">
        <v>1370</v>
      </c>
      <c r="C794" s="929" t="s">
        <v>1369</v>
      </c>
      <c r="D794" s="931" t="s">
        <v>429</v>
      </c>
      <c r="E794" s="939" t="s">
        <v>1379</v>
      </c>
      <c r="F794" s="940">
        <v>1.98</v>
      </c>
      <c r="G794" s="952" t="s">
        <v>0</v>
      </c>
      <c r="H794" s="952" t="s">
        <v>430</v>
      </c>
      <c r="I794" s="952" t="s">
        <v>5166</v>
      </c>
      <c r="J794" s="230" t="s">
        <v>1368</v>
      </c>
      <c r="K794" s="952">
        <v>20</v>
      </c>
      <c r="L794" s="231" t="s">
        <v>5953</v>
      </c>
      <c r="M794" s="194"/>
      <c r="N794" s="1167"/>
      <c r="O794" s="914" t="str">
        <f t="shared" si="104"/>
        <v xml:space="preserve">  نصب کاور تزئینی مهره چرخ</v>
      </c>
      <c r="P794" s="915" t="str">
        <f t="shared" si="104"/>
        <v>SX5-3106-8</v>
      </c>
      <c r="Q794" s="671" t="str">
        <f t="shared" si="101"/>
        <v>B-3102011A</v>
      </c>
      <c r="R794" s="672" t="str">
        <f t="shared" si="95"/>
        <v>کاور تزئینی مهره چرخ</v>
      </c>
      <c r="S794" s="586">
        <f t="shared" si="95"/>
        <v>20</v>
      </c>
      <c r="T794" s="673"/>
      <c r="U794" s="673"/>
      <c r="V794" s="673"/>
      <c r="W794" s="673"/>
      <c r="X794" s="590"/>
      <c r="Y794" s="590"/>
      <c r="Z794" s="673"/>
      <c r="AA794" s="736"/>
    </row>
    <row r="795" spans="1:34" ht="37.5" customHeight="1" thickBot="1">
      <c r="A795" s="1236"/>
      <c r="B795" s="934" t="s">
        <v>1370</v>
      </c>
      <c r="C795" s="754" t="s">
        <v>1367</v>
      </c>
      <c r="D795" s="755" t="s">
        <v>1366</v>
      </c>
      <c r="E795" s="457"/>
      <c r="F795" s="936">
        <v>0.92</v>
      </c>
      <c r="G795" s="279" t="s">
        <v>0</v>
      </c>
      <c r="H795" s="373" t="s">
        <v>1365</v>
      </c>
      <c r="I795" s="373"/>
      <c r="J795" s="374" t="s">
        <v>1364</v>
      </c>
      <c r="K795" s="375">
        <v>4</v>
      </c>
      <c r="L795" s="250" t="s">
        <v>5956</v>
      </c>
      <c r="M795" s="194"/>
      <c r="N795" s="1168"/>
      <c r="O795" s="754" t="str">
        <f t="shared" si="104"/>
        <v>نصب لوگو های چرخ</v>
      </c>
      <c r="P795" s="755" t="str">
        <f t="shared" si="104"/>
        <v>SX5-3921-5-A</v>
      </c>
      <c r="Q795" s="518" t="str">
        <f t="shared" si="101"/>
        <v>T5-T-WL-02</v>
      </c>
      <c r="R795" s="519" t="str">
        <f t="shared" si="95"/>
        <v>لوگوی چرخ T5</v>
      </c>
      <c r="S795" s="378">
        <f t="shared" si="95"/>
        <v>4</v>
      </c>
      <c r="T795" s="286"/>
      <c r="U795" s="286"/>
      <c r="V795" s="286"/>
      <c r="W795" s="286"/>
      <c r="X795" s="284"/>
      <c r="Y795" s="284"/>
      <c r="Z795" s="286"/>
      <c r="AA795" s="490"/>
    </row>
    <row r="796" spans="1:34" ht="39.75" customHeight="1">
      <c r="A796" s="1166" t="s">
        <v>5775</v>
      </c>
      <c r="B796" s="1222" t="s">
        <v>1370</v>
      </c>
      <c r="C796" s="1169" t="s">
        <v>1723</v>
      </c>
      <c r="D796" s="1142" t="s">
        <v>1722</v>
      </c>
      <c r="E796" s="1221"/>
      <c r="F796" s="1222">
        <v>1.84</v>
      </c>
      <c r="G796" s="997" t="s">
        <v>0</v>
      </c>
      <c r="H796" s="308" t="s">
        <v>5096</v>
      </c>
      <c r="I796" s="520"/>
      <c r="J796" s="221" t="s">
        <v>1721</v>
      </c>
      <c r="K796" s="997">
        <v>1</v>
      </c>
      <c r="L796" s="222" t="s">
        <v>5957</v>
      </c>
      <c r="M796" s="194"/>
      <c r="N796" s="1166" t="str">
        <f t="shared" si="99"/>
        <v>P62</v>
      </c>
      <c r="O796" s="1169" t="str">
        <f>C796</f>
        <v>پيش مونتاژ قاب ستون عقب پایین چپ/ راست</v>
      </c>
      <c r="P796" s="1142" t="str">
        <f>D796</f>
        <v>SX5F-5402-2-A</v>
      </c>
      <c r="Q796" s="709" t="str">
        <f t="shared" si="101"/>
        <v>SX5K-5402-0005S</v>
      </c>
      <c r="R796" s="486" t="str">
        <f t="shared" si="95"/>
        <v>قاب ستون عقب پایین چپ</v>
      </c>
      <c r="S796" s="225">
        <f t="shared" si="95"/>
        <v>1</v>
      </c>
      <c r="T796" s="469"/>
      <c r="U796" s="469"/>
      <c r="V796" s="469"/>
      <c r="W796" s="469"/>
      <c r="X796" s="227"/>
      <c r="Y796" s="227"/>
      <c r="Z796" s="469"/>
      <c r="AA796" s="487"/>
    </row>
    <row r="797" spans="1:34" ht="39.75" customHeight="1">
      <c r="A797" s="1167"/>
      <c r="B797" s="1151"/>
      <c r="C797" s="1154"/>
      <c r="D797" s="1209"/>
      <c r="E797" s="1126"/>
      <c r="F797" s="1151"/>
      <c r="G797" s="952" t="s">
        <v>0</v>
      </c>
      <c r="H797" s="521" t="s">
        <v>5097</v>
      </c>
      <c r="I797" s="354"/>
      <c r="J797" s="230" t="s">
        <v>1720</v>
      </c>
      <c r="K797" s="952">
        <v>1</v>
      </c>
      <c r="L797" s="231" t="s">
        <v>5958</v>
      </c>
      <c r="M797" s="194"/>
      <c r="N797" s="1167">
        <f t="shared" si="99"/>
        <v>0</v>
      </c>
      <c r="O797" s="1116"/>
      <c r="P797" s="1117"/>
      <c r="Q797" s="685" t="str">
        <f t="shared" si="101"/>
        <v>SX5F-5402340AKD-Y1</v>
      </c>
      <c r="R797" s="672" t="str">
        <f t="shared" si="95"/>
        <v>قاب ستون عقب پایین راست</v>
      </c>
      <c r="S797" s="586">
        <f t="shared" si="95"/>
        <v>1</v>
      </c>
      <c r="T797" s="673"/>
      <c r="U797" s="673"/>
      <c r="V797" s="673"/>
      <c r="W797" s="673"/>
      <c r="X797" s="590"/>
      <c r="Y797" s="590"/>
      <c r="Z797" s="673"/>
      <c r="AA797" s="736"/>
    </row>
    <row r="798" spans="1:34" ht="39.75" customHeight="1">
      <c r="A798" s="1167"/>
      <c r="B798" s="1151"/>
      <c r="C798" s="1154"/>
      <c r="D798" s="1209"/>
      <c r="E798" s="1126"/>
      <c r="F798" s="1151"/>
      <c r="G798" s="952" t="s">
        <v>1</v>
      </c>
      <c r="H798" s="354" t="s">
        <v>1397</v>
      </c>
      <c r="I798" s="354"/>
      <c r="J798" s="230" t="s">
        <v>1396</v>
      </c>
      <c r="K798" s="952">
        <v>16</v>
      </c>
      <c r="L798" s="231" t="s">
        <v>5953</v>
      </c>
      <c r="M798" s="194"/>
      <c r="N798" s="1167">
        <f t="shared" si="99"/>
        <v>0</v>
      </c>
      <c r="O798" s="1116"/>
      <c r="P798" s="1117"/>
      <c r="Q798" s="685" t="str">
        <f t="shared" si="101"/>
        <v>SX6A-5402934</v>
      </c>
      <c r="R798" s="672" t="str">
        <f t="shared" si="95"/>
        <v>مهره فشاری (خار)</v>
      </c>
      <c r="S798" s="586">
        <f t="shared" si="95"/>
        <v>16</v>
      </c>
      <c r="T798" s="673"/>
      <c r="U798" s="673"/>
      <c r="V798" s="673"/>
      <c r="W798" s="673"/>
      <c r="X798" s="590"/>
      <c r="Y798" s="590"/>
      <c r="Z798" s="673"/>
      <c r="AA798" s="736"/>
    </row>
    <row r="799" spans="1:34" ht="39.75" customHeight="1">
      <c r="A799" s="1167"/>
      <c r="B799" s="1151"/>
      <c r="C799" s="1154" t="s">
        <v>1248</v>
      </c>
      <c r="D799" s="1209"/>
      <c r="E799" s="1126"/>
      <c r="F799" s="1151"/>
      <c r="G799" s="952" t="s">
        <v>2</v>
      </c>
      <c r="H799" s="354" t="s">
        <v>6211</v>
      </c>
      <c r="I799" s="354"/>
      <c r="J799" s="230" t="s">
        <v>1719</v>
      </c>
      <c r="K799" s="952">
        <v>2</v>
      </c>
      <c r="L799" s="236" t="s">
        <v>5953</v>
      </c>
      <c r="M799" s="194"/>
      <c r="N799" s="1167">
        <f t="shared" si="99"/>
        <v>0</v>
      </c>
      <c r="O799" s="1116"/>
      <c r="P799" s="1117"/>
      <c r="Q799" s="685" t="str">
        <f t="shared" si="101"/>
        <v>BL1202B</v>
      </c>
      <c r="R799" s="672" t="str">
        <f t="shared" si="95"/>
        <v>خار پلاستيكي</v>
      </c>
      <c r="S799" s="586">
        <f t="shared" si="95"/>
        <v>2</v>
      </c>
      <c r="T799" s="673"/>
      <c r="U799" s="673"/>
      <c r="V799" s="673"/>
      <c r="W799" s="673"/>
      <c r="X799" s="590"/>
      <c r="Y799" s="590"/>
      <c r="Z799" s="673"/>
      <c r="AA799" s="736"/>
    </row>
    <row r="800" spans="1:34" ht="39.75" customHeight="1">
      <c r="A800" s="1167"/>
      <c r="B800" s="1226" t="s">
        <v>1370</v>
      </c>
      <c r="C800" s="1154" t="s">
        <v>1716</v>
      </c>
      <c r="D800" s="1209" t="s">
        <v>432</v>
      </c>
      <c r="E800" s="1126" t="s">
        <v>37</v>
      </c>
      <c r="F800" s="1325">
        <v>0.83</v>
      </c>
      <c r="G800" s="952" t="s">
        <v>0</v>
      </c>
      <c r="H800" s="933" t="s">
        <v>5378</v>
      </c>
      <c r="I800" s="952" t="s">
        <v>1715</v>
      </c>
      <c r="J800" s="230" t="s">
        <v>1714</v>
      </c>
      <c r="K800" s="952">
        <v>1</v>
      </c>
      <c r="L800" s="231" t="s">
        <v>5959</v>
      </c>
      <c r="M800" s="194"/>
      <c r="N800" s="1167">
        <f t="shared" si="99"/>
        <v>0</v>
      </c>
      <c r="O800" s="1116" t="str">
        <f>C800</f>
        <v>قرار دادن فوم و تجهیزات کمکی داخل صندوق</v>
      </c>
      <c r="P800" s="1117" t="str">
        <f>D800</f>
        <v>SX5-5110-11</v>
      </c>
      <c r="Q800" s="782" t="s">
        <v>5378</v>
      </c>
      <c r="R800" s="672" t="str">
        <f t="shared" si="95"/>
        <v>فوم تقویتی نگهدارنده جک</v>
      </c>
      <c r="S800" s="586">
        <f t="shared" si="95"/>
        <v>1</v>
      </c>
      <c r="T800" s="673"/>
      <c r="U800" s="673"/>
      <c r="V800" s="673"/>
      <c r="W800" s="673"/>
      <c r="X800" s="590"/>
      <c r="Y800" s="590"/>
      <c r="Z800" s="673"/>
      <c r="AA800" s="736"/>
    </row>
    <row r="801" spans="1:27" ht="39.75" customHeight="1">
      <c r="A801" s="1167"/>
      <c r="B801" s="1226"/>
      <c r="C801" s="1154" t="s">
        <v>1248</v>
      </c>
      <c r="D801" s="1209"/>
      <c r="E801" s="1126"/>
      <c r="F801" s="1325"/>
      <c r="G801" s="952" t="s">
        <v>1</v>
      </c>
      <c r="H801" s="300" t="s">
        <v>5376</v>
      </c>
      <c r="I801" s="234" t="s">
        <v>5083</v>
      </c>
      <c r="J801" s="260" t="s">
        <v>1713</v>
      </c>
      <c r="K801" s="952">
        <v>1</v>
      </c>
      <c r="L801" s="231" t="s">
        <v>5951</v>
      </c>
      <c r="M801" s="194"/>
      <c r="N801" s="1167">
        <f t="shared" si="99"/>
        <v>0</v>
      </c>
      <c r="O801" s="1116"/>
      <c r="P801" s="1117"/>
      <c r="Q801" s="677" t="str">
        <f>I801</f>
        <v>SX5G-3913010C</v>
      </c>
      <c r="R801" s="686" t="str">
        <f t="shared" si="95"/>
        <v>جک بالابر</v>
      </c>
      <c r="S801" s="586">
        <f t="shared" si="95"/>
        <v>1</v>
      </c>
      <c r="T801" s="673"/>
      <c r="U801" s="673"/>
      <c r="V801" s="673"/>
      <c r="W801" s="673"/>
      <c r="X801" s="590"/>
      <c r="Y801" s="590"/>
      <c r="Z801" s="673"/>
      <c r="AA801" s="736"/>
    </row>
    <row r="802" spans="1:27" ht="39.75" customHeight="1">
      <c r="A802" s="1167"/>
      <c r="B802" s="1226"/>
      <c r="C802" s="1154" t="s">
        <v>1248</v>
      </c>
      <c r="D802" s="1209"/>
      <c r="E802" s="1126"/>
      <c r="F802" s="1325"/>
      <c r="G802" s="952" t="s">
        <v>2</v>
      </c>
      <c r="H802" s="234" t="s">
        <v>1712</v>
      </c>
      <c r="I802" s="234"/>
      <c r="J802" s="260" t="s">
        <v>1711</v>
      </c>
      <c r="K802" s="952">
        <v>1</v>
      </c>
      <c r="L802" s="231" t="s">
        <v>5951</v>
      </c>
      <c r="M802" s="194"/>
      <c r="N802" s="1167">
        <f t="shared" si="99"/>
        <v>0</v>
      </c>
      <c r="O802" s="1116"/>
      <c r="P802" s="1117"/>
      <c r="Q802" s="677" t="str">
        <f t="shared" si="101"/>
        <v>39MA-00011</v>
      </c>
      <c r="R802" s="686" t="str">
        <f t="shared" si="95"/>
        <v>آچار چرخ</v>
      </c>
      <c r="S802" s="586">
        <f t="shared" si="95"/>
        <v>1</v>
      </c>
      <c r="T802" s="673"/>
      <c r="U802" s="673"/>
      <c r="V802" s="673"/>
      <c r="W802" s="673"/>
      <c r="X802" s="590"/>
      <c r="Y802" s="590"/>
      <c r="Z802" s="673"/>
      <c r="AA802" s="736"/>
    </row>
    <row r="803" spans="1:27" ht="39.75" customHeight="1">
      <c r="A803" s="1167"/>
      <c r="B803" s="1226"/>
      <c r="C803" s="1154" t="s">
        <v>1248</v>
      </c>
      <c r="D803" s="1209"/>
      <c r="E803" s="1126"/>
      <c r="F803" s="1325"/>
      <c r="G803" s="952" t="s">
        <v>7</v>
      </c>
      <c r="H803" s="234" t="s">
        <v>1710</v>
      </c>
      <c r="I803" s="234" t="s">
        <v>5165</v>
      </c>
      <c r="J803" s="260" t="s">
        <v>1709</v>
      </c>
      <c r="K803" s="952">
        <v>1</v>
      </c>
      <c r="L803" s="231" t="s">
        <v>5951</v>
      </c>
      <c r="M803" s="194"/>
      <c r="N803" s="1167">
        <f t="shared" si="99"/>
        <v>0</v>
      </c>
      <c r="O803" s="1116"/>
      <c r="P803" s="1117"/>
      <c r="Q803" s="677" t="str">
        <f t="shared" si="101"/>
        <v>A-3926010</v>
      </c>
      <c r="R803" s="686" t="str">
        <f t="shared" si="95"/>
        <v>مثلث خطر</v>
      </c>
      <c r="S803" s="586">
        <f t="shared" si="95"/>
        <v>1</v>
      </c>
      <c r="T803" s="673"/>
      <c r="U803" s="673"/>
      <c r="V803" s="673"/>
      <c r="W803" s="673"/>
      <c r="X803" s="590"/>
      <c r="Y803" s="590"/>
      <c r="Z803" s="673"/>
      <c r="AA803" s="736"/>
    </row>
    <row r="804" spans="1:27" ht="39.75" customHeight="1">
      <c r="A804" s="1167"/>
      <c r="B804" s="1226"/>
      <c r="C804" s="1154" t="s">
        <v>1248</v>
      </c>
      <c r="D804" s="1209"/>
      <c r="E804" s="1126"/>
      <c r="F804" s="1325"/>
      <c r="G804" s="952" t="s">
        <v>9</v>
      </c>
      <c r="H804" s="234" t="s">
        <v>1708</v>
      </c>
      <c r="I804" s="234"/>
      <c r="J804" s="260" t="s">
        <v>1707</v>
      </c>
      <c r="K804" s="952">
        <v>1</v>
      </c>
      <c r="L804" s="231" t="s">
        <v>5951</v>
      </c>
      <c r="M804" s="194"/>
      <c r="N804" s="1167">
        <f t="shared" si="99"/>
        <v>0</v>
      </c>
      <c r="O804" s="1116"/>
      <c r="P804" s="1117"/>
      <c r="Q804" s="677" t="str">
        <f t="shared" si="101"/>
        <v>C20-3901040</v>
      </c>
      <c r="R804" s="686" t="str">
        <f t="shared" si="95"/>
        <v>قلاب بکسل بند</v>
      </c>
      <c r="S804" s="586">
        <f t="shared" si="95"/>
        <v>1</v>
      </c>
      <c r="T804" s="673"/>
      <c r="U804" s="673"/>
      <c r="V804" s="673"/>
      <c r="W804" s="673"/>
      <c r="X804" s="590"/>
      <c r="Y804" s="590"/>
      <c r="Z804" s="673"/>
      <c r="AA804" s="736"/>
    </row>
    <row r="805" spans="1:27" ht="39.75" customHeight="1">
      <c r="A805" s="1167"/>
      <c r="B805" s="1226"/>
      <c r="C805" s="1154" t="s">
        <v>1248</v>
      </c>
      <c r="D805" s="1209"/>
      <c r="E805" s="1126"/>
      <c r="F805" s="1325"/>
      <c r="G805" s="952" t="s">
        <v>10</v>
      </c>
      <c r="H805" s="234" t="s">
        <v>5084</v>
      </c>
      <c r="I805" s="234"/>
      <c r="J805" s="260" t="s">
        <v>1706</v>
      </c>
      <c r="K805" s="952">
        <v>1</v>
      </c>
      <c r="L805" s="231" t="s">
        <v>5807</v>
      </c>
      <c r="M805" s="194"/>
      <c r="N805" s="1167">
        <f t="shared" si="99"/>
        <v>0</v>
      </c>
      <c r="O805" s="1116"/>
      <c r="P805" s="1117"/>
      <c r="Q805" s="677" t="str">
        <f t="shared" si="101"/>
        <v>B-3922020C</v>
      </c>
      <c r="R805" s="686" t="str">
        <f t="shared" si="95"/>
        <v>جليقه شب نما</v>
      </c>
      <c r="S805" s="586">
        <f t="shared" si="95"/>
        <v>1</v>
      </c>
      <c r="T805" s="673"/>
      <c r="U805" s="673"/>
      <c r="V805" s="673"/>
      <c r="W805" s="673"/>
      <c r="X805" s="590"/>
      <c r="Y805" s="590"/>
      <c r="Z805" s="673"/>
      <c r="AA805" s="736"/>
    </row>
    <row r="806" spans="1:27" ht="39.75" customHeight="1">
      <c r="A806" s="1167"/>
      <c r="B806" s="1226"/>
      <c r="C806" s="1154" t="s">
        <v>1248</v>
      </c>
      <c r="D806" s="1209"/>
      <c r="E806" s="1126"/>
      <c r="F806" s="1325"/>
      <c r="G806" s="952" t="s">
        <v>24</v>
      </c>
      <c r="H806" s="234" t="s">
        <v>1705</v>
      </c>
      <c r="I806" s="234"/>
      <c r="J806" s="260" t="s">
        <v>1704</v>
      </c>
      <c r="K806" s="952">
        <v>1</v>
      </c>
      <c r="L806" s="231" t="s">
        <v>5953</v>
      </c>
      <c r="M806" s="194"/>
      <c r="N806" s="1167">
        <f t="shared" si="99"/>
        <v>0</v>
      </c>
      <c r="O806" s="1116"/>
      <c r="P806" s="1117"/>
      <c r="Q806" s="677" t="str">
        <f t="shared" si="101"/>
        <v>B-3102012</v>
      </c>
      <c r="R806" s="686" t="str">
        <f t="shared" si="95"/>
        <v>گیره کشنده کاور تزئینی مهره چرخ</v>
      </c>
      <c r="S806" s="586">
        <f t="shared" si="95"/>
        <v>1</v>
      </c>
      <c r="T806" s="673"/>
      <c r="U806" s="673"/>
      <c r="V806" s="673"/>
      <c r="W806" s="673"/>
      <c r="X806" s="590"/>
      <c r="Y806" s="590"/>
      <c r="Z806" s="673"/>
      <c r="AA806" s="736"/>
    </row>
    <row r="807" spans="1:27" ht="39.75" customHeight="1">
      <c r="A807" s="1167"/>
      <c r="B807" s="1151" t="s">
        <v>1370</v>
      </c>
      <c r="C807" s="1154" t="s">
        <v>1703</v>
      </c>
      <c r="D807" s="1209" t="s">
        <v>426</v>
      </c>
      <c r="E807" s="1126"/>
      <c r="F807" s="1151">
        <v>0.85</v>
      </c>
      <c r="G807" s="952" t="s">
        <v>0</v>
      </c>
      <c r="H807" s="952" t="s">
        <v>427</v>
      </c>
      <c r="I807" s="952"/>
      <c r="J807" s="230" t="s">
        <v>1702</v>
      </c>
      <c r="K807" s="952">
        <v>1</v>
      </c>
      <c r="L807" s="231" t="s">
        <v>5953</v>
      </c>
      <c r="M807" s="194"/>
      <c r="N807" s="1167">
        <f t="shared" si="99"/>
        <v>0</v>
      </c>
      <c r="O807" s="1116" t="str">
        <f>C807</f>
        <v>مونتاژ محفظه پایین قاب ستون های عقب</v>
      </c>
      <c r="P807" s="1117" t="str">
        <f>D807</f>
        <v>SX5-5402-12</v>
      </c>
      <c r="Q807" s="671" t="str">
        <f t="shared" si="101"/>
        <v>SX5F-5402337B-Y1</v>
      </c>
      <c r="R807" s="672" t="str">
        <f t="shared" si="95"/>
        <v>محفظه پایین قاب ستون عقب چپ</v>
      </c>
      <c r="S807" s="586">
        <f t="shared" si="95"/>
        <v>1</v>
      </c>
      <c r="T807" s="673"/>
      <c r="U807" s="673"/>
      <c r="V807" s="673"/>
      <c r="W807" s="673"/>
      <c r="X807" s="590"/>
      <c r="Y807" s="590"/>
      <c r="Z807" s="673"/>
      <c r="AA807" s="736"/>
    </row>
    <row r="808" spans="1:27" ht="39.75" customHeight="1" thickBot="1">
      <c r="A808" s="1168"/>
      <c r="B808" s="1232"/>
      <c r="C808" s="1186" t="s">
        <v>1248</v>
      </c>
      <c r="D808" s="1159"/>
      <c r="E808" s="1214"/>
      <c r="F808" s="1232"/>
      <c r="G808" s="953" t="s">
        <v>0</v>
      </c>
      <c r="H808" s="953" t="s">
        <v>428</v>
      </c>
      <c r="I808" s="953"/>
      <c r="J808" s="272" t="s">
        <v>1701</v>
      </c>
      <c r="K808" s="953">
        <v>1</v>
      </c>
      <c r="L808" s="250" t="s">
        <v>5953</v>
      </c>
      <c r="M808" s="194"/>
      <c r="N808" s="1168">
        <f t="shared" si="99"/>
        <v>0</v>
      </c>
      <c r="O808" s="1186"/>
      <c r="P808" s="1159"/>
      <c r="Q808" s="488" t="str">
        <f t="shared" si="101"/>
        <v>SX5F-5402338B-Y1</v>
      </c>
      <c r="R808" s="489" t="str">
        <f t="shared" si="95"/>
        <v>محفظه پایین قاب ستون عقب راست</v>
      </c>
      <c r="S808" s="251">
        <f t="shared" si="95"/>
        <v>1</v>
      </c>
      <c r="T808" s="286"/>
      <c r="U808" s="286"/>
      <c r="V808" s="286"/>
      <c r="W808" s="286"/>
      <c r="X808" s="284"/>
      <c r="Y808" s="284"/>
      <c r="Z808" s="286"/>
      <c r="AA808" s="490"/>
    </row>
    <row r="809" spans="1:27" ht="36.950000000000003" customHeight="1">
      <c r="A809" s="1166" t="s">
        <v>6149</v>
      </c>
      <c r="B809" s="1287" t="s">
        <v>5309</v>
      </c>
      <c r="C809" s="1215" t="s">
        <v>5405</v>
      </c>
      <c r="D809" s="1211" t="s">
        <v>372</v>
      </c>
      <c r="E809" s="1219"/>
      <c r="F809" s="1324">
        <v>0.86</v>
      </c>
      <c r="G809" s="997" t="s">
        <v>1</v>
      </c>
      <c r="H809" s="997" t="s">
        <v>1700</v>
      </c>
      <c r="I809" s="997"/>
      <c r="J809" s="221" t="s">
        <v>1699</v>
      </c>
      <c r="K809" s="997">
        <v>1</v>
      </c>
      <c r="L809" s="222" t="s">
        <v>5960</v>
      </c>
      <c r="M809" s="194"/>
      <c r="N809" s="1166" t="str">
        <f t="shared" si="99"/>
        <v>P63</v>
      </c>
      <c r="O809" s="1169" t="s">
        <v>5405</v>
      </c>
      <c r="P809" s="1142" t="s">
        <v>372</v>
      </c>
      <c r="Q809" s="485" t="str">
        <f t="shared" si="101"/>
        <v>SX3A-3101-0003-1</v>
      </c>
      <c r="R809" s="486" t="str">
        <f t="shared" si="95"/>
        <v>مجموعه تایر زاپاس</v>
      </c>
      <c r="S809" s="225">
        <f t="shared" si="95"/>
        <v>1</v>
      </c>
      <c r="T809" s="469"/>
      <c r="U809" s="469"/>
      <c r="V809" s="469"/>
      <c r="W809" s="469"/>
      <c r="X809" s="227"/>
      <c r="Y809" s="227"/>
      <c r="Z809" s="469"/>
      <c r="AA809" s="487"/>
    </row>
    <row r="810" spans="1:27" ht="36.950000000000003" customHeight="1">
      <c r="A810" s="1167"/>
      <c r="B810" s="1139"/>
      <c r="C810" s="1153"/>
      <c r="D810" s="1121"/>
      <c r="E810" s="1123"/>
      <c r="F810" s="1325"/>
      <c r="G810" s="952" t="s">
        <v>2</v>
      </c>
      <c r="H810" s="300" t="s">
        <v>5346</v>
      </c>
      <c r="I810" s="952" t="s">
        <v>373</v>
      </c>
      <c r="J810" s="230" t="s">
        <v>1698</v>
      </c>
      <c r="K810" s="952">
        <v>1</v>
      </c>
      <c r="L810" s="231" t="s">
        <v>5952</v>
      </c>
      <c r="M810" s="194"/>
      <c r="N810" s="1167">
        <f t="shared" si="99"/>
        <v>0</v>
      </c>
      <c r="O810" s="1116"/>
      <c r="P810" s="1117"/>
      <c r="Q810" s="671" t="str">
        <f>I810</f>
        <v>SX5-3105010</v>
      </c>
      <c r="R810" s="672" t="str">
        <f t="shared" si="95"/>
        <v>پیچ نصب تایر زاپاس</v>
      </c>
      <c r="S810" s="586">
        <f t="shared" si="95"/>
        <v>1</v>
      </c>
      <c r="T810" s="673"/>
      <c r="U810" s="673"/>
      <c r="V810" s="673"/>
      <c r="W810" s="673"/>
      <c r="X810" s="590"/>
      <c r="Y810" s="590"/>
      <c r="Z810" s="673"/>
      <c r="AA810" s="736"/>
    </row>
    <row r="811" spans="1:27" ht="36.950000000000003" customHeight="1">
      <c r="A811" s="1167"/>
      <c r="B811" s="935" t="s">
        <v>5309</v>
      </c>
      <c r="C811" s="929" t="s">
        <v>1697</v>
      </c>
      <c r="D811" s="931" t="s">
        <v>397</v>
      </c>
      <c r="E811" s="939"/>
      <c r="F811" s="935">
        <v>4.2</v>
      </c>
      <c r="G811" s="952" t="s">
        <v>0</v>
      </c>
      <c r="H811" s="952" t="s">
        <v>398</v>
      </c>
      <c r="I811" s="952"/>
      <c r="J811" s="230" t="s">
        <v>1696</v>
      </c>
      <c r="K811" s="952">
        <v>1</v>
      </c>
      <c r="L811" s="231" t="s">
        <v>5949</v>
      </c>
      <c r="M811" s="194"/>
      <c r="N811" s="1167">
        <f t="shared" si="99"/>
        <v>0</v>
      </c>
      <c r="O811" s="914" t="str">
        <f t="shared" ref="O811:O813" si="105">C811</f>
        <v xml:space="preserve">  نصب نوار دور صندوق</v>
      </c>
      <c r="P811" s="915" t="str">
        <f>D811</f>
        <v>SX5-6307-1</v>
      </c>
      <c r="Q811" s="671" t="str">
        <f t="shared" si="101"/>
        <v>SX5-6307010C</v>
      </c>
      <c r="R811" s="672" t="str">
        <f t="shared" si="95"/>
        <v>نوار آب بند دور درب صندوق - روی بدنه</v>
      </c>
      <c r="S811" s="586">
        <f t="shared" si="95"/>
        <v>1</v>
      </c>
      <c r="T811" s="673"/>
      <c r="U811" s="673"/>
      <c r="V811" s="673"/>
      <c r="W811" s="673"/>
      <c r="X811" s="590"/>
      <c r="Y811" s="590"/>
      <c r="Z811" s="673"/>
      <c r="AA811" s="736"/>
    </row>
    <row r="812" spans="1:27" ht="36.950000000000003" customHeight="1">
      <c r="A812" s="1167"/>
      <c r="B812" s="935" t="s">
        <v>5309</v>
      </c>
      <c r="C812" s="982" t="s">
        <v>1695</v>
      </c>
      <c r="D812" s="995" t="s">
        <v>6120</v>
      </c>
      <c r="E812" s="996" t="s">
        <v>4973</v>
      </c>
      <c r="F812" s="935">
        <v>0.44</v>
      </c>
      <c r="G812" s="292" t="s">
        <v>2347</v>
      </c>
      <c r="H812" s="292" t="s">
        <v>1412</v>
      </c>
      <c r="I812" s="292" t="s">
        <v>1412</v>
      </c>
      <c r="J812" s="291" t="s">
        <v>1464</v>
      </c>
      <c r="K812" s="292" t="s">
        <v>1371</v>
      </c>
      <c r="L812" s="299"/>
      <c r="M812" s="194"/>
      <c r="N812" s="1167">
        <f t="shared" si="99"/>
        <v>0</v>
      </c>
      <c r="O812" s="964" t="str">
        <f t="shared" si="105"/>
        <v xml:space="preserve">کنترل گشتاور و چک مارک مهره دسته موتور چپ  </v>
      </c>
      <c r="P812" s="965" t="str">
        <f>D812</f>
        <v>SX5-5200-1A</v>
      </c>
      <c r="Q812" s="679" t="str">
        <f t="shared" si="101"/>
        <v>------</v>
      </c>
      <c r="R812" s="680" t="str">
        <f t="shared" si="95"/>
        <v>---------</v>
      </c>
      <c r="S812" s="611" t="str">
        <f t="shared" si="95"/>
        <v>---</v>
      </c>
      <c r="T812" s="639">
        <v>90</v>
      </c>
      <c r="U812" s="639">
        <v>110</v>
      </c>
      <c r="V812" s="639">
        <v>130</v>
      </c>
      <c r="W812" s="591" t="s">
        <v>5632</v>
      </c>
      <c r="X812" s="639" t="s">
        <v>5504</v>
      </c>
      <c r="Y812" s="639" t="s">
        <v>5674</v>
      </c>
      <c r="Z812" s="673"/>
      <c r="AA812" s="736"/>
    </row>
    <row r="813" spans="1:27" ht="36.950000000000003" customHeight="1">
      <c r="A813" s="1167"/>
      <c r="B813" s="1151" t="s">
        <v>5309</v>
      </c>
      <c r="C813" s="1154" t="s">
        <v>1694</v>
      </c>
      <c r="D813" s="1209" t="s">
        <v>1693</v>
      </c>
      <c r="E813" s="1126"/>
      <c r="F813" s="1151">
        <v>0.4</v>
      </c>
      <c r="G813" s="952" t="s">
        <v>0</v>
      </c>
      <c r="H813" s="952" t="s">
        <v>11</v>
      </c>
      <c r="I813" s="952"/>
      <c r="J813" s="230" t="s">
        <v>1642</v>
      </c>
      <c r="K813" s="952">
        <v>1</v>
      </c>
      <c r="L813" s="231" t="s">
        <v>5961</v>
      </c>
      <c r="M813" s="194"/>
      <c r="N813" s="1167">
        <f t="shared" si="99"/>
        <v>0</v>
      </c>
      <c r="O813" s="1116" t="str">
        <f t="shared" si="105"/>
        <v xml:space="preserve">  اتصال لوله ورودی و خروجی کمپرسور به کندانسور</v>
      </c>
      <c r="P813" s="1117" t="str">
        <f>D813</f>
        <v>SX5-8108-7</v>
      </c>
      <c r="Q813" s="671" t="str">
        <f t="shared" si="101"/>
        <v>Q33006F38</v>
      </c>
      <c r="R813" s="672" t="str">
        <f t="shared" si="95"/>
        <v>مهره فلنچی</v>
      </c>
      <c r="S813" s="586">
        <f t="shared" si="95"/>
        <v>1</v>
      </c>
      <c r="T813" s="673"/>
      <c r="U813" s="673"/>
      <c r="V813" s="673"/>
      <c r="W813" s="673"/>
      <c r="X813" s="590"/>
      <c r="Y813" s="590"/>
      <c r="Z813" s="673"/>
      <c r="AA813" s="736"/>
    </row>
    <row r="814" spans="1:27" ht="36.950000000000003" customHeight="1">
      <c r="A814" s="1167"/>
      <c r="B814" s="1151"/>
      <c r="C814" s="1154" t="s">
        <v>1248</v>
      </c>
      <c r="D814" s="1209"/>
      <c r="E814" s="1126"/>
      <c r="F814" s="1151"/>
      <c r="G814" s="952" t="s">
        <v>1</v>
      </c>
      <c r="H814" s="952" t="s">
        <v>4</v>
      </c>
      <c r="I814" s="952" t="s">
        <v>5396</v>
      </c>
      <c r="J814" s="230" t="s">
        <v>1690</v>
      </c>
      <c r="K814" s="952">
        <v>1</v>
      </c>
      <c r="L814" s="231" t="s">
        <v>5961</v>
      </c>
      <c r="M814" s="194"/>
      <c r="N814" s="1167">
        <f t="shared" si="99"/>
        <v>0</v>
      </c>
      <c r="O814" s="1116"/>
      <c r="P814" s="1117"/>
      <c r="Q814" s="671" t="str">
        <f t="shared" si="101"/>
        <v>Q1460625F38</v>
      </c>
      <c r="R814" s="672" t="str">
        <f t="shared" si="95"/>
        <v xml:space="preserve">پیچ سر شش گوش </v>
      </c>
      <c r="S814" s="586">
        <f t="shared" si="95"/>
        <v>1</v>
      </c>
      <c r="T814" s="673"/>
      <c r="U814" s="673"/>
      <c r="V814" s="673"/>
      <c r="W814" s="673"/>
      <c r="X814" s="590"/>
      <c r="Y814" s="590"/>
      <c r="Z814" s="673"/>
      <c r="AA814" s="736"/>
    </row>
    <row r="815" spans="1:27" ht="36.950000000000003" customHeight="1" thickBot="1">
      <c r="A815" s="1167"/>
      <c r="B815" s="935" t="s">
        <v>5309</v>
      </c>
      <c r="C815" s="929" t="s">
        <v>1692</v>
      </c>
      <c r="D815" s="931" t="s">
        <v>1691</v>
      </c>
      <c r="E815" s="939"/>
      <c r="F815" s="952">
        <v>0.26</v>
      </c>
      <c r="G815" s="952" t="s">
        <v>0</v>
      </c>
      <c r="H815" s="952" t="s">
        <v>4</v>
      </c>
      <c r="I815" s="952" t="s">
        <v>5396</v>
      </c>
      <c r="J815" s="230" t="s">
        <v>1690</v>
      </c>
      <c r="K815" s="952">
        <v>1</v>
      </c>
      <c r="L815" s="231" t="s">
        <v>5961</v>
      </c>
      <c r="M815" s="194"/>
      <c r="N815" s="1167">
        <f t="shared" si="99"/>
        <v>0</v>
      </c>
      <c r="O815" s="914" t="str">
        <f>C815</f>
        <v xml:space="preserve">اتصال لوله اواپراتور به کندانسورر  </v>
      </c>
      <c r="P815" s="915" t="str">
        <f>D815</f>
        <v>SX5-8108-4</v>
      </c>
      <c r="Q815" s="671" t="str">
        <f t="shared" si="101"/>
        <v>Q1460625F38</v>
      </c>
      <c r="R815" s="672" t="str">
        <f t="shared" si="95"/>
        <v xml:space="preserve">پیچ سر شش گوش </v>
      </c>
      <c r="S815" s="586">
        <f t="shared" si="95"/>
        <v>1</v>
      </c>
      <c r="T815" s="639">
        <v>6</v>
      </c>
      <c r="U815" s="639">
        <v>8</v>
      </c>
      <c r="V815" s="639">
        <v>10</v>
      </c>
      <c r="W815" s="591" t="s">
        <v>5431</v>
      </c>
      <c r="X815" s="639" t="s">
        <v>5485</v>
      </c>
      <c r="Y815" s="639" t="s">
        <v>5675</v>
      </c>
      <c r="Z815" s="673"/>
      <c r="AA815" s="736"/>
    </row>
    <row r="816" spans="1:27" ht="42.75" customHeight="1">
      <c r="A816" s="1177" t="s">
        <v>6150</v>
      </c>
      <c r="B816" s="1218" t="s">
        <v>1590</v>
      </c>
      <c r="C816" s="1215" t="s">
        <v>1386</v>
      </c>
      <c r="D816" s="1211" t="s">
        <v>374</v>
      </c>
      <c r="E816" s="1219" t="s">
        <v>4973</v>
      </c>
      <c r="F816" s="1218">
        <v>0.95</v>
      </c>
      <c r="G816" s="997" t="s">
        <v>697</v>
      </c>
      <c r="H816" s="380" t="s">
        <v>5242</v>
      </c>
      <c r="I816" s="380" t="s">
        <v>5244</v>
      </c>
      <c r="J816" s="221" t="s">
        <v>1385</v>
      </c>
      <c r="K816" s="997">
        <v>1</v>
      </c>
      <c r="L816" s="222" t="s">
        <v>5968</v>
      </c>
      <c r="M816" s="194"/>
      <c r="N816" s="1135" t="str">
        <f>A816</f>
        <v>P65 &amp; P64</v>
      </c>
      <c r="O816" s="1169" t="s">
        <v>1386</v>
      </c>
      <c r="P816" s="1142" t="s">
        <v>374</v>
      </c>
      <c r="Q816" s="524" t="str">
        <f t="shared" si="101"/>
        <v>SX5G-8201020</v>
      </c>
      <c r="R816" s="513" t="str">
        <f t="shared" si="95"/>
        <v>آینه وسط شیشه جلو</v>
      </c>
      <c r="S816" s="225" t="e">
        <f>#REF!</f>
        <v>#REF!</v>
      </c>
      <c r="T816" s="393">
        <v>2</v>
      </c>
      <c r="U816" s="393">
        <v>2.5</v>
      </c>
      <c r="V816" s="393">
        <v>3</v>
      </c>
      <c r="W816" s="394" t="s">
        <v>5668</v>
      </c>
      <c r="X816" s="393" t="s">
        <v>5671</v>
      </c>
      <c r="Y816" s="393" t="s">
        <v>5730</v>
      </c>
      <c r="Z816" s="469"/>
      <c r="AA816" s="487"/>
    </row>
    <row r="817" spans="1:27" ht="32.25" customHeight="1">
      <c r="A817" s="1178"/>
      <c r="B817" s="1227"/>
      <c r="C817" s="1201" t="s">
        <v>1248</v>
      </c>
      <c r="D817" s="1202"/>
      <c r="E817" s="1165"/>
      <c r="F817" s="1227"/>
      <c r="G817" s="952" t="s">
        <v>717</v>
      </c>
      <c r="H817" s="952" t="s">
        <v>5229</v>
      </c>
      <c r="I817" s="952" t="s">
        <v>1384</v>
      </c>
      <c r="J817" s="230" t="s">
        <v>1383</v>
      </c>
      <c r="K817" s="952">
        <v>1</v>
      </c>
      <c r="L817" s="231" t="s">
        <v>5968</v>
      </c>
      <c r="M817" s="194"/>
      <c r="N817" s="1136"/>
      <c r="O817" s="1116" t="s">
        <v>1248</v>
      </c>
      <c r="P817" s="1117"/>
      <c r="Q817" s="688" t="str">
        <f t="shared" si="101"/>
        <v>SX7-5402191A-Y2</v>
      </c>
      <c r="R817" s="680" t="str">
        <f t="shared" si="95"/>
        <v>قاب اصلی آینه وسط</v>
      </c>
      <c r="S817" s="586">
        <f t="shared" ref="S817:S818" si="106">K816</f>
        <v>1</v>
      </c>
      <c r="T817" s="673"/>
      <c r="U817" s="673"/>
      <c r="V817" s="673"/>
      <c r="W817" s="673"/>
      <c r="X817" s="590"/>
      <c r="Y817" s="590"/>
      <c r="Z817" s="673"/>
      <c r="AA817" s="736"/>
    </row>
    <row r="818" spans="1:27" ht="32.25" customHeight="1">
      <c r="A818" s="1178"/>
      <c r="B818" s="1161"/>
      <c r="C818" s="1153" t="s">
        <v>1248</v>
      </c>
      <c r="D818" s="1121"/>
      <c r="E818" s="1123"/>
      <c r="F818" s="1161"/>
      <c r="G818" s="952" t="s">
        <v>863</v>
      </c>
      <c r="H818" s="952" t="s">
        <v>5230</v>
      </c>
      <c r="I818" s="952" t="s">
        <v>375</v>
      </c>
      <c r="J818" s="230" t="s">
        <v>6203</v>
      </c>
      <c r="K818" s="952">
        <v>1</v>
      </c>
      <c r="L818" s="231" t="s">
        <v>5968</v>
      </c>
      <c r="M818" s="194"/>
      <c r="N818" s="1136"/>
      <c r="O818" s="1116" t="s">
        <v>1248</v>
      </c>
      <c r="P818" s="1117"/>
      <c r="Q818" s="688" t="str">
        <f t="shared" si="101"/>
        <v>SX7-5402192A-Y2</v>
      </c>
      <c r="R818" s="680" t="str">
        <f t="shared" si="95"/>
        <v>کاور روی قاب آینه</v>
      </c>
      <c r="S818" s="586">
        <f t="shared" si="106"/>
        <v>1</v>
      </c>
      <c r="T818" s="673"/>
      <c r="U818" s="673"/>
      <c r="V818" s="673"/>
      <c r="W818" s="673"/>
      <c r="X818" s="590"/>
      <c r="Y818" s="590"/>
      <c r="Z818" s="673"/>
      <c r="AA818" s="736"/>
    </row>
    <row r="819" spans="1:27" ht="44.25" customHeight="1">
      <c r="A819" s="1178"/>
      <c r="B819" s="1161" t="s">
        <v>1387</v>
      </c>
      <c r="C819" s="1153" t="s">
        <v>1687</v>
      </c>
      <c r="D819" s="1121" t="s">
        <v>79</v>
      </c>
      <c r="E819" s="1123" t="s">
        <v>4973</v>
      </c>
      <c r="F819" s="1161">
        <v>0.9</v>
      </c>
      <c r="G819" s="977" t="s">
        <v>0</v>
      </c>
      <c r="H819" s="300" t="s">
        <v>5787</v>
      </c>
      <c r="I819" s="977" t="s">
        <v>5786</v>
      </c>
      <c r="J819" s="298" t="s">
        <v>1686</v>
      </c>
      <c r="K819" s="977">
        <v>1</v>
      </c>
      <c r="L819" s="231" t="s">
        <v>5964</v>
      </c>
      <c r="M819" s="194"/>
      <c r="N819" s="1136"/>
      <c r="O819" s="1116" t="str">
        <f>C819</f>
        <v>پیش مونتاژ شیشه های لچکی عقب</v>
      </c>
      <c r="P819" s="1117" t="str">
        <f>D819</f>
        <v>SX5F-5403-1</v>
      </c>
      <c r="Q819" s="671" t="str">
        <f>I819</f>
        <v>SX3A-5403031B
SX3A-5403031</v>
      </c>
      <c r="R819" s="672" t="str">
        <f t="shared" si="95"/>
        <v>شیشه لچکی عقب - چپ</v>
      </c>
      <c r="S819" s="586">
        <f t="shared" si="95"/>
        <v>1</v>
      </c>
      <c r="T819" s="673"/>
      <c r="U819" s="673"/>
      <c r="V819" s="673"/>
      <c r="W819" s="673"/>
      <c r="X819" s="590"/>
      <c r="Y819" s="590"/>
      <c r="Z819" s="673"/>
      <c r="AA819" s="736"/>
    </row>
    <row r="820" spans="1:27" ht="44.25" customHeight="1">
      <c r="A820" s="1178"/>
      <c r="B820" s="1151"/>
      <c r="C820" s="1154" t="s">
        <v>1248</v>
      </c>
      <c r="D820" s="1209"/>
      <c r="E820" s="1126"/>
      <c r="F820" s="1151"/>
      <c r="G820" s="952" t="s">
        <v>0</v>
      </c>
      <c r="H820" s="952" t="s">
        <v>5789</v>
      </c>
      <c r="I820" s="952" t="s">
        <v>5788</v>
      </c>
      <c r="J820" s="230" t="s">
        <v>1685</v>
      </c>
      <c r="K820" s="952">
        <v>1</v>
      </c>
      <c r="L820" s="231" t="s">
        <v>5964</v>
      </c>
      <c r="M820" s="194"/>
      <c r="N820" s="1136"/>
      <c r="O820" s="1116"/>
      <c r="P820" s="1117"/>
      <c r="Q820" s="671" t="str">
        <f t="shared" si="101"/>
        <v>SX3A-5403030B1</v>
      </c>
      <c r="R820" s="672" t="str">
        <f t="shared" si="95"/>
        <v>شیشه لچکی عقب - راست</v>
      </c>
      <c r="S820" s="586">
        <f t="shared" si="95"/>
        <v>1</v>
      </c>
      <c r="T820" s="673"/>
      <c r="U820" s="673"/>
      <c r="V820" s="673"/>
      <c r="W820" s="673"/>
      <c r="X820" s="590"/>
      <c r="Y820" s="590"/>
      <c r="Z820" s="673"/>
      <c r="AA820" s="736"/>
    </row>
    <row r="821" spans="1:27" ht="27.75" customHeight="1">
      <c r="A821" s="1178"/>
      <c r="B821" s="1160" t="s">
        <v>1590</v>
      </c>
      <c r="C821" s="1154" t="s">
        <v>1684</v>
      </c>
      <c r="D821" s="1209" t="s">
        <v>1683</v>
      </c>
      <c r="E821" s="1126"/>
      <c r="F821" s="1228">
        <v>2.95</v>
      </c>
      <c r="G821" s="952" t="s">
        <v>0</v>
      </c>
      <c r="H821" s="952" t="s">
        <v>1682</v>
      </c>
      <c r="I821" s="952"/>
      <c r="J821" s="230" t="s">
        <v>1681</v>
      </c>
      <c r="K821" s="952">
        <v>1</v>
      </c>
      <c r="L821" s="231" t="s">
        <v>5964</v>
      </c>
      <c r="M821" s="194"/>
      <c r="N821" s="1136"/>
      <c r="O821" s="1116" t="str">
        <f>C821</f>
        <v>پیش مونتاژ شیشه عقب</v>
      </c>
      <c r="P821" s="1117" t="str">
        <f>D821</f>
        <v>SX5-6310-4</v>
      </c>
      <c r="Q821" s="671" t="str">
        <f t="shared" si="101"/>
        <v>SX5-6303020</v>
      </c>
      <c r="R821" s="672" t="str">
        <f t="shared" si="95"/>
        <v xml:space="preserve"> شیشه عقب خودرو</v>
      </c>
      <c r="S821" s="586">
        <f t="shared" si="95"/>
        <v>1</v>
      </c>
      <c r="T821" s="673"/>
      <c r="U821" s="673"/>
      <c r="V821" s="673"/>
      <c r="W821" s="673"/>
      <c r="X821" s="590"/>
      <c r="Y821" s="590"/>
      <c r="Z821" s="673"/>
      <c r="AA821" s="736"/>
    </row>
    <row r="822" spans="1:27" ht="27.75" customHeight="1">
      <c r="A822" s="1178"/>
      <c r="B822" s="1227"/>
      <c r="C822" s="1154"/>
      <c r="D822" s="1209"/>
      <c r="E822" s="1126"/>
      <c r="F822" s="1228"/>
      <c r="G822" s="952" t="s">
        <v>1</v>
      </c>
      <c r="H822" s="952" t="s">
        <v>81</v>
      </c>
      <c r="I822" s="952"/>
      <c r="J822" s="230" t="s">
        <v>1680</v>
      </c>
      <c r="K822" s="952">
        <v>1</v>
      </c>
      <c r="L822" s="231" t="s">
        <v>5965</v>
      </c>
      <c r="M822" s="194"/>
      <c r="N822" s="1136"/>
      <c r="O822" s="1116"/>
      <c r="P822" s="1117"/>
      <c r="Q822" s="671" t="str">
        <f t="shared" si="101"/>
        <v>SX5-6310071</v>
      </c>
      <c r="R822" s="672" t="str">
        <f t="shared" si="95"/>
        <v>واشر آب بند برف پاک کن عقب</v>
      </c>
      <c r="S822" s="586">
        <f t="shared" si="95"/>
        <v>1</v>
      </c>
      <c r="T822" s="673"/>
      <c r="U822" s="673"/>
      <c r="V822" s="673"/>
      <c r="W822" s="673"/>
      <c r="X822" s="590"/>
      <c r="Y822" s="590"/>
      <c r="Z822" s="673"/>
      <c r="AA822" s="736"/>
    </row>
    <row r="823" spans="1:27" ht="27.75" customHeight="1">
      <c r="A823" s="1178"/>
      <c r="B823" s="1227"/>
      <c r="C823" s="1154"/>
      <c r="D823" s="1209"/>
      <c r="E823" s="1126"/>
      <c r="F823" s="1228"/>
      <c r="G823" s="952" t="s">
        <v>2</v>
      </c>
      <c r="H823" s="233" t="s">
        <v>1679</v>
      </c>
      <c r="I823" s="233"/>
      <c r="J823" s="525" t="s">
        <v>1678</v>
      </c>
      <c r="K823" s="952">
        <v>1</v>
      </c>
      <c r="L823" s="231" t="s">
        <v>5966</v>
      </c>
      <c r="M823" s="194"/>
      <c r="N823" s="1136"/>
      <c r="O823" s="1116"/>
      <c r="P823" s="1117"/>
      <c r="Q823" s="689" t="str">
        <f t="shared" si="101"/>
        <v>SX5-6303022</v>
      </c>
      <c r="R823" s="690" t="str">
        <f t="shared" si="95"/>
        <v>نوار آب بند بیرونی شیشه عقب</v>
      </c>
      <c r="S823" s="586">
        <f t="shared" si="95"/>
        <v>1</v>
      </c>
      <c r="T823" s="673"/>
      <c r="U823" s="673"/>
      <c r="V823" s="673"/>
      <c r="W823" s="673"/>
      <c r="X823" s="590"/>
      <c r="Y823" s="590"/>
      <c r="Z823" s="673"/>
      <c r="AA823" s="736"/>
    </row>
    <row r="824" spans="1:27" ht="27.75" customHeight="1">
      <c r="A824" s="1178"/>
      <c r="B824" s="1227"/>
      <c r="C824" s="1154"/>
      <c r="D824" s="1209"/>
      <c r="E824" s="1126"/>
      <c r="F824" s="1228"/>
      <c r="G824" s="952" t="s">
        <v>10</v>
      </c>
      <c r="H824" s="952" t="s">
        <v>83</v>
      </c>
      <c r="I824" s="952"/>
      <c r="J824" s="230" t="s">
        <v>1677</v>
      </c>
      <c r="K824" s="952">
        <v>1.5</v>
      </c>
      <c r="L824" s="231" t="s">
        <v>5965</v>
      </c>
      <c r="M824" s="194"/>
      <c r="N824" s="1136"/>
      <c r="O824" s="1116"/>
      <c r="P824" s="1117"/>
      <c r="Q824" s="671" t="str">
        <f t="shared" si="101"/>
        <v>52MA-06023B</v>
      </c>
      <c r="R824" s="672" t="str">
        <f t="shared" si="95"/>
        <v>نوار اسفنجی بوتيل دور شیشه 5 در 5 میلیمتر</v>
      </c>
      <c r="S824" s="586">
        <f t="shared" si="95"/>
        <v>1.5</v>
      </c>
      <c r="T824" s="673"/>
      <c r="U824" s="673"/>
      <c r="V824" s="673"/>
      <c r="W824" s="673"/>
      <c r="X824" s="590"/>
      <c r="Y824" s="590"/>
      <c r="Z824" s="673"/>
      <c r="AA824" s="736"/>
    </row>
    <row r="825" spans="1:27" ht="27.75" customHeight="1">
      <c r="A825" s="1178"/>
      <c r="B825" s="1227"/>
      <c r="C825" s="1154"/>
      <c r="D825" s="1209"/>
      <c r="E825" s="1126"/>
      <c r="F825" s="1228"/>
      <c r="G825" s="952" t="s">
        <v>7</v>
      </c>
      <c r="H825" s="952" t="s">
        <v>1651</v>
      </c>
      <c r="I825" s="952"/>
      <c r="J825" s="230" t="s">
        <v>1668</v>
      </c>
      <c r="K825" s="952" t="s">
        <v>1647</v>
      </c>
      <c r="L825" s="231" t="s">
        <v>5966</v>
      </c>
      <c r="M825" s="194"/>
      <c r="N825" s="1136"/>
      <c r="O825" s="1116"/>
      <c r="P825" s="1117"/>
      <c r="Q825" s="671" t="str">
        <f t="shared" si="101"/>
        <v>CZ827970EW</v>
      </c>
      <c r="R825" s="672" t="str">
        <f t="shared" si="95"/>
        <v>اكتيواتور(كلينر)</v>
      </c>
      <c r="S825" s="586" t="str">
        <f t="shared" si="95"/>
        <v>0.003 L</v>
      </c>
      <c r="T825" s="673"/>
      <c r="U825" s="673"/>
      <c r="V825" s="673"/>
      <c r="W825" s="673"/>
      <c r="X825" s="590"/>
      <c r="Y825" s="590"/>
      <c r="Z825" s="673"/>
      <c r="AA825" s="736"/>
    </row>
    <row r="826" spans="1:27" ht="27.75" customHeight="1">
      <c r="A826" s="1178"/>
      <c r="B826" s="1161"/>
      <c r="C826" s="1154"/>
      <c r="D826" s="1209"/>
      <c r="E826" s="1126"/>
      <c r="F826" s="1228"/>
      <c r="G826" s="952" t="s">
        <v>9</v>
      </c>
      <c r="H826" s="952" t="s">
        <v>1649</v>
      </c>
      <c r="I826" s="952"/>
      <c r="J826" s="230" t="s">
        <v>1648</v>
      </c>
      <c r="K826" s="952" t="s">
        <v>1647</v>
      </c>
      <c r="L826" s="231" t="s">
        <v>5966</v>
      </c>
      <c r="M826" s="194"/>
      <c r="N826" s="1136"/>
      <c r="O826" s="1116"/>
      <c r="P826" s="1117"/>
      <c r="Q826" s="671" t="str">
        <f t="shared" si="101"/>
        <v>CZ8269D0EW</v>
      </c>
      <c r="R826" s="672" t="str">
        <f t="shared" si="95"/>
        <v>پرايمر</v>
      </c>
      <c r="S826" s="586" t="str">
        <f t="shared" si="95"/>
        <v>0.003 L</v>
      </c>
      <c r="T826" s="673"/>
      <c r="U826" s="673"/>
      <c r="V826" s="673"/>
      <c r="W826" s="673"/>
      <c r="X826" s="590"/>
      <c r="Y826" s="590"/>
      <c r="Z826" s="673"/>
      <c r="AA826" s="736"/>
    </row>
    <row r="827" spans="1:27" ht="27.75" customHeight="1">
      <c r="A827" s="1178"/>
      <c r="B827" s="1160" t="s">
        <v>1590</v>
      </c>
      <c r="C827" s="1154" t="s">
        <v>1676</v>
      </c>
      <c r="D827" s="1209" t="s">
        <v>49</v>
      </c>
      <c r="E827" s="1126" t="s">
        <v>4974</v>
      </c>
      <c r="F827" s="1151">
        <v>4.8600000000000003</v>
      </c>
      <c r="G827" s="952" t="s">
        <v>0</v>
      </c>
      <c r="H827" s="952" t="s">
        <v>50</v>
      </c>
      <c r="I827" s="952"/>
      <c r="J827" s="230" t="s">
        <v>1675</v>
      </c>
      <c r="K827" s="952">
        <v>1</v>
      </c>
      <c r="L827" s="231" t="s">
        <v>5964</v>
      </c>
      <c r="M827" s="194"/>
      <c r="N827" s="1136"/>
      <c r="O827" s="1116" t="str">
        <f>C827</f>
        <v xml:space="preserve">پیش مونتاژ شیشه جلو </v>
      </c>
      <c r="P827" s="1117" t="str">
        <f>D827</f>
        <v>SX7-5206-2</v>
      </c>
      <c r="Q827" s="671" t="str">
        <f t="shared" si="101"/>
        <v>SX7-5206020B</v>
      </c>
      <c r="R827" s="672" t="str">
        <f t="shared" si="95"/>
        <v xml:space="preserve">مجموعه شیشه جلو </v>
      </c>
      <c r="S827" s="586">
        <f t="shared" si="95"/>
        <v>1</v>
      </c>
      <c r="T827" s="673"/>
      <c r="U827" s="673"/>
      <c r="V827" s="673"/>
      <c r="W827" s="673"/>
      <c r="X827" s="590"/>
      <c r="Y827" s="590"/>
      <c r="Z827" s="673"/>
      <c r="AA827" s="736"/>
    </row>
    <row r="828" spans="1:27" ht="27.75" customHeight="1">
      <c r="A828" s="1178"/>
      <c r="B828" s="1227"/>
      <c r="C828" s="1154" t="s">
        <v>1248</v>
      </c>
      <c r="D828" s="1209"/>
      <c r="E828" s="1126"/>
      <c r="F828" s="1151"/>
      <c r="G828" s="952" t="s">
        <v>1</v>
      </c>
      <c r="H828" s="522" t="s">
        <v>5243</v>
      </c>
      <c r="I828" s="522" t="s">
        <v>51</v>
      </c>
      <c r="J828" s="230" t="s">
        <v>1674</v>
      </c>
      <c r="K828" s="952">
        <v>1</v>
      </c>
      <c r="L828" s="231" t="s">
        <v>6014</v>
      </c>
      <c r="M828" s="194"/>
      <c r="N828" s="1136"/>
      <c r="O828" s="1116"/>
      <c r="P828" s="1117"/>
      <c r="Q828" s="687" t="str">
        <f t="shared" si="101"/>
        <v>SX5K-3602020</v>
      </c>
      <c r="R828" s="672" t="str">
        <f t="shared" si="95"/>
        <v>دوربین چند منظوره کمکی راننده</v>
      </c>
      <c r="S828" s="586">
        <f t="shared" si="95"/>
        <v>1</v>
      </c>
      <c r="T828" s="673"/>
      <c r="U828" s="673"/>
      <c r="V828" s="673"/>
      <c r="W828" s="673"/>
      <c r="X828" s="590"/>
      <c r="Y828" s="590"/>
      <c r="Z828" s="673"/>
      <c r="AA828" s="736"/>
    </row>
    <row r="829" spans="1:27" ht="27.75" customHeight="1">
      <c r="A829" s="1178"/>
      <c r="B829" s="1227"/>
      <c r="C829" s="1154" t="s">
        <v>1248</v>
      </c>
      <c r="D829" s="1209"/>
      <c r="E829" s="1126"/>
      <c r="F829" s="1151"/>
      <c r="G829" s="952" t="s">
        <v>2</v>
      </c>
      <c r="H829" s="952" t="s">
        <v>52</v>
      </c>
      <c r="I829" s="952"/>
      <c r="J829" s="230" t="s">
        <v>1673</v>
      </c>
      <c r="K829" s="952">
        <v>1</v>
      </c>
      <c r="L829" s="231" t="s">
        <v>6014</v>
      </c>
      <c r="M829" s="194"/>
      <c r="N829" s="1136"/>
      <c r="O829" s="1116"/>
      <c r="P829" s="1117"/>
      <c r="Q829" s="671" t="str">
        <f t="shared" si="101"/>
        <v>SX7-3641020</v>
      </c>
      <c r="R829" s="672" t="str">
        <f t="shared" ref="R829:S867" si="107">J829</f>
        <v>سنسور باران</v>
      </c>
      <c r="S829" s="586">
        <f t="shared" si="107"/>
        <v>1</v>
      </c>
      <c r="T829" s="673"/>
      <c r="U829" s="673"/>
      <c r="V829" s="673"/>
      <c r="W829" s="673"/>
      <c r="X829" s="590"/>
      <c r="Y829" s="590"/>
      <c r="Z829" s="673"/>
      <c r="AA829" s="736"/>
    </row>
    <row r="830" spans="1:27" ht="27.75" customHeight="1">
      <c r="A830" s="1178"/>
      <c r="B830" s="1227"/>
      <c r="C830" s="1154" t="s">
        <v>1248</v>
      </c>
      <c r="D830" s="1209"/>
      <c r="E830" s="1126"/>
      <c r="F830" s="1151"/>
      <c r="G830" s="952" t="s">
        <v>864</v>
      </c>
      <c r="H830" s="952" t="s">
        <v>1672</v>
      </c>
      <c r="I830" s="993" t="s">
        <v>53</v>
      </c>
      <c r="J830" s="230" t="s">
        <v>1671</v>
      </c>
      <c r="K830" s="952">
        <v>1</v>
      </c>
      <c r="L830" s="231" t="s">
        <v>6014</v>
      </c>
      <c r="M830" s="194"/>
      <c r="N830" s="1136"/>
      <c r="O830" s="1116"/>
      <c r="P830" s="1117"/>
      <c r="Q830" s="671" t="str">
        <f t="shared" si="101"/>
        <v>SX7-3776510AS</v>
      </c>
      <c r="R830" s="672" t="str">
        <f t="shared" si="107"/>
        <v>دوربین جلو</v>
      </c>
      <c r="S830" s="586">
        <f t="shared" si="107"/>
        <v>1</v>
      </c>
      <c r="T830" s="673"/>
      <c r="U830" s="673"/>
      <c r="V830" s="673"/>
      <c r="W830" s="673"/>
      <c r="X830" s="590"/>
      <c r="Y830" s="590"/>
      <c r="Z830" s="673"/>
      <c r="AA830" s="736"/>
    </row>
    <row r="831" spans="1:27" ht="27.75" customHeight="1">
      <c r="A831" s="1178"/>
      <c r="B831" s="1227"/>
      <c r="C831" s="1154"/>
      <c r="D831" s="1209"/>
      <c r="E831" s="1126"/>
      <c r="F831" s="1151"/>
      <c r="G831" s="952" t="s">
        <v>9</v>
      </c>
      <c r="H831" s="952" t="s">
        <v>1670</v>
      </c>
      <c r="I831" s="952"/>
      <c r="J831" s="230" t="s">
        <v>1669</v>
      </c>
      <c r="K831" s="952">
        <v>1</v>
      </c>
      <c r="L831" s="231" t="s">
        <v>5967</v>
      </c>
      <c r="M831" s="194"/>
      <c r="N831" s="1136"/>
      <c r="O831" s="1116"/>
      <c r="P831" s="1117"/>
      <c r="Q831" s="671" t="str">
        <f t="shared" si="101"/>
        <v>SX5-5206022</v>
      </c>
      <c r="R831" s="672" t="str">
        <f t="shared" si="107"/>
        <v xml:space="preserve">نوار آب بند بیرونی شیشه جلو </v>
      </c>
      <c r="S831" s="586">
        <f t="shared" si="107"/>
        <v>1</v>
      </c>
      <c r="T831" s="673"/>
      <c r="U831" s="673"/>
      <c r="V831" s="673"/>
      <c r="W831" s="673"/>
      <c r="X831" s="590"/>
      <c r="Y831" s="590"/>
      <c r="Z831" s="673"/>
      <c r="AA831" s="736"/>
    </row>
    <row r="832" spans="1:27" ht="27.75" customHeight="1">
      <c r="A832" s="1178"/>
      <c r="B832" s="1227"/>
      <c r="C832" s="1154"/>
      <c r="D832" s="1209"/>
      <c r="E832" s="1126"/>
      <c r="F832" s="1151"/>
      <c r="G832" s="952" t="s">
        <v>10</v>
      </c>
      <c r="H832" s="952" t="s">
        <v>1651</v>
      </c>
      <c r="I832" s="952"/>
      <c r="J832" s="230" t="s">
        <v>1668</v>
      </c>
      <c r="K832" s="952" t="s">
        <v>5152</v>
      </c>
      <c r="L832" s="231" t="s">
        <v>5968</v>
      </c>
      <c r="M832" s="194"/>
      <c r="N832" s="1136"/>
      <c r="O832" s="1116"/>
      <c r="P832" s="1117"/>
      <c r="Q832" s="671" t="str">
        <f t="shared" si="101"/>
        <v>CZ827970EW</v>
      </c>
      <c r="R832" s="672" t="str">
        <f t="shared" si="107"/>
        <v>اكتيواتور(كلينر)</v>
      </c>
      <c r="S832" s="586" t="str">
        <f t="shared" si="107"/>
        <v>0.02 L</v>
      </c>
      <c r="T832" s="673"/>
      <c r="U832" s="673"/>
      <c r="V832" s="673"/>
      <c r="W832" s="673"/>
      <c r="X832" s="590"/>
      <c r="Y832" s="590"/>
      <c r="Z832" s="673"/>
      <c r="AA832" s="736"/>
    </row>
    <row r="833" spans="1:27" ht="27.75" customHeight="1" thickBot="1">
      <c r="A833" s="1179"/>
      <c r="B833" s="1242"/>
      <c r="C833" s="1186" t="s">
        <v>1248</v>
      </c>
      <c r="D833" s="1159"/>
      <c r="E833" s="1214"/>
      <c r="F833" s="1232"/>
      <c r="G833" s="953" t="s">
        <v>24</v>
      </c>
      <c r="H833" s="953" t="s">
        <v>1649</v>
      </c>
      <c r="I833" s="953"/>
      <c r="J833" s="272" t="s">
        <v>1648</v>
      </c>
      <c r="K833" s="953" t="s">
        <v>5152</v>
      </c>
      <c r="L833" s="250" t="s">
        <v>5966</v>
      </c>
      <c r="M833" s="194"/>
      <c r="N833" s="1137"/>
      <c r="O833" s="1186"/>
      <c r="P833" s="1159"/>
      <c r="Q833" s="488" t="str">
        <f t="shared" si="101"/>
        <v>CZ8269D0EW</v>
      </c>
      <c r="R833" s="489" t="str">
        <f t="shared" si="107"/>
        <v>پرايمر</v>
      </c>
      <c r="S833" s="251" t="str">
        <f t="shared" si="107"/>
        <v>0.02 L</v>
      </c>
      <c r="T833" s="286"/>
      <c r="U833" s="286"/>
      <c r="V833" s="286"/>
      <c r="W833" s="286"/>
      <c r="X833" s="284"/>
      <c r="Y833" s="284"/>
      <c r="Z833" s="286"/>
      <c r="AA833" s="490"/>
    </row>
    <row r="834" spans="1:27" ht="27.75" customHeight="1">
      <c r="A834" s="1135" t="s">
        <v>5312</v>
      </c>
      <c r="B834" s="1222" t="s">
        <v>1579</v>
      </c>
      <c r="C834" s="1191" t="s">
        <v>1667</v>
      </c>
      <c r="D834" s="1193" t="s">
        <v>1666</v>
      </c>
      <c r="E834" s="1288" t="s">
        <v>4973</v>
      </c>
      <c r="F834" s="1222">
        <v>3.34</v>
      </c>
      <c r="G834" s="451" t="s">
        <v>0</v>
      </c>
      <c r="H834" s="308" t="s">
        <v>1665</v>
      </c>
      <c r="I834" s="308"/>
      <c r="J834" s="309" t="s">
        <v>1664</v>
      </c>
      <c r="K834" s="526" t="s">
        <v>5278</v>
      </c>
      <c r="L834" s="222" t="s">
        <v>5966</v>
      </c>
      <c r="M834" s="194"/>
      <c r="N834" s="1135" t="str">
        <f t="shared" ref="N834:N866" si="108">A834</f>
        <v>P66</v>
      </c>
      <c r="O834" s="1191" t="str">
        <f>C834</f>
        <v>کمک به نصب شیشه ها</v>
      </c>
      <c r="P834" s="1193" t="str">
        <f>D834</f>
        <v>SX5-5206-3</v>
      </c>
      <c r="Q834" s="527" t="str">
        <f t="shared" ref="Q834:Q867" si="109">H834</f>
        <v>C0803963EW</v>
      </c>
      <c r="R834" s="528" t="str">
        <f t="shared" si="107"/>
        <v>چسب (خمیر) شیشه</v>
      </c>
      <c r="S834" s="529" t="str">
        <f t="shared" si="107"/>
        <v>…</v>
      </c>
      <c r="T834" s="469"/>
      <c r="U834" s="469"/>
      <c r="V834" s="469"/>
      <c r="W834" s="469"/>
      <c r="X834" s="227"/>
      <c r="Y834" s="227"/>
      <c r="Z834" s="469"/>
      <c r="AA834" s="487"/>
    </row>
    <row r="835" spans="1:27" ht="27.75" customHeight="1">
      <c r="A835" s="1136"/>
      <c r="B835" s="1151"/>
      <c r="C835" s="1256" t="s">
        <v>1248</v>
      </c>
      <c r="D835" s="1158"/>
      <c r="E835" s="1212"/>
      <c r="F835" s="1151"/>
      <c r="G835" s="233" t="s">
        <v>1</v>
      </c>
      <c r="H835" s="234" t="s">
        <v>1649</v>
      </c>
      <c r="I835" s="234"/>
      <c r="J835" s="230" t="s">
        <v>1650</v>
      </c>
      <c r="K835" s="988" t="s">
        <v>5153</v>
      </c>
      <c r="L835" s="231" t="s">
        <v>5966</v>
      </c>
      <c r="M835" s="194"/>
      <c r="N835" s="1136">
        <f t="shared" si="108"/>
        <v>0</v>
      </c>
      <c r="O835" s="1192"/>
      <c r="P835" s="1194"/>
      <c r="Q835" s="677" t="str">
        <f t="shared" si="109"/>
        <v>CZ8269D0EW</v>
      </c>
      <c r="R835" s="686" t="str">
        <f t="shared" si="107"/>
        <v>كلينر اكتيويتور</v>
      </c>
      <c r="S835" s="691" t="str">
        <f t="shared" si="107"/>
        <v>0.02L</v>
      </c>
      <c r="T835" s="673"/>
      <c r="U835" s="673"/>
      <c r="V835" s="673"/>
      <c r="W835" s="673"/>
      <c r="X835" s="590"/>
      <c r="Y835" s="590"/>
      <c r="Z835" s="673"/>
      <c r="AA835" s="736"/>
    </row>
    <row r="836" spans="1:27" ht="27.75" customHeight="1">
      <c r="A836" s="1136"/>
      <c r="B836" s="1151"/>
      <c r="C836" s="1256" t="s">
        <v>1248</v>
      </c>
      <c r="D836" s="1158"/>
      <c r="E836" s="1212"/>
      <c r="F836" s="1151"/>
      <c r="G836" s="233" t="s">
        <v>2</v>
      </c>
      <c r="H836" s="234" t="s">
        <v>1651</v>
      </c>
      <c r="I836" s="234"/>
      <c r="J836" s="230" t="s">
        <v>1648</v>
      </c>
      <c r="K836" s="988" t="s">
        <v>5153</v>
      </c>
      <c r="L836" s="231" t="s">
        <v>5966</v>
      </c>
      <c r="M836" s="194"/>
      <c r="N836" s="1136">
        <f t="shared" si="108"/>
        <v>0</v>
      </c>
      <c r="O836" s="1192"/>
      <c r="P836" s="1194"/>
      <c r="Q836" s="677" t="str">
        <f t="shared" si="109"/>
        <v>CZ827970EW</v>
      </c>
      <c r="R836" s="686" t="str">
        <f t="shared" si="107"/>
        <v>پرايمر</v>
      </c>
      <c r="S836" s="691" t="str">
        <f t="shared" si="107"/>
        <v>0.02L</v>
      </c>
      <c r="T836" s="673"/>
      <c r="U836" s="673"/>
      <c r="V836" s="673"/>
      <c r="W836" s="673"/>
      <c r="X836" s="590"/>
      <c r="Y836" s="590"/>
      <c r="Z836" s="673"/>
      <c r="AA836" s="736"/>
    </row>
    <row r="837" spans="1:27" ht="27.75" customHeight="1">
      <c r="A837" s="1136"/>
      <c r="B837" s="1151"/>
      <c r="C837" s="1256" t="s">
        <v>1248</v>
      </c>
      <c r="D837" s="1158"/>
      <c r="E837" s="1212"/>
      <c r="F837" s="1151"/>
      <c r="G837" s="233" t="s">
        <v>7</v>
      </c>
      <c r="H837" s="234" t="s">
        <v>1322</v>
      </c>
      <c r="I837" s="234"/>
      <c r="J837" s="260" t="s">
        <v>1663</v>
      </c>
      <c r="K837" s="988" t="s">
        <v>1662</v>
      </c>
      <c r="L837" s="231" t="s">
        <v>5968</v>
      </c>
      <c r="M837" s="194"/>
      <c r="N837" s="1136">
        <f t="shared" si="108"/>
        <v>0</v>
      </c>
      <c r="O837" s="1192"/>
      <c r="P837" s="1194"/>
      <c r="Q837" s="677" t="str">
        <f t="shared" si="109"/>
        <v>C0811903EH</v>
      </c>
      <c r="R837" s="686" t="str">
        <f t="shared" si="107"/>
        <v>مایع چربی بر 8550</v>
      </c>
      <c r="S837" s="691" t="str">
        <f t="shared" si="107"/>
        <v>0.01</v>
      </c>
      <c r="T837" s="673"/>
      <c r="U837" s="673"/>
      <c r="V837" s="673"/>
      <c r="W837" s="673"/>
      <c r="X837" s="590"/>
      <c r="Y837" s="590"/>
      <c r="Z837" s="673"/>
      <c r="AA837" s="736"/>
    </row>
    <row r="838" spans="1:27" ht="32.25" customHeight="1">
      <c r="A838" s="1136"/>
      <c r="B838" s="1151" t="s">
        <v>1579</v>
      </c>
      <c r="C838" s="1154" t="s">
        <v>1661</v>
      </c>
      <c r="D838" s="1209" t="s">
        <v>79</v>
      </c>
      <c r="E838" s="1126" t="s">
        <v>4973</v>
      </c>
      <c r="F838" s="1151">
        <v>0.9</v>
      </c>
      <c r="G838" s="952" t="s">
        <v>0</v>
      </c>
      <c r="H838" s="952" t="s">
        <v>1393</v>
      </c>
      <c r="I838" s="952" t="s">
        <v>1393</v>
      </c>
      <c r="J838" s="230" t="s">
        <v>1660</v>
      </c>
      <c r="K838" s="952">
        <v>1</v>
      </c>
      <c r="L838" s="530"/>
      <c r="M838" s="194"/>
      <c r="N838" s="1136">
        <f t="shared" si="108"/>
        <v>0</v>
      </c>
      <c r="O838" s="1116" t="str">
        <f>C838</f>
        <v>نصب شیشه های لچکی عقب</v>
      </c>
      <c r="P838" s="1117" t="str">
        <f>D838</f>
        <v>SX5F-5403-1</v>
      </c>
      <c r="Q838" s="671" t="str">
        <f t="shared" si="109"/>
        <v>-</v>
      </c>
      <c r="R838" s="672" t="str">
        <f t="shared" si="107"/>
        <v>شیشه لچکی عقب - چپ ساب شده</v>
      </c>
      <c r="S838" s="586">
        <f t="shared" si="107"/>
        <v>1</v>
      </c>
      <c r="T838" s="673"/>
      <c r="U838" s="673"/>
      <c r="V838" s="673"/>
      <c r="W838" s="673"/>
      <c r="X838" s="590"/>
      <c r="Y838" s="590"/>
      <c r="Z838" s="673"/>
      <c r="AA838" s="736"/>
    </row>
    <row r="839" spans="1:27" ht="32.25" customHeight="1">
      <c r="A839" s="1136"/>
      <c r="B839" s="1151"/>
      <c r="C839" s="1154" t="s">
        <v>1248</v>
      </c>
      <c r="D839" s="1209"/>
      <c r="E839" s="1126"/>
      <c r="F839" s="1151"/>
      <c r="G839" s="952" t="s">
        <v>0</v>
      </c>
      <c r="H839" s="952" t="s">
        <v>1393</v>
      </c>
      <c r="I839" s="952" t="s">
        <v>1393</v>
      </c>
      <c r="J839" s="230" t="s">
        <v>1659</v>
      </c>
      <c r="K839" s="952">
        <v>1</v>
      </c>
      <c r="L839" s="530"/>
      <c r="M839" s="194"/>
      <c r="N839" s="1136">
        <f t="shared" si="108"/>
        <v>0</v>
      </c>
      <c r="O839" s="1116"/>
      <c r="P839" s="1117"/>
      <c r="Q839" s="671" t="str">
        <f t="shared" si="109"/>
        <v>-</v>
      </c>
      <c r="R839" s="672" t="str">
        <f t="shared" si="107"/>
        <v>شیشه لچکی عقب - راست ساب شده</v>
      </c>
      <c r="S839" s="586">
        <f t="shared" si="107"/>
        <v>1</v>
      </c>
      <c r="T839" s="673"/>
      <c r="U839" s="673"/>
      <c r="V839" s="673"/>
      <c r="W839" s="673"/>
      <c r="X839" s="590"/>
      <c r="Y839" s="590"/>
      <c r="Z839" s="673"/>
      <c r="AA839" s="736"/>
    </row>
    <row r="840" spans="1:27" ht="26.1" customHeight="1">
      <c r="A840" s="1136"/>
      <c r="B840" s="1151" t="s">
        <v>1579</v>
      </c>
      <c r="C840" s="1154" t="s">
        <v>1658</v>
      </c>
      <c r="D840" s="1209" t="s">
        <v>633</v>
      </c>
      <c r="E840" s="1126" t="s">
        <v>4973</v>
      </c>
      <c r="F840" s="1151">
        <v>2.65</v>
      </c>
      <c r="G840" s="952" t="s">
        <v>697</v>
      </c>
      <c r="H840" s="237" t="s">
        <v>50</v>
      </c>
      <c r="I840" s="237"/>
      <c r="J840" s="230" t="s">
        <v>1657</v>
      </c>
      <c r="K840" s="952">
        <v>1</v>
      </c>
      <c r="L840" s="231" t="s">
        <v>5964</v>
      </c>
      <c r="M840" s="194"/>
      <c r="N840" s="1136">
        <f t="shared" si="108"/>
        <v>0</v>
      </c>
      <c r="O840" s="1116" t="str">
        <f>C840</f>
        <v xml:space="preserve">  نصب شیشه جلو</v>
      </c>
      <c r="P840" s="1117" t="str">
        <f>D840</f>
        <v>SX5-5206-1</v>
      </c>
      <c r="Q840" s="692" t="str">
        <f t="shared" si="109"/>
        <v>SX7-5206020B</v>
      </c>
      <c r="R840" s="672" t="str">
        <f t="shared" si="107"/>
        <v xml:space="preserve">مجموعه شیشه جلو و نوار دور شیشه </v>
      </c>
      <c r="S840" s="586">
        <f t="shared" si="107"/>
        <v>1</v>
      </c>
      <c r="T840" s="673"/>
      <c r="U840" s="673"/>
      <c r="V840" s="673"/>
      <c r="W840" s="673"/>
      <c r="X840" s="590"/>
      <c r="Y840" s="590"/>
      <c r="Z840" s="673"/>
      <c r="AA840" s="736"/>
    </row>
    <row r="841" spans="1:27" ht="26.1" customHeight="1">
      <c r="A841" s="1136"/>
      <c r="B841" s="1151"/>
      <c r="C841" s="1154"/>
      <c r="D841" s="1209"/>
      <c r="E841" s="1126"/>
      <c r="F841" s="1151"/>
      <c r="G841" s="952" t="s">
        <v>1</v>
      </c>
      <c r="H841" s="237" t="s">
        <v>1665</v>
      </c>
      <c r="I841" s="237"/>
      <c r="J841" s="230" t="s">
        <v>1652</v>
      </c>
      <c r="K841" s="952">
        <v>0.75</v>
      </c>
      <c r="L841" s="435" t="s">
        <v>5966</v>
      </c>
      <c r="M841" s="194"/>
      <c r="N841" s="1136">
        <f t="shared" si="108"/>
        <v>0</v>
      </c>
      <c r="O841" s="1116"/>
      <c r="P841" s="1117"/>
      <c r="Q841" s="692" t="str">
        <f t="shared" si="109"/>
        <v>C0803963EW</v>
      </c>
      <c r="R841" s="672" t="str">
        <f t="shared" si="107"/>
        <v>چسب شيشه</v>
      </c>
      <c r="S841" s="586">
        <f t="shared" si="107"/>
        <v>0.75</v>
      </c>
      <c r="T841" s="673"/>
      <c r="U841" s="673"/>
      <c r="V841" s="673"/>
      <c r="W841" s="673"/>
      <c r="X841" s="590"/>
      <c r="Y841" s="590"/>
      <c r="Z841" s="673"/>
      <c r="AA841" s="736"/>
    </row>
    <row r="842" spans="1:27" ht="26.1" customHeight="1">
      <c r="A842" s="1136"/>
      <c r="B842" s="1151"/>
      <c r="C842" s="1154"/>
      <c r="D842" s="1209"/>
      <c r="E842" s="1126"/>
      <c r="F842" s="1151"/>
      <c r="G842" s="952" t="s">
        <v>2</v>
      </c>
      <c r="H842" s="237" t="s">
        <v>1651</v>
      </c>
      <c r="I842" s="237"/>
      <c r="J842" s="230" t="s">
        <v>1650</v>
      </c>
      <c r="K842" s="952" t="s">
        <v>1656</v>
      </c>
      <c r="L842" s="231" t="s">
        <v>5966</v>
      </c>
      <c r="M842" s="194"/>
      <c r="N842" s="1136">
        <f t="shared" si="108"/>
        <v>0</v>
      </c>
      <c r="O842" s="1116"/>
      <c r="P842" s="1117"/>
      <c r="Q842" s="692" t="str">
        <f t="shared" si="109"/>
        <v>CZ827970EW</v>
      </c>
      <c r="R842" s="672" t="str">
        <f t="shared" si="107"/>
        <v>كلينر اكتيويتور</v>
      </c>
      <c r="S842" s="586" t="str">
        <f t="shared" si="107"/>
        <v>0.004 L</v>
      </c>
      <c r="T842" s="673"/>
      <c r="U842" s="673"/>
      <c r="V842" s="673"/>
      <c r="W842" s="673"/>
      <c r="X842" s="590"/>
      <c r="Y842" s="590"/>
      <c r="Z842" s="673"/>
      <c r="AA842" s="736"/>
    </row>
    <row r="843" spans="1:27" ht="26.1" customHeight="1">
      <c r="A843" s="1136"/>
      <c r="B843" s="1151"/>
      <c r="C843" s="1154"/>
      <c r="D843" s="1209"/>
      <c r="E843" s="1126"/>
      <c r="F843" s="1151"/>
      <c r="G843" s="952" t="s">
        <v>7</v>
      </c>
      <c r="H843" s="237" t="s">
        <v>1649</v>
      </c>
      <c r="I843" s="237"/>
      <c r="J843" s="230" t="s">
        <v>1648</v>
      </c>
      <c r="K843" s="952" t="s">
        <v>1656</v>
      </c>
      <c r="L843" s="231" t="s">
        <v>5966</v>
      </c>
      <c r="M843" s="194"/>
      <c r="N843" s="1136">
        <f t="shared" si="108"/>
        <v>0</v>
      </c>
      <c r="O843" s="1116"/>
      <c r="P843" s="1117"/>
      <c r="Q843" s="692" t="str">
        <f t="shared" si="109"/>
        <v>CZ8269D0EW</v>
      </c>
      <c r="R843" s="672" t="str">
        <f t="shared" si="107"/>
        <v>پرايمر</v>
      </c>
      <c r="S843" s="586" t="str">
        <f t="shared" si="107"/>
        <v>0.004 L</v>
      </c>
      <c r="T843" s="673"/>
      <c r="U843" s="673"/>
      <c r="V843" s="673"/>
      <c r="W843" s="673"/>
      <c r="X843" s="590"/>
      <c r="Y843" s="590"/>
      <c r="Z843" s="673"/>
      <c r="AA843" s="736"/>
    </row>
    <row r="844" spans="1:27" ht="26.1" customHeight="1">
      <c r="A844" s="1136"/>
      <c r="B844" s="1151" t="s">
        <v>1579</v>
      </c>
      <c r="C844" s="1154" t="s">
        <v>1655</v>
      </c>
      <c r="D844" s="1209" t="s">
        <v>82</v>
      </c>
      <c r="E844" s="1126" t="s">
        <v>4973</v>
      </c>
      <c r="F844" s="1151">
        <v>1.73</v>
      </c>
      <c r="G844" s="952" t="s">
        <v>0</v>
      </c>
      <c r="H844" s="952" t="s">
        <v>1654</v>
      </c>
      <c r="I844" s="952"/>
      <c r="J844" s="230" t="s">
        <v>1653</v>
      </c>
      <c r="K844" s="952">
        <v>1</v>
      </c>
      <c r="L844" s="236"/>
      <c r="M844" s="194"/>
      <c r="N844" s="1136">
        <f t="shared" si="108"/>
        <v>0</v>
      </c>
      <c r="O844" s="1116" t="str">
        <f>C844</f>
        <v xml:space="preserve">  نصب شیشه عقب</v>
      </c>
      <c r="P844" s="1117" t="str">
        <f>D844</f>
        <v>SX5-6303-1</v>
      </c>
      <c r="Q844" s="671" t="str">
        <f t="shared" si="109"/>
        <v>SX5-6303020B</v>
      </c>
      <c r="R844" s="672" t="str">
        <f t="shared" si="107"/>
        <v>مجموعه شیشه عقب و نوار دور شیشه</v>
      </c>
      <c r="S844" s="586">
        <f t="shared" si="107"/>
        <v>1</v>
      </c>
      <c r="T844" s="673"/>
      <c r="U844" s="673"/>
      <c r="V844" s="673"/>
      <c r="W844" s="673"/>
      <c r="X844" s="590"/>
      <c r="Y844" s="590"/>
      <c r="Z844" s="673"/>
      <c r="AA844" s="736"/>
    </row>
    <row r="845" spans="1:27" ht="26.1" customHeight="1">
      <c r="A845" s="1136"/>
      <c r="B845" s="1151"/>
      <c r="C845" s="1154"/>
      <c r="D845" s="1209"/>
      <c r="E845" s="1126"/>
      <c r="F845" s="1151"/>
      <c r="G845" s="952" t="s">
        <v>1</v>
      </c>
      <c r="H845" s="237" t="s">
        <v>1665</v>
      </c>
      <c r="I845" s="237"/>
      <c r="J845" s="230" t="s">
        <v>1652</v>
      </c>
      <c r="K845" s="952">
        <v>0.75</v>
      </c>
      <c r="L845" s="435" t="s">
        <v>5966</v>
      </c>
      <c r="M845" s="194"/>
      <c r="N845" s="1136">
        <f t="shared" si="108"/>
        <v>0</v>
      </c>
      <c r="O845" s="1116"/>
      <c r="P845" s="1117"/>
      <c r="Q845" s="692" t="str">
        <f t="shared" si="109"/>
        <v>C0803963EW</v>
      </c>
      <c r="R845" s="672" t="str">
        <f t="shared" si="107"/>
        <v>چسب شيشه</v>
      </c>
      <c r="S845" s="586">
        <f t="shared" si="107"/>
        <v>0.75</v>
      </c>
      <c r="T845" s="673"/>
      <c r="U845" s="673"/>
      <c r="V845" s="673"/>
      <c r="W845" s="673"/>
      <c r="X845" s="590"/>
      <c r="Y845" s="590"/>
      <c r="Z845" s="673"/>
      <c r="AA845" s="736"/>
    </row>
    <row r="846" spans="1:27" ht="26.1" customHeight="1">
      <c r="A846" s="1136"/>
      <c r="B846" s="1151"/>
      <c r="C846" s="1154"/>
      <c r="D846" s="1209"/>
      <c r="E846" s="1126"/>
      <c r="F846" s="1151"/>
      <c r="G846" s="952" t="s">
        <v>2</v>
      </c>
      <c r="H846" s="237" t="s">
        <v>1651</v>
      </c>
      <c r="I846" s="237"/>
      <c r="J846" s="230" t="s">
        <v>1650</v>
      </c>
      <c r="K846" s="952" t="s">
        <v>1647</v>
      </c>
      <c r="L846" s="231" t="s">
        <v>5966</v>
      </c>
      <c r="M846" s="194"/>
      <c r="N846" s="1136">
        <f t="shared" si="108"/>
        <v>0</v>
      </c>
      <c r="O846" s="1116"/>
      <c r="P846" s="1117"/>
      <c r="Q846" s="692" t="str">
        <f t="shared" si="109"/>
        <v>CZ827970EW</v>
      </c>
      <c r="R846" s="672" t="str">
        <f t="shared" si="107"/>
        <v>كلينر اكتيويتور</v>
      </c>
      <c r="S846" s="586" t="str">
        <f t="shared" si="107"/>
        <v>0.003 L</v>
      </c>
      <c r="T846" s="673"/>
      <c r="U846" s="673"/>
      <c r="V846" s="673"/>
      <c r="W846" s="673"/>
      <c r="X846" s="590"/>
      <c r="Y846" s="590"/>
      <c r="Z846" s="673"/>
      <c r="AA846" s="736"/>
    </row>
    <row r="847" spans="1:27" ht="26.1" customHeight="1">
      <c r="A847" s="1136"/>
      <c r="B847" s="1151"/>
      <c r="C847" s="1154"/>
      <c r="D847" s="1209"/>
      <c r="E847" s="1126"/>
      <c r="F847" s="1151"/>
      <c r="G847" s="952" t="s">
        <v>7</v>
      </c>
      <c r="H847" s="237" t="s">
        <v>1649</v>
      </c>
      <c r="I847" s="237"/>
      <c r="J847" s="230" t="s">
        <v>1648</v>
      </c>
      <c r="K847" s="952" t="s">
        <v>1647</v>
      </c>
      <c r="L847" s="231" t="s">
        <v>5966</v>
      </c>
      <c r="M847" s="194"/>
      <c r="N847" s="1136">
        <f t="shared" si="108"/>
        <v>0</v>
      </c>
      <c r="O847" s="1116"/>
      <c r="P847" s="1117"/>
      <c r="Q847" s="692" t="str">
        <f t="shared" si="109"/>
        <v>CZ8269D0EW</v>
      </c>
      <c r="R847" s="672" t="str">
        <f t="shared" si="107"/>
        <v>پرايمر</v>
      </c>
      <c r="S847" s="586" t="str">
        <f t="shared" si="107"/>
        <v>0.003 L</v>
      </c>
      <c r="T847" s="673"/>
      <c r="U847" s="673"/>
      <c r="V847" s="673"/>
      <c r="W847" s="673"/>
      <c r="X847" s="590"/>
      <c r="Y847" s="590"/>
      <c r="Z847" s="673"/>
      <c r="AA847" s="736"/>
    </row>
    <row r="848" spans="1:27" s="811" customFormat="1" ht="38.25" customHeight="1" thickBot="1">
      <c r="A848" s="1136"/>
      <c r="B848" s="936" t="s">
        <v>1579</v>
      </c>
      <c r="C848" s="930" t="s">
        <v>1643</v>
      </c>
      <c r="D848" s="932"/>
      <c r="E848" s="942"/>
      <c r="F848" s="953">
        <v>0.98</v>
      </c>
      <c r="G848" s="953"/>
      <c r="H848" s="953"/>
      <c r="I848" s="953"/>
      <c r="J848" s="272"/>
      <c r="K848" s="953"/>
      <c r="L848" s="263"/>
      <c r="N848" s="1136">
        <f t="shared" si="108"/>
        <v>0</v>
      </c>
      <c r="O848" s="930" t="str">
        <f>C848</f>
        <v>قرار دادن کیتینگ داخل خط</v>
      </c>
      <c r="P848" s="932" t="s">
        <v>1393</v>
      </c>
      <c r="Q848" s="488">
        <f t="shared" si="109"/>
        <v>0</v>
      </c>
      <c r="R848" s="274">
        <f t="shared" si="107"/>
        <v>0</v>
      </c>
      <c r="S848" s="251">
        <f t="shared" si="107"/>
        <v>0</v>
      </c>
      <c r="T848" s="286"/>
      <c r="U848" s="286"/>
      <c r="V848" s="286"/>
      <c r="W848" s="286"/>
      <c r="X848" s="284"/>
      <c r="Y848" s="284"/>
      <c r="Z848" s="286"/>
      <c r="AA848" s="490"/>
    </row>
    <row r="849" spans="1:34" ht="38.25" customHeight="1">
      <c r="A849" s="1210" t="s">
        <v>5313</v>
      </c>
      <c r="B849" s="1160" t="s">
        <v>5310</v>
      </c>
      <c r="C849" s="1152" t="s">
        <v>1641</v>
      </c>
      <c r="D849" s="1120" t="s">
        <v>649</v>
      </c>
      <c r="E849" s="1348" t="s">
        <v>2347</v>
      </c>
      <c r="F849" s="1160">
        <v>0.43</v>
      </c>
      <c r="G849" s="531" t="s">
        <v>0</v>
      </c>
      <c r="H849" s="818" t="s">
        <v>5802</v>
      </c>
      <c r="I849" s="454" t="s">
        <v>643</v>
      </c>
      <c r="J849" s="259" t="s">
        <v>1640</v>
      </c>
      <c r="K849" s="258">
        <v>2</v>
      </c>
      <c r="L849" s="435" t="s">
        <v>5955</v>
      </c>
      <c r="M849" s="194"/>
      <c r="N849" s="1167" t="str">
        <f>A849</f>
        <v>P67</v>
      </c>
      <c r="O849" s="1116" t="str">
        <f>C849</f>
        <v xml:space="preserve"> نصب کورکن روی سرکمک</v>
      </c>
      <c r="P849" s="1117" t="str">
        <f>D849</f>
        <v>SX5-8200-13</v>
      </c>
      <c r="Q849" s="819"/>
      <c r="R849" s="815"/>
      <c r="S849" s="809">
        <f t="shared" si="107"/>
        <v>2</v>
      </c>
      <c r="T849" s="460"/>
      <c r="U849" s="460"/>
      <c r="V849" s="460"/>
      <c r="W849" s="460"/>
      <c r="X849" s="806"/>
      <c r="Y849" s="806"/>
      <c r="Z849" s="460"/>
      <c r="AA849" s="816"/>
    </row>
    <row r="850" spans="1:34" ht="38.25" customHeight="1">
      <c r="A850" s="1167"/>
      <c r="B850" s="1161"/>
      <c r="C850" s="1153"/>
      <c r="D850" s="1121"/>
      <c r="E850" s="1349"/>
      <c r="F850" s="1161"/>
      <c r="G850" s="952" t="s">
        <v>1</v>
      </c>
      <c r="H850" s="977" t="s">
        <v>650</v>
      </c>
      <c r="I850" s="952"/>
      <c r="J850" s="230" t="s">
        <v>1640</v>
      </c>
      <c r="K850" s="952">
        <v>1</v>
      </c>
      <c r="L850" s="231" t="s">
        <v>5963</v>
      </c>
      <c r="M850" s="194"/>
      <c r="N850" s="1167">
        <f t="shared" si="108"/>
        <v>0</v>
      </c>
      <c r="O850" s="1116"/>
      <c r="P850" s="1117"/>
      <c r="Q850" s="671" t="str">
        <f t="shared" si="109"/>
        <v>B12-8263512</v>
      </c>
      <c r="R850" s="672" t="str">
        <f t="shared" si="107"/>
        <v>کورکن</v>
      </c>
      <c r="S850" s="586">
        <f t="shared" si="107"/>
        <v>1</v>
      </c>
      <c r="T850" s="673"/>
      <c r="U850" s="673"/>
      <c r="V850" s="673"/>
      <c r="W850" s="673"/>
      <c r="X850" s="590"/>
      <c r="Y850" s="590"/>
      <c r="Z850" s="673"/>
      <c r="AA850" s="736"/>
    </row>
    <row r="851" spans="1:34" ht="38.25" customHeight="1">
      <c r="A851" s="1167"/>
      <c r="B851" s="935" t="s">
        <v>5310</v>
      </c>
      <c r="C851" s="982" t="s">
        <v>1639</v>
      </c>
      <c r="D851" s="995" t="s">
        <v>1638</v>
      </c>
      <c r="E851" s="1001" t="s">
        <v>4973</v>
      </c>
      <c r="F851" s="935">
        <v>0.45</v>
      </c>
      <c r="G851" s="292" t="s">
        <v>2347</v>
      </c>
      <c r="H851" s="292" t="s">
        <v>1464</v>
      </c>
      <c r="I851" s="292" t="s">
        <v>1412</v>
      </c>
      <c r="J851" s="230"/>
      <c r="K851" s="292" t="s">
        <v>1371</v>
      </c>
      <c r="L851" s="299"/>
      <c r="M851" s="194"/>
      <c r="N851" s="1167">
        <f t="shared" si="108"/>
        <v>0</v>
      </c>
      <c r="O851" s="964" t="str">
        <f t="shared" ref="O851:O853" si="110">C851</f>
        <v xml:space="preserve">اتصال لوله سوخت به موتور </v>
      </c>
      <c r="P851" s="965" t="str">
        <f>D851</f>
        <v>SX5-1303-6</v>
      </c>
      <c r="Q851" s="679" t="str">
        <f t="shared" si="109"/>
        <v>---------</v>
      </c>
      <c r="R851" s="672">
        <f t="shared" si="107"/>
        <v>0</v>
      </c>
      <c r="S851" s="611" t="str">
        <f t="shared" si="107"/>
        <v>---</v>
      </c>
      <c r="T851" s="673"/>
      <c r="U851" s="673"/>
      <c r="V851" s="673"/>
      <c r="W851" s="673"/>
      <c r="X851" s="590"/>
      <c r="Y851" s="590"/>
      <c r="Z851" s="673"/>
      <c r="AA851" s="736"/>
    </row>
    <row r="852" spans="1:34" ht="38.25" customHeight="1">
      <c r="A852" s="1167"/>
      <c r="B852" s="925" t="s">
        <v>5310</v>
      </c>
      <c r="C852" s="960" t="s">
        <v>6157</v>
      </c>
      <c r="D852" s="958" t="s">
        <v>6158</v>
      </c>
      <c r="E852" s="978"/>
      <c r="F852" s="913"/>
      <c r="G852" s="842" t="s">
        <v>0</v>
      </c>
      <c r="H852" s="875" t="s">
        <v>690</v>
      </c>
      <c r="I852" s="993"/>
      <c r="J852" s="799" t="s">
        <v>6156</v>
      </c>
      <c r="K852" s="913">
        <v>1</v>
      </c>
      <c r="L852" s="883" t="s">
        <v>6216</v>
      </c>
      <c r="M852" s="194"/>
      <c r="N852" s="1167"/>
      <c r="O852" s="964" t="str">
        <f>C852</f>
        <v>مونتاژ شلنگ خنک کندده گیربگس به لوله چهار راهی پمپ آب برقی</v>
      </c>
      <c r="P852" s="965" t="str">
        <f>D852</f>
        <v>SX5KCT-1303-2-2</v>
      </c>
      <c r="Q852" s="679" t="str">
        <f>H852</f>
        <v>Q673C27F62</v>
      </c>
      <c r="R852" s="672" t="str">
        <f>J852</f>
        <v xml:space="preserve">بست فلزی </v>
      </c>
      <c r="S852" s="611">
        <f>K852</f>
        <v>1</v>
      </c>
      <c r="T852" s="673"/>
      <c r="U852" s="673"/>
      <c r="V852" s="673"/>
      <c r="W852" s="673"/>
      <c r="X852" s="590"/>
      <c r="Y852" s="590"/>
      <c r="Z852" s="673"/>
      <c r="AA852" s="736"/>
    </row>
    <row r="853" spans="1:34" ht="38.25" customHeight="1">
      <c r="A853" s="1167"/>
      <c r="B853" s="1160" t="s">
        <v>5310</v>
      </c>
      <c r="C853" s="1140" t="s">
        <v>1637</v>
      </c>
      <c r="D853" s="1141" t="s">
        <v>5011</v>
      </c>
      <c r="E853" s="1163" t="s">
        <v>4973</v>
      </c>
      <c r="F853" s="935"/>
      <c r="G853" s="292" t="s">
        <v>0</v>
      </c>
      <c r="H853" s="292" t="s">
        <v>5136</v>
      </c>
      <c r="I853" s="292"/>
      <c r="J853" s="230" t="s">
        <v>5012</v>
      </c>
      <c r="K853" s="292">
        <v>1</v>
      </c>
      <c r="L853" s="231" t="s">
        <v>5807</v>
      </c>
      <c r="M853" s="194"/>
      <c r="N853" s="1167"/>
      <c r="O853" s="1192" t="str">
        <f t="shared" si="110"/>
        <v xml:space="preserve">اتصال شیلنگ بوستر </v>
      </c>
      <c r="P853" s="1194" t="str">
        <f>D853</f>
        <v>SX7H-3540-1</v>
      </c>
      <c r="Q853" s="679"/>
      <c r="R853" s="672" t="s">
        <v>5012</v>
      </c>
      <c r="S853" s="611">
        <v>1</v>
      </c>
      <c r="T853" s="673"/>
      <c r="U853" s="673"/>
      <c r="V853" s="673"/>
      <c r="W853" s="673"/>
      <c r="X853" s="590"/>
      <c r="Y853" s="590"/>
      <c r="Z853" s="673"/>
      <c r="AA853" s="736"/>
    </row>
    <row r="854" spans="1:34" ht="38.25" customHeight="1">
      <c r="A854" s="1167"/>
      <c r="B854" s="1161"/>
      <c r="C854" s="1131"/>
      <c r="D854" s="1134"/>
      <c r="E854" s="1164"/>
      <c r="F854" s="935">
        <v>0.28564000000000001</v>
      </c>
      <c r="G854" s="333" t="s">
        <v>1</v>
      </c>
      <c r="H854" s="292" t="s">
        <v>891</v>
      </c>
      <c r="I854" s="952"/>
      <c r="J854" s="532" t="s">
        <v>1635</v>
      </c>
      <c r="K854" s="385">
        <v>1</v>
      </c>
      <c r="L854" s="231" t="s">
        <v>5971</v>
      </c>
      <c r="M854" s="194"/>
      <c r="N854" s="1167">
        <f t="shared" si="108"/>
        <v>0</v>
      </c>
      <c r="O854" s="1192"/>
      <c r="P854" s="1194"/>
      <c r="Q854" s="671" t="str">
        <f>H854</f>
        <v>CM5C-3540112</v>
      </c>
      <c r="R854" s="693" t="str">
        <f>J854</f>
        <v>بست اتصال شیلنگ بوستر</v>
      </c>
      <c r="S854" s="646">
        <f t="shared" si="107"/>
        <v>1</v>
      </c>
      <c r="T854" s="673"/>
      <c r="U854" s="673"/>
      <c r="V854" s="673"/>
      <c r="W854" s="673"/>
      <c r="X854" s="590"/>
      <c r="Y854" s="590"/>
      <c r="Z854" s="673"/>
      <c r="AA854" s="736"/>
    </row>
    <row r="855" spans="1:34" s="470" customFormat="1" ht="35.25" customHeight="1">
      <c r="A855" s="1167"/>
      <c r="B855" s="917" t="s">
        <v>5310</v>
      </c>
      <c r="C855" s="919" t="s">
        <v>5140</v>
      </c>
      <c r="D855" s="921" t="s">
        <v>5135</v>
      </c>
      <c r="E855" s="923"/>
      <c r="F855" s="917"/>
      <c r="G855" s="941" t="s">
        <v>0</v>
      </c>
      <c r="H855" s="884" t="s">
        <v>108</v>
      </c>
      <c r="I855" s="884"/>
      <c r="J855" s="885" t="s">
        <v>5141</v>
      </c>
      <c r="K855" s="975">
        <v>1</v>
      </c>
      <c r="L855" s="231" t="s">
        <v>5965</v>
      </c>
      <c r="M855" s="194"/>
      <c r="N855" s="1167"/>
      <c r="O855" s="914" t="s">
        <v>5646</v>
      </c>
      <c r="P855" s="915" t="s">
        <v>5135</v>
      </c>
      <c r="Q855" s="584" t="str">
        <f t="shared" ref="Q855" si="111">H855</f>
        <v>SX5G-1109014</v>
      </c>
      <c r="R855" s="585" t="str">
        <f t="shared" ref="R855" si="112">J855</f>
        <v xml:space="preserve"> ضربه گیر</v>
      </c>
      <c r="S855" s="586">
        <f t="shared" si="107"/>
        <v>1</v>
      </c>
      <c r="T855" s="666">
        <v>100</v>
      </c>
      <c r="U855" s="666">
        <v>110</v>
      </c>
      <c r="V855" s="666">
        <v>120</v>
      </c>
      <c r="W855" s="667" t="s">
        <v>5606</v>
      </c>
      <c r="X855" s="590" t="s">
        <v>5597</v>
      </c>
      <c r="Y855" s="590" t="s">
        <v>5598</v>
      </c>
      <c r="Z855" s="666" t="s">
        <v>5504</v>
      </c>
      <c r="AA855" s="734" t="s">
        <v>5645</v>
      </c>
      <c r="AB855" s="194"/>
      <c r="AC855" s="194"/>
      <c r="AD855" s="194"/>
      <c r="AE855" s="194"/>
      <c r="AF855" s="194"/>
      <c r="AG855" s="194"/>
      <c r="AH855" s="194"/>
    </row>
    <row r="856" spans="1:34" ht="39.950000000000003" customHeight="1">
      <c r="A856" s="1167"/>
      <c r="B856" s="935" t="s">
        <v>5310</v>
      </c>
      <c r="C856" s="982" t="s">
        <v>1634</v>
      </c>
      <c r="D856" s="995" t="s">
        <v>1633</v>
      </c>
      <c r="E856" s="1001"/>
      <c r="F856" s="935">
        <v>0.57294500000000004</v>
      </c>
      <c r="G856" s="258" t="s">
        <v>1371</v>
      </c>
      <c r="H856" s="292" t="s">
        <v>1411</v>
      </c>
      <c r="I856" s="292"/>
      <c r="J856" s="291" t="s">
        <v>1372</v>
      </c>
      <c r="K856" s="952"/>
      <c r="L856" s="236"/>
      <c r="M856" s="194"/>
      <c r="N856" s="1167">
        <f t="shared" si="108"/>
        <v>0</v>
      </c>
      <c r="O856" s="964" t="str">
        <f t="shared" ref="O856:O859" si="113">C856</f>
        <v xml:space="preserve">اتصال سوکت دسته سیم اصلی به دسته سیم موتور </v>
      </c>
      <c r="P856" s="965" t="str">
        <f>D856</f>
        <v>SX5-5300-3</v>
      </c>
      <c r="Q856" s="679" t="str">
        <f t="shared" si="109"/>
        <v>-------</v>
      </c>
      <c r="R856" s="680" t="str">
        <f t="shared" si="107"/>
        <v>--------</v>
      </c>
      <c r="S856" s="586">
        <f t="shared" si="107"/>
        <v>0</v>
      </c>
      <c r="T856" s="673"/>
      <c r="U856" s="673"/>
      <c r="V856" s="673"/>
      <c r="W856" s="673"/>
      <c r="X856" s="590"/>
      <c r="Y856" s="590"/>
      <c r="Z856" s="673"/>
      <c r="AA856" s="736"/>
    </row>
    <row r="857" spans="1:34" ht="39.950000000000003" customHeight="1">
      <c r="A857" s="1167"/>
      <c r="B857" s="1160" t="s">
        <v>5310</v>
      </c>
      <c r="C857" s="1152" t="s">
        <v>5362</v>
      </c>
      <c r="D857" s="1120" t="s">
        <v>5363</v>
      </c>
      <c r="E857" s="1122"/>
      <c r="F857" s="1160"/>
      <c r="G857" s="952" t="s">
        <v>0</v>
      </c>
      <c r="H857" s="935" t="s">
        <v>5364</v>
      </c>
      <c r="I857" s="523"/>
      <c r="J857" s="230" t="s">
        <v>5365</v>
      </c>
      <c r="K857" s="952">
        <v>1</v>
      </c>
      <c r="L857" s="231" t="s">
        <v>5965</v>
      </c>
      <c r="M857" s="194"/>
      <c r="N857" s="1167"/>
      <c r="O857" s="1116" t="s">
        <v>5362</v>
      </c>
      <c r="P857" s="1117" t="s">
        <v>5363</v>
      </c>
      <c r="Q857" s="694" t="s">
        <v>5364</v>
      </c>
      <c r="R857" s="672" t="str">
        <f t="shared" si="107"/>
        <v>بست سیم</v>
      </c>
      <c r="S857" s="586">
        <v>1</v>
      </c>
      <c r="T857" s="673"/>
      <c r="U857" s="673"/>
      <c r="V857" s="673"/>
      <c r="W857" s="673"/>
      <c r="X857" s="590"/>
      <c r="Y857" s="590"/>
      <c r="Z857" s="673"/>
      <c r="AA857" s="736"/>
    </row>
    <row r="858" spans="1:34" ht="39.950000000000003" customHeight="1">
      <c r="A858" s="1167"/>
      <c r="B858" s="1161"/>
      <c r="C858" s="1153"/>
      <c r="D858" s="1121"/>
      <c r="E858" s="1123"/>
      <c r="F858" s="1161"/>
      <c r="G858" s="952" t="s">
        <v>1</v>
      </c>
      <c r="H858" s="523" t="s">
        <v>1630</v>
      </c>
      <c r="I858" s="523"/>
      <c r="J858" s="230" t="s">
        <v>1587</v>
      </c>
      <c r="K858" s="952">
        <v>1</v>
      </c>
      <c r="L858" s="231" t="s">
        <v>5961</v>
      </c>
      <c r="M858" s="194"/>
      <c r="N858" s="1167"/>
      <c r="O858" s="1116"/>
      <c r="P858" s="1117"/>
      <c r="Q858" s="688"/>
      <c r="R858" s="672" t="s">
        <v>1690</v>
      </c>
      <c r="S858" s="586">
        <v>1</v>
      </c>
      <c r="T858" s="590">
        <v>4</v>
      </c>
      <c r="U858" s="590">
        <v>5</v>
      </c>
      <c r="V858" s="590">
        <v>6</v>
      </c>
      <c r="W858" s="673"/>
      <c r="X858" s="639" t="s">
        <v>5451</v>
      </c>
      <c r="Y858" s="590" t="s">
        <v>5678</v>
      </c>
      <c r="Z858" s="673"/>
      <c r="AA858" s="736"/>
    </row>
    <row r="859" spans="1:34" ht="22.5" customHeight="1">
      <c r="A859" s="1167"/>
      <c r="B859" s="1151" t="s">
        <v>5310</v>
      </c>
      <c r="C859" s="1154" t="s">
        <v>1632</v>
      </c>
      <c r="D859" s="1209" t="s">
        <v>6110</v>
      </c>
      <c r="E859" s="1126"/>
      <c r="F859" s="1151">
        <v>1.94</v>
      </c>
      <c r="G859" s="952" t="s">
        <v>0</v>
      </c>
      <c r="H859" s="952" t="s">
        <v>5233</v>
      </c>
      <c r="I859" s="952" t="s">
        <v>5101</v>
      </c>
      <c r="J859" s="230" t="s">
        <v>1631</v>
      </c>
      <c r="K859" s="952">
        <v>1</v>
      </c>
      <c r="L859" s="231" t="s">
        <v>5969</v>
      </c>
      <c r="M859" s="194"/>
      <c r="N859" s="1167">
        <f t="shared" si="108"/>
        <v>0</v>
      </c>
      <c r="O859" s="1116" t="str">
        <f t="shared" si="113"/>
        <v>نصب مجموعه فیلتر هوا</v>
      </c>
      <c r="P859" s="1117" t="str">
        <f>D859</f>
        <v>SX7H-1132-2</v>
      </c>
      <c r="Q859" s="671" t="str">
        <f t="shared" si="109"/>
        <v>SX7HCT-1109-0001C</v>
      </c>
      <c r="R859" s="672" t="str">
        <f t="shared" si="107"/>
        <v>مجموعه فیلتر هوا</v>
      </c>
      <c r="S859" s="586">
        <f t="shared" si="107"/>
        <v>1</v>
      </c>
      <c r="T859" s="639">
        <v>2.5</v>
      </c>
      <c r="U859" s="639">
        <v>3</v>
      </c>
      <c r="V859" s="639">
        <v>3.5</v>
      </c>
      <c r="W859" s="591" t="s">
        <v>5461</v>
      </c>
      <c r="X859" s="639" t="s">
        <v>5451</v>
      </c>
      <c r="Y859" s="639" t="s">
        <v>5680</v>
      </c>
      <c r="Z859" s="673"/>
      <c r="AA859" s="736"/>
    </row>
    <row r="860" spans="1:34" ht="22.5" customHeight="1">
      <c r="A860" s="1167"/>
      <c r="B860" s="1151"/>
      <c r="C860" s="1154" t="s">
        <v>1248</v>
      </c>
      <c r="D860" s="1209"/>
      <c r="E860" s="1126"/>
      <c r="F860" s="1151"/>
      <c r="G860" s="952" t="s">
        <v>1</v>
      </c>
      <c r="H860" s="523" t="s">
        <v>687</v>
      </c>
      <c r="I860" s="523"/>
      <c r="J860" s="230" t="s">
        <v>1503</v>
      </c>
      <c r="K860" s="952">
        <v>1</v>
      </c>
      <c r="L860" s="231" t="s">
        <v>5961</v>
      </c>
      <c r="M860" s="194"/>
      <c r="N860" s="1167">
        <f t="shared" si="108"/>
        <v>0</v>
      </c>
      <c r="O860" s="1116"/>
      <c r="P860" s="1117"/>
      <c r="Q860" s="688" t="str">
        <f t="shared" si="109"/>
        <v>Q140B0630F38L</v>
      </c>
      <c r="R860" s="672" t="str">
        <f t="shared" si="107"/>
        <v xml:space="preserve">پیچ فلنجی شش گوش </v>
      </c>
      <c r="S860" s="586">
        <f t="shared" si="107"/>
        <v>1</v>
      </c>
      <c r="T860" s="639">
        <v>6</v>
      </c>
      <c r="U860" s="639">
        <v>7</v>
      </c>
      <c r="V860" s="639">
        <v>8</v>
      </c>
      <c r="W860" s="591" t="s">
        <v>5431</v>
      </c>
      <c r="X860" s="639" t="s">
        <v>5681</v>
      </c>
      <c r="Y860" s="639" t="s">
        <v>5682</v>
      </c>
      <c r="Z860" s="673"/>
      <c r="AA860" s="736"/>
    </row>
    <row r="861" spans="1:34" ht="22.5" customHeight="1">
      <c r="A861" s="1167"/>
      <c r="B861" s="1151"/>
      <c r="C861" s="1154" t="s">
        <v>1248</v>
      </c>
      <c r="D861" s="1209"/>
      <c r="E861" s="1126"/>
      <c r="F861" s="1151"/>
      <c r="G861" s="952" t="s">
        <v>2</v>
      </c>
      <c r="H861" s="523" t="s">
        <v>1629</v>
      </c>
      <c r="I861" s="523"/>
      <c r="J861" s="230" t="s">
        <v>1587</v>
      </c>
      <c r="K861" s="952">
        <v>2</v>
      </c>
      <c r="L861" s="231" t="s">
        <v>5961</v>
      </c>
      <c r="M861" s="194"/>
      <c r="N861" s="1167">
        <f t="shared" si="108"/>
        <v>0</v>
      </c>
      <c r="O861" s="1116"/>
      <c r="P861" s="1117"/>
      <c r="Q861" s="688" t="str">
        <f t="shared" si="109"/>
        <v>LQ140B0620F38A1</v>
      </c>
      <c r="R861" s="672" t="str">
        <f t="shared" si="107"/>
        <v xml:space="preserve">پیچ فلنجی سر شش گوش </v>
      </c>
      <c r="S861" s="586">
        <f t="shared" si="107"/>
        <v>2</v>
      </c>
      <c r="T861" s="639">
        <v>6</v>
      </c>
      <c r="U861" s="639">
        <v>7</v>
      </c>
      <c r="V861" s="639">
        <v>8</v>
      </c>
      <c r="W861" s="591" t="s">
        <v>5431</v>
      </c>
      <c r="X861" s="639" t="s">
        <v>5681</v>
      </c>
      <c r="Y861" s="639" t="s">
        <v>5682</v>
      </c>
      <c r="Z861" s="673"/>
      <c r="AA861" s="736"/>
    </row>
    <row r="862" spans="1:34" ht="26.1" customHeight="1">
      <c r="A862" s="1167"/>
      <c r="B862" s="1228" t="s">
        <v>5310</v>
      </c>
      <c r="C862" s="1154" t="s">
        <v>1628</v>
      </c>
      <c r="D862" s="1209" t="s">
        <v>5045</v>
      </c>
      <c r="E862" s="1126" t="s">
        <v>37</v>
      </c>
      <c r="F862" s="1220">
        <v>1.68</v>
      </c>
      <c r="G862" s="952" t="s">
        <v>0</v>
      </c>
      <c r="H862" s="977" t="s">
        <v>5226</v>
      </c>
      <c r="I862" s="952" t="s">
        <v>5102</v>
      </c>
      <c r="J862" s="230" t="s">
        <v>1627</v>
      </c>
      <c r="K862" s="952">
        <v>1</v>
      </c>
      <c r="L862" s="231" t="s">
        <v>6014</v>
      </c>
      <c r="M862" s="194"/>
      <c r="N862" s="1167">
        <f t="shared" si="108"/>
        <v>0</v>
      </c>
      <c r="O862" s="1116" t="str">
        <f>C862</f>
        <v>نصب واحد کنترل الکترونیکی موتور</v>
      </c>
      <c r="P862" s="1117" t="str">
        <f>D862</f>
        <v>SX7H-3610-4</v>
      </c>
      <c r="Q862" s="671" t="str">
        <f t="shared" si="109"/>
        <v>SX5KCT-3610-0003C</v>
      </c>
      <c r="R862" s="672" t="str">
        <f t="shared" si="107"/>
        <v>واحد کنترل الکترونیکی موتور</v>
      </c>
      <c r="S862" s="586">
        <f t="shared" si="107"/>
        <v>1</v>
      </c>
      <c r="T862" s="673"/>
      <c r="U862" s="673"/>
      <c r="V862" s="673"/>
      <c r="W862" s="673"/>
      <c r="X862" s="590"/>
      <c r="Y862" s="590"/>
      <c r="Z862" s="673"/>
      <c r="AA862" s="736"/>
    </row>
    <row r="863" spans="1:34" ht="26.1" customHeight="1">
      <c r="A863" s="1167"/>
      <c r="B863" s="1228"/>
      <c r="C863" s="1154" t="s">
        <v>1248</v>
      </c>
      <c r="D863" s="1209"/>
      <c r="E863" s="1126"/>
      <c r="F863" s="1220"/>
      <c r="G863" s="952" t="s">
        <v>1</v>
      </c>
      <c r="H863" s="977" t="s">
        <v>5059</v>
      </c>
      <c r="I863" s="952"/>
      <c r="J863" s="230" t="s">
        <v>1626</v>
      </c>
      <c r="K863" s="952">
        <v>4</v>
      </c>
      <c r="L863" s="231" t="s">
        <v>5961</v>
      </c>
      <c r="M863" s="194"/>
      <c r="N863" s="1167">
        <f t="shared" si="108"/>
        <v>0</v>
      </c>
      <c r="O863" s="1116"/>
      <c r="P863" s="1117"/>
      <c r="Q863" s="671" t="str">
        <f t="shared" si="109"/>
        <v>Q215B0816F38</v>
      </c>
      <c r="R863" s="672" t="str">
        <f t="shared" si="107"/>
        <v>پیچ سر سوکتی</v>
      </c>
      <c r="S863" s="586">
        <f t="shared" si="107"/>
        <v>4</v>
      </c>
      <c r="T863" s="639">
        <v>6</v>
      </c>
      <c r="U863" s="639">
        <v>8</v>
      </c>
      <c r="V863" s="639">
        <v>10</v>
      </c>
      <c r="W863" s="591" t="s">
        <v>5431</v>
      </c>
      <c r="X863" s="639" t="s">
        <v>5432</v>
      </c>
      <c r="Y863" s="639" t="s">
        <v>5679</v>
      </c>
      <c r="Z863" s="673"/>
      <c r="AA863" s="736"/>
    </row>
    <row r="864" spans="1:34" ht="26.1" customHeight="1">
      <c r="A864" s="1167"/>
      <c r="B864" s="933" t="s">
        <v>5310</v>
      </c>
      <c r="C864" s="914" t="s">
        <v>6196</v>
      </c>
      <c r="D864" s="915" t="s">
        <v>6193</v>
      </c>
      <c r="E864" s="916"/>
      <c r="F864" s="941"/>
      <c r="G864" s="941" t="s">
        <v>0</v>
      </c>
      <c r="H864" s="977" t="s">
        <v>6189</v>
      </c>
      <c r="I864" s="941"/>
      <c r="J864" s="647" t="s">
        <v>6003</v>
      </c>
      <c r="K864" s="941">
        <v>1</v>
      </c>
      <c r="L864" s="802" t="s">
        <v>5961</v>
      </c>
      <c r="M864" s="194"/>
      <c r="N864" s="1167"/>
      <c r="O864" s="914" t="str">
        <f>C864</f>
        <v xml:space="preserve">اتصال خروجی سیستم تهویه مطبوع سمت موتور </v>
      </c>
      <c r="P864" s="886" t="str">
        <f>D864</f>
        <v>SX3DCN-1300-4-1</v>
      </c>
      <c r="Q864" s="671" t="str">
        <f t="shared" si="109"/>
        <v>Q673C24F62</v>
      </c>
      <c r="R864" s="672" t="str">
        <f t="shared" si="107"/>
        <v>بست فلزی</v>
      </c>
      <c r="S864" s="586">
        <f t="shared" si="107"/>
        <v>1</v>
      </c>
      <c r="T864" s="639"/>
      <c r="U864" s="639"/>
      <c r="V864" s="639"/>
      <c r="W864" s="591"/>
      <c r="X864" s="639" t="s">
        <v>6194</v>
      </c>
      <c r="Y864" s="639"/>
      <c r="Z864" s="673"/>
      <c r="AA864" s="736"/>
    </row>
    <row r="865" spans="1:27" ht="36" customHeight="1">
      <c r="A865" s="1167"/>
      <c r="B865" s="933" t="s">
        <v>5310</v>
      </c>
      <c r="C865" s="929" t="s">
        <v>1624</v>
      </c>
      <c r="D865" s="931" t="s">
        <v>1623</v>
      </c>
      <c r="E865" s="939"/>
      <c r="F865" s="935">
        <v>0.33466499999999999</v>
      </c>
      <c r="G865" s="952" t="s">
        <v>0</v>
      </c>
      <c r="H865" s="354" t="s">
        <v>1622</v>
      </c>
      <c r="I865" s="354"/>
      <c r="J865" s="230" t="s">
        <v>1621</v>
      </c>
      <c r="K865" s="952">
        <v>2</v>
      </c>
      <c r="L865" s="231" t="s">
        <v>5963</v>
      </c>
      <c r="M865" s="194"/>
      <c r="N865" s="1167">
        <f t="shared" si="108"/>
        <v>0</v>
      </c>
      <c r="O865" s="914" t="str">
        <f t="shared" ref="O865:O867" si="114">C865</f>
        <v xml:space="preserve"> اتصال لوله ورودی آب رادیاتور</v>
      </c>
      <c r="P865" s="915" t="str">
        <f>D865</f>
        <v>SX5A-1303-7</v>
      </c>
      <c r="Q865" s="685" t="str">
        <f t="shared" si="109"/>
        <v>B12-1303220A</v>
      </c>
      <c r="R865" s="672" t="str">
        <f t="shared" si="107"/>
        <v>بست فلزی فشاری</v>
      </c>
      <c r="S865" s="586">
        <f t="shared" si="107"/>
        <v>2</v>
      </c>
      <c r="T865" s="673"/>
      <c r="U865" s="673"/>
      <c r="V865" s="673"/>
      <c r="W865" s="673"/>
      <c r="X865" s="590"/>
      <c r="Y865" s="590"/>
      <c r="Z865" s="673"/>
      <c r="AA865" s="736"/>
    </row>
    <row r="866" spans="1:27" ht="36" customHeight="1" thickBot="1">
      <c r="A866" s="1168"/>
      <c r="B866" s="936" t="s">
        <v>5310</v>
      </c>
      <c r="C866" s="930" t="s">
        <v>6173</v>
      </c>
      <c r="D866" s="932" t="s">
        <v>6132</v>
      </c>
      <c r="E866" s="942" t="s">
        <v>37</v>
      </c>
      <c r="F866" s="936">
        <v>0.62973999999999997</v>
      </c>
      <c r="G866" s="953" t="s">
        <v>0</v>
      </c>
      <c r="H866" s="953" t="s">
        <v>5751</v>
      </c>
      <c r="I866" s="953"/>
      <c r="J866" s="272" t="s">
        <v>6003</v>
      </c>
      <c r="K866" s="953">
        <v>1</v>
      </c>
      <c r="L866" s="250" t="s">
        <v>5965</v>
      </c>
      <c r="M866" s="194"/>
      <c r="N866" s="1168">
        <f t="shared" si="108"/>
        <v>0</v>
      </c>
      <c r="O866" s="930" t="str">
        <f t="shared" si="114"/>
        <v>مونتاژ  شلنگ ورودی آّب  راددیاتور بخاری سمت داشبورد.</v>
      </c>
      <c r="P866" s="932" t="str">
        <f>D866</f>
        <v>SX3DCN-8101-2</v>
      </c>
      <c r="Q866" s="251" t="str">
        <f t="shared" si="109"/>
        <v>Q673C25F62</v>
      </c>
      <c r="R866" s="489" t="str">
        <f t="shared" si="107"/>
        <v>بست فلزی</v>
      </c>
      <c r="S866" s="251">
        <f t="shared" si="107"/>
        <v>1</v>
      </c>
      <c r="T866" s="286"/>
      <c r="U866" s="286"/>
      <c r="V866" s="286"/>
      <c r="W866" s="286"/>
      <c r="X866" s="284" t="s">
        <v>6194</v>
      </c>
      <c r="Y866" s="284"/>
      <c r="Z866" s="286"/>
      <c r="AA866" s="490"/>
    </row>
    <row r="867" spans="1:27" ht="30" customHeight="1">
      <c r="A867" s="1177" t="s">
        <v>1599</v>
      </c>
      <c r="B867" s="946" t="s">
        <v>1584</v>
      </c>
      <c r="C867" s="966" t="s">
        <v>1619</v>
      </c>
      <c r="D867" s="967" t="s">
        <v>1618</v>
      </c>
      <c r="E867" s="991" t="s">
        <v>4974</v>
      </c>
      <c r="F867" s="946">
        <v>1.2</v>
      </c>
      <c r="G867" s="255" t="s">
        <v>1371</v>
      </c>
      <c r="H867" s="255" t="s">
        <v>1412</v>
      </c>
      <c r="I867" s="255"/>
      <c r="J867" s="256" t="s">
        <v>1412</v>
      </c>
      <c r="K867" s="255" t="s">
        <v>1371</v>
      </c>
      <c r="L867" s="257"/>
      <c r="M867" s="194"/>
      <c r="N867" s="1135" t="str">
        <f>A867</f>
        <v>P68</v>
      </c>
      <c r="O867" s="966" t="str">
        <f t="shared" si="114"/>
        <v>سوراخکاری محل نصب پلاک شناسایی خودرو</v>
      </c>
      <c r="P867" s="967" t="str">
        <f>D867</f>
        <v>SX5-1700-10</v>
      </c>
      <c r="Q867" s="512" t="str">
        <f t="shared" si="109"/>
        <v>------</v>
      </c>
      <c r="R867" s="513" t="str">
        <f t="shared" si="107"/>
        <v>------</v>
      </c>
      <c r="S867" s="346" t="str">
        <f t="shared" si="107"/>
        <v>---</v>
      </c>
      <c r="T867" s="751" t="s">
        <v>1371</v>
      </c>
      <c r="U867" s="751" t="s">
        <v>1371</v>
      </c>
      <c r="V867" s="751" t="s">
        <v>1371</v>
      </c>
      <c r="W867" s="394"/>
      <c r="X867" s="752" t="s">
        <v>5683</v>
      </c>
      <c r="Y867" s="479" t="s">
        <v>5684</v>
      </c>
      <c r="Z867" s="479"/>
      <c r="AA867" s="483"/>
    </row>
    <row r="868" spans="1:27" ht="26.1" customHeight="1">
      <c r="A868" s="1178"/>
      <c r="B868" s="1160" t="s">
        <v>1584</v>
      </c>
      <c r="C868" s="1152" t="s">
        <v>5750</v>
      </c>
      <c r="D868" s="1120" t="s">
        <v>5031</v>
      </c>
      <c r="E868" s="1122"/>
      <c r="F868" s="1160"/>
      <c r="G868" s="952" t="s">
        <v>0</v>
      </c>
      <c r="H868" s="533" t="s">
        <v>5234</v>
      </c>
      <c r="I868" s="952"/>
      <c r="J868" s="259" t="s">
        <v>5752</v>
      </c>
      <c r="K868" s="952">
        <v>1</v>
      </c>
      <c r="L868" s="231" t="s">
        <v>5807</v>
      </c>
      <c r="M868" s="194"/>
      <c r="N868" s="1136"/>
      <c r="O868" s="1152" t="s">
        <v>5750</v>
      </c>
      <c r="P868" s="1120" t="s">
        <v>5031</v>
      </c>
      <c r="Q868" s="688" t="s">
        <v>5234</v>
      </c>
      <c r="R868" s="680" t="str">
        <f>J868</f>
        <v>مجموعه مخزن انبساط</v>
      </c>
      <c r="S868" s="586">
        <v>1</v>
      </c>
      <c r="T868" s="673"/>
      <c r="U868" s="673"/>
      <c r="V868" s="673"/>
      <c r="W868" s="673"/>
      <c r="X868" s="590"/>
      <c r="Y868" s="590"/>
      <c r="Z868" s="673"/>
      <c r="AA868" s="736"/>
    </row>
    <row r="869" spans="1:27" ht="26.1" customHeight="1">
      <c r="A869" s="1178"/>
      <c r="B869" s="1227"/>
      <c r="C869" s="1201"/>
      <c r="D869" s="1202"/>
      <c r="E869" s="1165"/>
      <c r="F869" s="1227"/>
      <c r="G869" s="952" t="s">
        <v>1</v>
      </c>
      <c r="H869" s="786" t="s">
        <v>3</v>
      </c>
      <c r="I869" s="952" t="s">
        <v>5270</v>
      </c>
      <c r="J869" s="259" t="s">
        <v>2016</v>
      </c>
      <c r="K869" s="952">
        <v>3</v>
      </c>
      <c r="L869" s="231" t="s">
        <v>5961</v>
      </c>
      <c r="M869" s="194"/>
      <c r="N869" s="1136"/>
      <c r="O869" s="1201"/>
      <c r="P869" s="1202"/>
      <c r="Q869" s="688" t="s">
        <v>3</v>
      </c>
      <c r="R869" s="680" t="str">
        <f t="shared" ref="R869:R936" si="115">J869</f>
        <v>پیچ شش گوش</v>
      </c>
      <c r="S869" s="586">
        <v>3</v>
      </c>
      <c r="T869" s="590">
        <v>7</v>
      </c>
      <c r="U869" s="590">
        <v>8</v>
      </c>
      <c r="V869" s="590">
        <v>9</v>
      </c>
      <c r="W869" s="590" t="s">
        <v>5601</v>
      </c>
      <c r="X869" s="590" t="s">
        <v>5432</v>
      </c>
      <c r="Y869" s="590" t="s">
        <v>5679</v>
      </c>
      <c r="Z869" s="673"/>
      <c r="AA869" s="736"/>
    </row>
    <row r="870" spans="1:27" ht="26.1" customHeight="1">
      <c r="A870" s="1178"/>
      <c r="B870" s="1227"/>
      <c r="C870" s="1201"/>
      <c r="D870" s="1202"/>
      <c r="E870" s="1165"/>
      <c r="F870" s="1227"/>
      <c r="G870" s="952" t="s">
        <v>2</v>
      </c>
      <c r="H870" s="533" t="s">
        <v>5751</v>
      </c>
      <c r="I870" s="952"/>
      <c r="J870" s="259" t="s">
        <v>5057</v>
      </c>
      <c r="K870" s="952">
        <v>1</v>
      </c>
      <c r="L870" s="231" t="s">
        <v>5965</v>
      </c>
      <c r="M870" s="194"/>
      <c r="N870" s="1136"/>
      <c r="O870" s="1201"/>
      <c r="P870" s="1202"/>
      <c r="Q870" s="688" t="s">
        <v>5270</v>
      </c>
      <c r="R870" s="680" t="str">
        <f t="shared" si="115"/>
        <v>بست  فلزی</v>
      </c>
      <c r="S870" s="586">
        <v>1</v>
      </c>
      <c r="T870" s="590"/>
      <c r="U870" s="590"/>
      <c r="V870" s="590"/>
      <c r="W870" s="590"/>
      <c r="X870" s="590"/>
      <c r="Y870" s="590"/>
      <c r="Z870" s="673"/>
      <c r="AA870" s="736"/>
    </row>
    <row r="871" spans="1:27" ht="26.1" customHeight="1">
      <c r="A871" s="1178"/>
      <c r="B871" s="1161"/>
      <c r="C871" s="1153"/>
      <c r="D871" s="1121"/>
      <c r="E871" s="1123"/>
      <c r="F871" s="1161"/>
      <c r="G871" s="941" t="s">
        <v>7</v>
      </c>
      <c r="H871" s="876" t="s">
        <v>6004</v>
      </c>
      <c r="I871" s="941"/>
      <c r="J871" s="259" t="s">
        <v>6003</v>
      </c>
      <c r="K871" s="941">
        <v>1</v>
      </c>
      <c r="L871" s="802" t="s">
        <v>5963</v>
      </c>
      <c r="M871" s="194"/>
      <c r="N871" s="1136"/>
      <c r="O871" s="1153"/>
      <c r="P871" s="1121"/>
      <c r="Q871" s="688" t="str">
        <f>H871</f>
        <v>A-1104028A2</v>
      </c>
      <c r="R871" s="680" t="str">
        <f>J871</f>
        <v>بست فلزی</v>
      </c>
      <c r="S871" s="586">
        <f>K871</f>
        <v>1</v>
      </c>
      <c r="T871" s="590"/>
      <c r="U871" s="590"/>
      <c r="V871" s="590"/>
      <c r="W871" s="590"/>
      <c r="X871" s="590"/>
      <c r="Y871" s="590"/>
      <c r="Z871" s="673"/>
      <c r="AA871" s="736"/>
    </row>
    <row r="872" spans="1:27" ht="26.1" customHeight="1">
      <c r="A872" s="1178"/>
      <c r="B872" s="1151" t="s">
        <v>1584</v>
      </c>
      <c r="C872" s="1154" t="s">
        <v>1616</v>
      </c>
      <c r="D872" s="1209" t="s">
        <v>6133</v>
      </c>
      <c r="E872" s="1126" t="s">
        <v>4973</v>
      </c>
      <c r="F872" s="1151">
        <v>0.45</v>
      </c>
      <c r="G872" s="952" t="s">
        <v>0</v>
      </c>
      <c r="H872" s="952" t="s">
        <v>5284</v>
      </c>
      <c r="I872" s="952" t="s">
        <v>5284</v>
      </c>
      <c r="J872" s="230" t="s">
        <v>5093</v>
      </c>
      <c r="K872" s="952" t="s">
        <v>1393</v>
      </c>
      <c r="L872" s="236"/>
      <c r="M872" s="194"/>
      <c r="N872" s="1136"/>
      <c r="O872" s="1116" t="s">
        <v>1616</v>
      </c>
      <c r="P872" s="1117" t="s">
        <v>401</v>
      </c>
      <c r="Q872" s="586" t="s">
        <v>5284</v>
      </c>
      <c r="R872" s="680" t="str">
        <f t="shared" si="115"/>
        <v>پریز کمربند ایمنی عقب راست</v>
      </c>
      <c r="S872" s="586" t="s">
        <v>1393</v>
      </c>
      <c r="T872" s="639"/>
      <c r="U872" s="639"/>
      <c r="V872" s="639"/>
      <c r="W872" s="591"/>
      <c r="X872" s="590"/>
      <c r="Y872" s="590"/>
      <c r="Z872" s="639"/>
      <c r="AA872" s="731"/>
    </row>
    <row r="873" spans="1:27" ht="33.75" customHeight="1">
      <c r="A873" s="1178"/>
      <c r="B873" s="1151"/>
      <c r="C873" s="1154" t="s">
        <v>1248</v>
      </c>
      <c r="D873" s="1209"/>
      <c r="E873" s="1126"/>
      <c r="F873" s="1151"/>
      <c r="G873" s="952" t="s">
        <v>1</v>
      </c>
      <c r="H873" s="952" t="s">
        <v>5271</v>
      </c>
      <c r="I873" s="952"/>
      <c r="J873" s="230" t="s">
        <v>1549</v>
      </c>
      <c r="K873" s="952">
        <v>1</v>
      </c>
      <c r="L873" s="231" t="s">
        <v>5807</v>
      </c>
      <c r="M873" s="194"/>
      <c r="N873" s="1136"/>
      <c r="O873" s="1116" t="s">
        <v>1248</v>
      </c>
      <c r="P873" s="1117"/>
      <c r="Q873" s="671" t="s">
        <v>5271</v>
      </c>
      <c r="R873" s="680" t="str">
        <f t="shared" si="115"/>
        <v>پریز کمربند ایمنی عقب وسط</v>
      </c>
      <c r="S873" s="586">
        <v>1</v>
      </c>
      <c r="T873" s="639"/>
      <c r="U873" s="639"/>
      <c r="V873" s="639"/>
      <c r="W873" s="591"/>
      <c r="X873" s="590"/>
      <c r="Y873" s="590"/>
      <c r="Z873" s="639"/>
      <c r="AA873" s="731"/>
    </row>
    <row r="874" spans="1:27" ht="32.25" customHeight="1">
      <c r="A874" s="1178"/>
      <c r="B874" s="1151" t="s">
        <v>1584</v>
      </c>
      <c r="C874" s="1154" t="s">
        <v>1646</v>
      </c>
      <c r="D874" s="1209" t="s">
        <v>287</v>
      </c>
      <c r="E874" s="1126" t="s">
        <v>4974</v>
      </c>
      <c r="F874" s="1151">
        <v>1.46</v>
      </c>
      <c r="G874" s="952" t="s">
        <v>0</v>
      </c>
      <c r="H874" s="952" t="s">
        <v>288</v>
      </c>
      <c r="I874" s="952"/>
      <c r="J874" s="230" t="s">
        <v>1645</v>
      </c>
      <c r="K874" s="952">
        <v>1</v>
      </c>
      <c r="L874" s="231" t="s">
        <v>5807</v>
      </c>
      <c r="M874" s="194"/>
      <c r="N874" s="1136"/>
      <c r="O874" s="1116" t="str">
        <f>C874</f>
        <v>نصب موتور برف پاک کن عقب</v>
      </c>
      <c r="P874" s="1117" t="str">
        <f>D874</f>
        <v>SX5-6310-2</v>
      </c>
      <c r="Q874" s="671" t="str">
        <f t="shared" ref="Q874:Q875" si="116">H874</f>
        <v>SX5-6310010</v>
      </c>
      <c r="R874" s="672" t="str">
        <f t="shared" si="115"/>
        <v>موتور برف پاک کن عقب</v>
      </c>
      <c r="S874" s="586">
        <f t="shared" ref="S874:S875" si="117">K874</f>
        <v>1</v>
      </c>
      <c r="T874" s="673"/>
      <c r="U874" s="673"/>
      <c r="V874" s="673"/>
      <c r="W874" s="673"/>
      <c r="X874" s="590"/>
      <c r="Y874" s="590"/>
      <c r="Z874" s="673"/>
      <c r="AA874" s="736"/>
    </row>
    <row r="875" spans="1:27" ht="32.25" customHeight="1">
      <c r="A875" s="1178"/>
      <c r="B875" s="1151"/>
      <c r="C875" s="1154" t="s">
        <v>1248</v>
      </c>
      <c r="D875" s="1209"/>
      <c r="E875" s="1126"/>
      <c r="F875" s="1151"/>
      <c r="G875" s="952" t="s">
        <v>1</v>
      </c>
      <c r="H875" s="952" t="s">
        <v>289</v>
      </c>
      <c r="I875" s="952" t="s">
        <v>1644</v>
      </c>
      <c r="J875" s="230" t="s">
        <v>1459</v>
      </c>
      <c r="K875" s="952">
        <v>3</v>
      </c>
      <c r="L875" s="231" t="s">
        <v>5968</v>
      </c>
      <c r="M875" s="194"/>
      <c r="N875" s="1136"/>
      <c r="O875" s="1116"/>
      <c r="P875" s="1117"/>
      <c r="Q875" s="671" t="str">
        <f t="shared" si="116"/>
        <v>LQ146B0630F38A1</v>
      </c>
      <c r="R875" s="672" t="str">
        <f t="shared" si="115"/>
        <v xml:space="preserve">پیچ ترکیبی شش گوش </v>
      </c>
      <c r="S875" s="586">
        <f t="shared" si="117"/>
        <v>3</v>
      </c>
      <c r="T875" s="639">
        <v>8</v>
      </c>
      <c r="U875" s="639">
        <v>9</v>
      </c>
      <c r="V875" s="639">
        <v>10</v>
      </c>
      <c r="W875" s="591" t="s">
        <v>5431</v>
      </c>
      <c r="X875" s="639" t="s">
        <v>5435</v>
      </c>
      <c r="Y875" s="639" t="s">
        <v>5676</v>
      </c>
      <c r="Z875" s="639" t="s">
        <v>5442</v>
      </c>
      <c r="AA875" s="731" t="s">
        <v>5677</v>
      </c>
    </row>
    <row r="876" spans="1:27" ht="32.25" customHeight="1">
      <c r="A876" s="1178"/>
      <c r="B876" s="918" t="s">
        <v>1584</v>
      </c>
      <c r="C876" s="812" t="s">
        <v>1615</v>
      </c>
      <c r="D876" s="813" t="s">
        <v>6134</v>
      </c>
      <c r="E876" s="998" t="s">
        <v>4973</v>
      </c>
      <c r="F876" s="1012">
        <v>0.45</v>
      </c>
      <c r="G876" s="977" t="s">
        <v>0</v>
      </c>
      <c r="H876" s="977" t="s">
        <v>5272</v>
      </c>
      <c r="I876" s="977"/>
      <c r="J876" s="298" t="s">
        <v>1546</v>
      </c>
      <c r="K876" s="977">
        <v>2</v>
      </c>
      <c r="L876" s="435" t="s">
        <v>5807</v>
      </c>
      <c r="M876" s="817"/>
      <c r="N876" s="1136"/>
      <c r="O876" s="812" t="s">
        <v>1615</v>
      </c>
      <c r="P876" s="813" t="s">
        <v>1547</v>
      </c>
      <c r="Q876" s="814" t="s">
        <v>5272</v>
      </c>
      <c r="R876" s="815" t="str">
        <f t="shared" si="115"/>
        <v>پریز کمربند ایمنی عقب چپ</v>
      </c>
      <c r="S876" s="803">
        <v>2</v>
      </c>
      <c r="T876" s="460"/>
      <c r="U876" s="460"/>
      <c r="V876" s="460"/>
      <c r="W876" s="460"/>
      <c r="X876" s="806"/>
      <c r="Y876" s="806"/>
      <c r="Z876" s="460"/>
      <c r="AA876" s="816"/>
    </row>
    <row r="877" spans="1:27" ht="26.1" customHeight="1">
      <c r="A877" s="1178"/>
      <c r="B877" s="1151" t="s">
        <v>1584</v>
      </c>
      <c r="C877" s="1154" t="s">
        <v>1614</v>
      </c>
      <c r="D877" s="1209" t="s">
        <v>414</v>
      </c>
      <c r="E877" s="1126"/>
      <c r="F877" s="1151">
        <v>0.84</v>
      </c>
      <c r="G877" s="952" t="s">
        <v>0</v>
      </c>
      <c r="H877" s="977" t="s">
        <v>415</v>
      </c>
      <c r="I877" s="977"/>
      <c r="J877" s="230" t="s">
        <v>1543</v>
      </c>
      <c r="K877" s="952">
        <v>1</v>
      </c>
      <c r="L877" s="231" t="s">
        <v>5807</v>
      </c>
      <c r="M877" s="194"/>
      <c r="N877" s="1136"/>
      <c r="O877" s="1116" t="s">
        <v>1614</v>
      </c>
      <c r="P877" s="1117" t="s">
        <v>414</v>
      </c>
      <c r="Q877" s="671" t="s">
        <v>415</v>
      </c>
      <c r="R877" s="680" t="str">
        <f t="shared" si="115"/>
        <v>براکت لولای پشتی صندلی عقب</v>
      </c>
      <c r="S877" s="586">
        <v>1</v>
      </c>
      <c r="T877" s="673"/>
      <c r="U877" s="673"/>
      <c r="V877" s="673"/>
      <c r="W877" s="673"/>
      <c r="X877" s="590"/>
      <c r="Y877" s="590"/>
      <c r="Z877" s="673"/>
      <c r="AA877" s="736"/>
    </row>
    <row r="878" spans="1:27" ht="26.1" customHeight="1">
      <c r="A878" s="1178"/>
      <c r="B878" s="1151"/>
      <c r="C878" s="1154" t="s">
        <v>1248</v>
      </c>
      <c r="D878" s="1209"/>
      <c r="E878" s="1126"/>
      <c r="F878" s="1151"/>
      <c r="G878" s="952" t="s">
        <v>1</v>
      </c>
      <c r="H878" s="234" t="s">
        <v>1542</v>
      </c>
      <c r="I878" s="234"/>
      <c r="J878" s="260" t="s">
        <v>1541</v>
      </c>
      <c r="K878" s="952">
        <v>1</v>
      </c>
      <c r="L878" s="231" t="s">
        <v>5807</v>
      </c>
      <c r="M878" s="194"/>
      <c r="N878" s="1136"/>
      <c r="O878" s="1116" t="s">
        <v>1248</v>
      </c>
      <c r="P878" s="1117"/>
      <c r="Q878" s="677" t="s">
        <v>1542</v>
      </c>
      <c r="R878" s="680" t="str">
        <f t="shared" si="115"/>
        <v>کاور براکت لولای صندلی عقب</v>
      </c>
      <c r="S878" s="586">
        <v>1</v>
      </c>
      <c r="T878" s="673"/>
      <c r="U878" s="673"/>
      <c r="V878" s="673"/>
      <c r="W878" s="673"/>
      <c r="X878" s="590"/>
      <c r="Y878" s="590"/>
      <c r="Z878" s="673"/>
      <c r="AA878" s="736"/>
    </row>
    <row r="879" spans="1:27" ht="26.1" customHeight="1" thickBot="1">
      <c r="A879" s="1179"/>
      <c r="B879" s="1232"/>
      <c r="C879" s="1186" t="s">
        <v>1248</v>
      </c>
      <c r="D879" s="1159"/>
      <c r="E879" s="1214"/>
      <c r="F879" s="1232"/>
      <c r="G879" s="953" t="s">
        <v>2</v>
      </c>
      <c r="H879" s="953" t="s">
        <v>1530</v>
      </c>
      <c r="I879" s="953"/>
      <c r="J879" s="272" t="s">
        <v>1529</v>
      </c>
      <c r="K879" s="953">
        <v>2</v>
      </c>
      <c r="L879" s="250" t="s">
        <v>5973</v>
      </c>
      <c r="M879" s="194"/>
      <c r="N879" s="1137"/>
      <c r="O879" s="1186" t="s">
        <v>1248</v>
      </c>
      <c r="P879" s="1159"/>
      <c r="Q879" s="488" t="s">
        <v>1530</v>
      </c>
      <c r="R879" s="536" t="str">
        <f t="shared" si="115"/>
        <v xml:space="preserve">پیچ سر سوکتی شش گوش </v>
      </c>
      <c r="S879" s="251">
        <v>2</v>
      </c>
      <c r="T879" s="350"/>
      <c r="U879" s="350"/>
      <c r="V879" s="350"/>
      <c r="W879" s="377"/>
      <c r="X879" s="284"/>
      <c r="Y879" s="284"/>
      <c r="Z879" s="350"/>
      <c r="AA879" s="537"/>
    </row>
    <row r="880" spans="1:27" ht="24" customHeight="1">
      <c r="A880" s="1166" t="s">
        <v>5314</v>
      </c>
      <c r="B880" s="1222" t="s">
        <v>1605</v>
      </c>
      <c r="C880" s="1358" t="s">
        <v>1613</v>
      </c>
      <c r="D880" s="1313" t="s">
        <v>367</v>
      </c>
      <c r="E880" s="1315"/>
      <c r="F880" s="1222">
        <v>4.8499999999999996</v>
      </c>
      <c r="G880" s="538" t="s">
        <v>697</v>
      </c>
      <c r="H880" s="380" t="s">
        <v>5216</v>
      </c>
      <c r="I880" s="380" t="s">
        <v>5098</v>
      </c>
      <c r="J880" s="221" t="s">
        <v>1612</v>
      </c>
      <c r="K880" s="997">
        <v>1</v>
      </c>
      <c r="L880" s="222" t="s">
        <v>5974</v>
      </c>
      <c r="M880" s="194"/>
      <c r="N880" s="1166" t="str">
        <f>A880</f>
        <v>P69</v>
      </c>
      <c r="O880" s="1358" t="str">
        <f>C880</f>
        <v>مونتاژ کنسول وسط</v>
      </c>
      <c r="P880" s="1313" t="s">
        <v>367</v>
      </c>
      <c r="Q880" s="524" t="str">
        <f>H880</f>
        <v>SX5K-5305010C-Y1</v>
      </c>
      <c r="R880" s="513" t="str">
        <f t="shared" si="115"/>
        <v>مجموعه کنسول وسط</v>
      </c>
      <c r="S880" s="225">
        <f>K879</f>
        <v>2</v>
      </c>
      <c r="T880" s="469"/>
      <c r="U880" s="469"/>
      <c r="V880" s="469"/>
      <c r="W880" s="469"/>
      <c r="X880" s="227"/>
      <c r="Y880" s="227"/>
      <c r="Z880" s="469"/>
      <c r="AA880" s="487"/>
    </row>
    <row r="881" spans="1:27" ht="24" customHeight="1">
      <c r="A881" s="1167"/>
      <c r="B881" s="1151"/>
      <c r="C881" s="1359" t="s">
        <v>1248</v>
      </c>
      <c r="D881" s="1314"/>
      <c r="E881" s="1316"/>
      <c r="F881" s="1151"/>
      <c r="G881" s="980" t="s">
        <v>717</v>
      </c>
      <c r="H881" s="523" t="s">
        <v>86</v>
      </c>
      <c r="I881" s="523" t="s">
        <v>5397</v>
      </c>
      <c r="J881" s="230" t="s">
        <v>1252</v>
      </c>
      <c r="K881" s="952">
        <v>6</v>
      </c>
      <c r="L881" s="231" t="s">
        <v>5972</v>
      </c>
      <c r="M881" s="194"/>
      <c r="N881" s="1167" t="str">
        <f>A880</f>
        <v>P69</v>
      </c>
      <c r="O881" s="1363" t="s">
        <v>1248</v>
      </c>
      <c r="P881" s="1364"/>
      <c r="Q881" s="688" t="str">
        <f t="shared" ref="Q881:Q942" si="118">H881</f>
        <v>Q2734816F38</v>
      </c>
      <c r="R881" s="680" t="str">
        <f t="shared" si="115"/>
        <v xml:space="preserve">پیچ خودکار چهارسو </v>
      </c>
      <c r="S881" s="586">
        <f>K880</f>
        <v>1</v>
      </c>
      <c r="T881" s="639">
        <v>2.5</v>
      </c>
      <c r="U881" s="639">
        <v>3</v>
      </c>
      <c r="V881" s="639">
        <v>3.5</v>
      </c>
      <c r="W881" s="591" t="s">
        <v>5461</v>
      </c>
      <c r="X881" s="590" t="s">
        <v>5671</v>
      </c>
      <c r="Y881" s="590" t="s">
        <v>5685</v>
      </c>
      <c r="Z881" s="673"/>
      <c r="AA881" s="736"/>
    </row>
    <row r="882" spans="1:27" ht="24" customHeight="1">
      <c r="A882" s="1167"/>
      <c r="B882" s="1151"/>
      <c r="C882" s="1359" t="s">
        <v>1248</v>
      </c>
      <c r="D882" s="1314"/>
      <c r="E882" s="1316"/>
      <c r="F882" s="1151"/>
      <c r="G882" s="980" t="s">
        <v>863</v>
      </c>
      <c r="H882" s="523" t="s">
        <v>13</v>
      </c>
      <c r="I882" s="523"/>
      <c r="J882" s="230" t="s">
        <v>1503</v>
      </c>
      <c r="K882" s="952">
        <v>3</v>
      </c>
      <c r="L882" s="231" t="s">
        <v>5972</v>
      </c>
      <c r="M882" s="194"/>
      <c r="N882" s="1167">
        <f>A881</f>
        <v>0</v>
      </c>
      <c r="O882" s="1363" t="s">
        <v>1248</v>
      </c>
      <c r="P882" s="1364"/>
      <c r="Q882" s="688" t="str">
        <f t="shared" si="118"/>
        <v>Q1840616F38</v>
      </c>
      <c r="R882" s="680" t="str">
        <f t="shared" si="115"/>
        <v xml:space="preserve">پیچ فلنجی شش گوش </v>
      </c>
      <c r="S882" s="586">
        <f>K881</f>
        <v>6</v>
      </c>
      <c r="T882" s="639">
        <v>6</v>
      </c>
      <c r="U882" s="639">
        <v>8</v>
      </c>
      <c r="V882" s="639">
        <v>10</v>
      </c>
      <c r="W882" s="591" t="s">
        <v>5431</v>
      </c>
      <c r="X882" s="590" t="s">
        <v>5552</v>
      </c>
      <c r="Y882" s="590" t="s">
        <v>5686</v>
      </c>
      <c r="Z882" s="673"/>
      <c r="AA882" s="736"/>
    </row>
    <row r="883" spans="1:27" ht="24" customHeight="1">
      <c r="A883" s="1167"/>
      <c r="B883" s="1151"/>
      <c r="C883" s="1359"/>
      <c r="D883" s="1314"/>
      <c r="E883" s="1316"/>
      <c r="F883" s="1151"/>
      <c r="G883" s="980" t="s">
        <v>7</v>
      </c>
      <c r="H883" s="933" t="s">
        <v>1611</v>
      </c>
      <c r="I883" s="933"/>
      <c r="J883" s="232" t="s">
        <v>1610</v>
      </c>
      <c r="K883" s="952">
        <v>1</v>
      </c>
      <c r="L883" s="231" t="s">
        <v>5962</v>
      </c>
      <c r="M883" s="194"/>
      <c r="N883" s="1167"/>
      <c r="O883" s="1363"/>
      <c r="P883" s="1364"/>
      <c r="Q883" s="688" t="str">
        <f>H883</f>
        <v>CM7C-3725015</v>
      </c>
      <c r="R883" s="680" t="str">
        <f t="shared" si="115"/>
        <v>فندک روی کنسول</v>
      </c>
      <c r="S883" s="586">
        <f>K882</f>
        <v>3</v>
      </c>
      <c r="T883" s="673"/>
      <c r="U883" s="673"/>
      <c r="V883" s="673"/>
      <c r="W883" s="673"/>
      <c r="X883" s="590"/>
      <c r="Y883" s="590"/>
      <c r="Z883" s="673"/>
      <c r="AA883" s="736"/>
    </row>
    <row r="884" spans="1:27" ht="24" customHeight="1">
      <c r="A884" s="1167"/>
      <c r="B884" s="1160" t="s">
        <v>1605</v>
      </c>
      <c r="C884" s="1356" t="s">
        <v>5053</v>
      </c>
      <c r="D884" s="1352" t="s">
        <v>5050</v>
      </c>
      <c r="E884" s="1361"/>
      <c r="F884" s="1160"/>
      <c r="G884" s="980" t="s">
        <v>0</v>
      </c>
      <c r="H884" s="539" t="s">
        <v>89</v>
      </c>
      <c r="I884" s="459"/>
      <c r="J884" s="372" t="s">
        <v>5137</v>
      </c>
      <c r="K884" s="952">
        <v>1</v>
      </c>
      <c r="L884" s="231" t="s">
        <v>5962</v>
      </c>
      <c r="M884" s="194"/>
      <c r="N884" s="1167"/>
      <c r="O884" s="1363" t="s">
        <v>5053</v>
      </c>
      <c r="P884" s="1364" t="s">
        <v>5050</v>
      </c>
      <c r="Q884" s="697" t="s">
        <v>89</v>
      </c>
      <c r="R884" s="607" t="s">
        <v>5137</v>
      </c>
      <c r="S884" s="586">
        <v>1</v>
      </c>
      <c r="T884" s="673"/>
      <c r="U884" s="673"/>
      <c r="V884" s="673"/>
      <c r="W884" s="673"/>
      <c r="X884" s="590"/>
      <c r="Y884" s="590"/>
      <c r="Z884" s="673"/>
      <c r="AA884" s="736"/>
    </row>
    <row r="885" spans="1:27" ht="24" customHeight="1">
      <c r="A885" s="1167"/>
      <c r="B885" s="1227"/>
      <c r="C885" s="1357"/>
      <c r="D885" s="1353"/>
      <c r="E885" s="1362"/>
      <c r="F885" s="1161"/>
      <c r="G885" s="233" t="s">
        <v>1</v>
      </c>
      <c r="H885" s="523" t="s">
        <v>5051</v>
      </c>
      <c r="I885" s="523"/>
      <c r="J885" s="230" t="s">
        <v>5054</v>
      </c>
      <c r="K885" s="952">
        <v>4</v>
      </c>
      <c r="L885" s="231" t="s">
        <v>5965</v>
      </c>
      <c r="M885" s="194"/>
      <c r="N885" s="1167"/>
      <c r="O885" s="1363"/>
      <c r="P885" s="1364"/>
      <c r="Q885" s="688" t="str">
        <f>H885</f>
        <v>Q32208F36</v>
      </c>
      <c r="R885" s="680" t="str">
        <f t="shared" si="115"/>
        <v xml:space="preserve"> مهره شش گوش و واشر فنری مخروطی</v>
      </c>
      <c r="S885" s="586">
        <f>K883</f>
        <v>1</v>
      </c>
      <c r="T885" s="590">
        <v>17</v>
      </c>
      <c r="U885" s="590">
        <v>22</v>
      </c>
      <c r="V885" s="590">
        <v>27</v>
      </c>
      <c r="W885" s="673"/>
      <c r="X885" s="590" t="s">
        <v>5435</v>
      </c>
      <c r="Y885" s="590" t="s">
        <v>5687</v>
      </c>
      <c r="Z885" s="673"/>
      <c r="AA885" s="736"/>
    </row>
    <row r="886" spans="1:27" ht="24" customHeight="1">
      <c r="A886" s="1167"/>
      <c r="B886" s="935" t="s">
        <v>1605</v>
      </c>
      <c r="C886" s="986" t="s">
        <v>4996</v>
      </c>
      <c r="D886" s="999" t="s">
        <v>90</v>
      </c>
      <c r="E886" s="1002"/>
      <c r="F886" s="935"/>
      <c r="G886" s="233" t="s">
        <v>0</v>
      </c>
      <c r="H886" s="523" t="s">
        <v>5056</v>
      </c>
      <c r="I886" s="523"/>
      <c r="J886" s="230" t="s">
        <v>4997</v>
      </c>
      <c r="K886" s="952">
        <v>1</v>
      </c>
      <c r="L886" s="231" t="s">
        <v>5807</v>
      </c>
      <c r="M886" s="194"/>
      <c r="N886" s="1167"/>
      <c r="O886" s="973" t="s">
        <v>4996</v>
      </c>
      <c r="P886" s="974" t="s">
        <v>90</v>
      </c>
      <c r="Q886" s="688" t="str">
        <f>H886</f>
        <v>SX7H-1703310</v>
      </c>
      <c r="R886" s="680" t="str">
        <f t="shared" si="115"/>
        <v>پنل تزئینی اهرم تعویض دنده</v>
      </c>
      <c r="S886" s="586">
        <f>K885</f>
        <v>4</v>
      </c>
      <c r="T886" s="673"/>
      <c r="U886" s="673"/>
      <c r="V886" s="673"/>
      <c r="W886" s="673"/>
      <c r="X886" s="590"/>
      <c r="Y886" s="590"/>
      <c r="Z886" s="673"/>
      <c r="AA886" s="736"/>
    </row>
    <row r="887" spans="1:27" ht="24" customHeight="1">
      <c r="A887" s="1167"/>
      <c r="B887" s="935" t="s">
        <v>1605</v>
      </c>
      <c r="C887" s="986" t="s">
        <v>5767</v>
      </c>
      <c r="D887" s="999" t="s">
        <v>5766</v>
      </c>
      <c r="E887" s="1002"/>
      <c r="F887" s="935"/>
      <c r="G887" s="233" t="s">
        <v>1</v>
      </c>
      <c r="H887" s="523" t="s">
        <v>5094</v>
      </c>
      <c r="I887" s="523"/>
      <c r="J887" s="230" t="s">
        <v>5768</v>
      </c>
      <c r="K887" s="952">
        <v>1</v>
      </c>
      <c r="L887" s="231" t="s">
        <v>5962</v>
      </c>
      <c r="M887" s="194"/>
      <c r="N887" s="1167"/>
      <c r="O887" s="973" t="s">
        <v>5767</v>
      </c>
      <c r="P887" s="974" t="s">
        <v>5766</v>
      </c>
      <c r="Q887" s="688"/>
      <c r="R887" s="680" t="str">
        <f t="shared" si="115"/>
        <v xml:space="preserve">سردنده </v>
      </c>
      <c r="S887" s="586"/>
      <c r="T887" s="673"/>
      <c r="U887" s="673"/>
      <c r="V887" s="673"/>
      <c r="W887" s="673"/>
      <c r="X887" s="590"/>
      <c r="Y887" s="590"/>
      <c r="Z887" s="673"/>
      <c r="AA887" s="736"/>
    </row>
    <row r="888" spans="1:27" ht="24" customHeight="1">
      <c r="A888" s="1167"/>
      <c r="B888" s="935" t="s">
        <v>1605</v>
      </c>
      <c r="C888" s="986" t="s">
        <v>5026</v>
      </c>
      <c r="D888" s="999" t="s">
        <v>352</v>
      </c>
      <c r="E888" s="1002"/>
      <c r="F888" s="935"/>
      <c r="G888" s="233" t="s">
        <v>0</v>
      </c>
      <c r="H888" s="523" t="s">
        <v>353</v>
      </c>
      <c r="I888" s="523"/>
      <c r="J888" s="230" t="s">
        <v>5027</v>
      </c>
      <c r="K888" s="952">
        <v>4</v>
      </c>
      <c r="L888" s="231" t="s">
        <v>5975</v>
      </c>
      <c r="M888" s="194"/>
      <c r="N888" s="1167"/>
      <c r="O888" s="973" t="s">
        <v>5026</v>
      </c>
      <c r="P888" s="974" t="s">
        <v>352</v>
      </c>
      <c r="Q888" s="688" t="str">
        <f t="shared" si="118"/>
        <v>SX3-5305091</v>
      </c>
      <c r="R888" s="680" t="str">
        <f t="shared" si="115"/>
        <v xml:space="preserve">کورکن پلاستیکی </v>
      </c>
      <c r="S888" s="586">
        <f>K886</f>
        <v>1</v>
      </c>
      <c r="T888" s="673"/>
      <c r="U888" s="673"/>
      <c r="V888" s="673"/>
      <c r="W888" s="673"/>
      <c r="X888" s="590"/>
      <c r="Y888" s="590"/>
      <c r="Z888" s="673"/>
      <c r="AA888" s="736"/>
    </row>
    <row r="889" spans="1:27" ht="39" customHeight="1">
      <c r="A889" s="1167"/>
      <c r="B889" s="935" t="s">
        <v>1605</v>
      </c>
      <c r="C889" s="929" t="s">
        <v>1609</v>
      </c>
      <c r="D889" s="931" t="s">
        <v>434</v>
      </c>
      <c r="E889" s="1360"/>
      <c r="F889" s="1151">
        <v>2.4500000000000002</v>
      </c>
      <c r="G889" s="952" t="s">
        <v>697</v>
      </c>
      <c r="H889" s="315" t="s">
        <v>5205</v>
      </c>
      <c r="I889" s="315"/>
      <c r="J889" s="230" t="s">
        <v>1608</v>
      </c>
      <c r="K889" s="952">
        <v>1</v>
      </c>
      <c r="L889" s="231" t="s">
        <v>5807</v>
      </c>
      <c r="M889" s="194"/>
      <c r="N889" s="1167">
        <f>A888</f>
        <v>0</v>
      </c>
      <c r="O889" s="914" t="str">
        <f t="shared" ref="O889:O891" si="119">C888</f>
        <v>نصب کورکن کنار کنسول وسط</v>
      </c>
      <c r="P889" s="915" t="str">
        <f>D888</f>
        <v>SX5-5305-3</v>
      </c>
      <c r="Q889" s="688" t="str">
        <f t="shared" si="118"/>
        <v>SX5EX01-5305-0004A</v>
      </c>
      <c r="R889" s="680" t="str">
        <f t="shared" si="115"/>
        <v>کاور تزئینی پشت کنسول وسط</v>
      </c>
      <c r="S889" s="586">
        <f t="shared" ref="S889:S893" si="120">K888</f>
        <v>4</v>
      </c>
      <c r="T889" s="673"/>
      <c r="U889" s="673"/>
      <c r="V889" s="673"/>
      <c r="W889" s="673"/>
      <c r="X889" s="590"/>
      <c r="Y889" s="590"/>
      <c r="Z889" s="673"/>
      <c r="AA889" s="736"/>
    </row>
    <row r="890" spans="1:27" ht="39" customHeight="1">
      <c r="A890" s="1167"/>
      <c r="B890" s="935" t="s">
        <v>1605</v>
      </c>
      <c r="C890" s="929" t="s">
        <v>1607</v>
      </c>
      <c r="D890" s="931" t="s">
        <v>435</v>
      </c>
      <c r="E890" s="1254"/>
      <c r="F890" s="1151"/>
      <c r="G890" s="952" t="s">
        <v>697</v>
      </c>
      <c r="H890" s="315" t="s">
        <v>5215</v>
      </c>
      <c r="I890" s="315"/>
      <c r="J890" s="230" t="s">
        <v>1606</v>
      </c>
      <c r="K890" s="952">
        <v>1</v>
      </c>
      <c r="L890" s="231" t="s">
        <v>5807</v>
      </c>
      <c r="M890" s="194"/>
      <c r="N890" s="1167">
        <f>A889</f>
        <v>0</v>
      </c>
      <c r="O890" s="914" t="str">
        <f t="shared" si="119"/>
        <v xml:space="preserve">  نصب کاور تزئینی پشت کنسول</v>
      </c>
      <c r="P890" s="915" t="str">
        <f>D889</f>
        <v>SX7E-5305-1</v>
      </c>
      <c r="Q890" s="688" t="str">
        <f t="shared" si="118"/>
        <v>SX5K-5305-0020A1</v>
      </c>
      <c r="R890" s="680" t="str">
        <f t="shared" si="115"/>
        <v>کاور تزئینی بالای کنسول</v>
      </c>
      <c r="S890" s="586">
        <f t="shared" si="120"/>
        <v>1</v>
      </c>
      <c r="T890" s="673"/>
      <c r="U890" s="673"/>
      <c r="V890" s="673"/>
      <c r="W890" s="673"/>
      <c r="X890" s="590"/>
      <c r="Y890" s="590"/>
      <c r="Z890" s="673"/>
      <c r="AA890" s="736"/>
    </row>
    <row r="891" spans="1:27" ht="25.5" customHeight="1">
      <c r="A891" s="1167"/>
      <c r="B891" s="1151" t="s">
        <v>1605</v>
      </c>
      <c r="C891" s="1350" t="s">
        <v>1604</v>
      </c>
      <c r="D891" s="1317" t="s">
        <v>5028</v>
      </c>
      <c r="E891" s="1319"/>
      <c r="F891" s="1151">
        <v>1.74</v>
      </c>
      <c r="G891" s="233" t="s">
        <v>721</v>
      </c>
      <c r="H891" s="229" t="s">
        <v>5187</v>
      </c>
      <c r="I891" s="229" t="s">
        <v>5100</v>
      </c>
      <c r="J891" s="230" t="s">
        <v>1603</v>
      </c>
      <c r="K891" s="952">
        <v>1</v>
      </c>
      <c r="L891" s="231" t="s">
        <v>5807</v>
      </c>
      <c r="M891" s="194"/>
      <c r="N891" s="1167">
        <f>A890</f>
        <v>0</v>
      </c>
      <c r="O891" s="1366" t="str">
        <f t="shared" si="119"/>
        <v xml:space="preserve"> نصب کاور تزئینی بالای کنسول</v>
      </c>
      <c r="P891" s="1367" t="str">
        <f>D890</f>
        <v>SX7E-5305-2</v>
      </c>
      <c r="Q891" s="688" t="str">
        <f t="shared" si="118"/>
        <v>SX7-5305060</v>
      </c>
      <c r="R891" s="680" t="str">
        <f t="shared" si="115"/>
        <v>کاور سمت چپ زیر داشبورد</v>
      </c>
      <c r="S891" s="586">
        <f t="shared" si="120"/>
        <v>1</v>
      </c>
      <c r="T891" s="673"/>
      <c r="U891" s="673"/>
      <c r="V891" s="673"/>
      <c r="W891" s="673"/>
      <c r="X891" s="590"/>
      <c r="Y891" s="590"/>
      <c r="Z891" s="673"/>
      <c r="AA891" s="736"/>
    </row>
    <row r="892" spans="1:27" ht="26.1" customHeight="1">
      <c r="A892" s="1167"/>
      <c r="B892" s="1151"/>
      <c r="C892" s="1350" t="s">
        <v>1248</v>
      </c>
      <c r="D892" s="1317"/>
      <c r="E892" s="1319"/>
      <c r="F892" s="1151"/>
      <c r="G892" s="233" t="s">
        <v>721</v>
      </c>
      <c r="H892" s="229" t="s">
        <v>5188</v>
      </c>
      <c r="I892" s="229" t="s">
        <v>5099</v>
      </c>
      <c r="J892" s="230" t="s">
        <v>1602</v>
      </c>
      <c r="K892" s="952">
        <v>1</v>
      </c>
      <c r="L892" s="231" t="s">
        <v>5807</v>
      </c>
      <c r="M892" s="194"/>
      <c r="N892" s="1167">
        <f t="shared" ref="N892:N951" si="121">A891</f>
        <v>0</v>
      </c>
      <c r="O892" s="1366"/>
      <c r="P892" s="1367"/>
      <c r="Q892" s="688" t="str">
        <f t="shared" si="118"/>
        <v>SX7-5305070</v>
      </c>
      <c r="R892" s="680" t="str">
        <f t="shared" si="115"/>
        <v>کاور سمت راست زیر داشبورد</v>
      </c>
      <c r="S892" s="586">
        <f t="shared" si="120"/>
        <v>1</v>
      </c>
      <c r="T892" s="673"/>
      <c r="U892" s="673"/>
      <c r="V892" s="673"/>
      <c r="W892" s="673"/>
      <c r="X892" s="590"/>
      <c r="Y892" s="590"/>
      <c r="Z892" s="673"/>
      <c r="AA892" s="736"/>
    </row>
    <row r="893" spans="1:27" ht="35.1" customHeight="1" thickBot="1">
      <c r="A893" s="1168"/>
      <c r="B893" s="1232"/>
      <c r="C893" s="1351" t="s">
        <v>1248</v>
      </c>
      <c r="D893" s="1318"/>
      <c r="E893" s="1320"/>
      <c r="F893" s="1232"/>
      <c r="G893" s="953" t="s">
        <v>717</v>
      </c>
      <c r="H893" s="953" t="s">
        <v>1601</v>
      </c>
      <c r="I893" s="953"/>
      <c r="J893" s="272" t="s">
        <v>1600</v>
      </c>
      <c r="K893" s="953">
        <v>4</v>
      </c>
      <c r="L893" s="250" t="s">
        <v>5975</v>
      </c>
      <c r="M893" s="194"/>
      <c r="N893" s="1168">
        <f t="shared" si="121"/>
        <v>0</v>
      </c>
      <c r="O893" s="1351"/>
      <c r="P893" s="1318"/>
      <c r="Q893" s="540" t="str">
        <f t="shared" si="118"/>
        <v>BL564</v>
      </c>
      <c r="R893" s="536" t="str">
        <f t="shared" si="115"/>
        <v xml:space="preserve"> بست فشاری</v>
      </c>
      <c r="S893" s="251">
        <f t="shared" si="120"/>
        <v>1</v>
      </c>
      <c r="T893" s="286"/>
      <c r="U893" s="286"/>
      <c r="V893" s="286"/>
      <c r="W893" s="286"/>
      <c r="X893" s="284"/>
      <c r="Y893" s="284"/>
      <c r="Z893" s="286"/>
      <c r="AA893" s="490"/>
    </row>
    <row r="894" spans="1:27" ht="26.1" customHeight="1">
      <c r="A894" s="1177" t="s">
        <v>1559</v>
      </c>
      <c r="B894" s="1287" t="s">
        <v>5311</v>
      </c>
      <c r="C894" s="1129" t="s">
        <v>5163</v>
      </c>
      <c r="D894" s="1132" t="s">
        <v>6182</v>
      </c>
      <c r="E894" s="1321"/>
      <c r="F894" s="1218"/>
      <c r="G894" s="1050" t="s">
        <v>0</v>
      </c>
      <c r="H894" s="1050" t="s">
        <v>6005</v>
      </c>
      <c r="I894" s="1050"/>
      <c r="J894" s="902" t="s">
        <v>6006</v>
      </c>
      <c r="K894" s="1050">
        <v>0</v>
      </c>
      <c r="L894" s="903" t="s">
        <v>5970</v>
      </c>
      <c r="M894" s="194"/>
      <c r="N894" s="1135" t="str">
        <f>A894</f>
        <v>P70</v>
      </c>
      <c r="O894" s="1129" t="str">
        <f>C894</f>
        <v>مونتاژ مجموعه لوله آب خنک کننده</v>
      </c>
      <c r="P894" s="1132" t="str">
        <f>D894</f>
        <v>SX5KCT-1303-1</v>
      </c>
      <c r="Q894" s="904" t="str">
        <f t="shared" si="118"/>
        <v>SX7H-1303130S4</v>
      </c>
      <c r="R894" s="905" t="str">
        <f t="shared" si="115"/>
        <v>لوله آب خنک کننده( رو موتور می  آید)</v>
      </c>
      <c r="S894" s="906">
        <f>K894</f>
        <v>0</v>
      </c>
      <c r="T894" s="907"/>
      <c r="U894" s="907"/>
      <c r="V894" s="907"/>
      <c r="W894" s="907"/>
      <c r="X894" s="908"/>
      <c r="Y894" s="909"/>
      <c r="Z894" s="907"/>
      <c r="AA894" s="910"/>
    </row>
    <row r="895" spans="1:27" s="673" customFormat="1" ht="26.1" customHeight="1">
      <c r="A895" s="1178"/>
      <c r="B895" s="1238"/>
      <c r="C895" s="1130"/>
      <c r="D895" s="1133"/>
      <c r="E895" s="1322"/>
      <c r="F895" s="1227"/>
      <c r="G895" s="1051" t="s">
        <v>1</v>
      </c>
      <c r="H895" s="1051" t="s">
        <v>6004</v>
      </c>
      <c r="I895" s="1051"/>
      <c r="J895" s="870" t="s">
        <v>6003</v>
      </c>
      <c r="K895" s="1051">
        <v>2</v>
      </c>
      <c r="L895" s="829" t="s">
        <v>5963</v>
      </c>
      <c r="M895" s="1055"/>
      <c r="N895" s="1136"/>
      <c r="O895" s="1130"/>
      <c r="P895" s="1133"/>
      <c r="Q895" s="688" t="str">
        <f>H895</f>
        <v>A-1104028A2</v>
      </c>
      <c r="R895" s="680" t="str">
        <f t="shared" si="115"/>
        <v>بست فلزی</v>
      </c>
      <c r="S895" s="586">
        <f t="shared" ref="S895:S897" si="122">K895</f>
        <v>2</v>
      </c>
      <c r="X895" s="698"/>
      <c r="Y895" s="590"/>
    </row>
    <row r="896" spans="1:27" s="851" customFormat="1" ht="26.1" customHeight="1">
      <c r="A896" s="1178"/>
      <c r="B896" s="1238"/>
      <c r="C896" s="1130"/>
      <c r="D896" s="1133"/>
      <c r="E896" s="1322"/>
      <c r="F896" s="1227"/>
      <c r="G896" s="1051" t="s">
        <v>2</v>
      </c>
      <c r="H896" s="1051" t="s">
        <v>122</v>
      </c>
      <c r="I896" s="1051"/>
      <c r="J896" s="870" t="s">
        <v>6213</v>
      </c>
      <c r="K896" s="1051">
        <v>1</v>
      </c>
      <c r="L896" s="802" t="s">
        <v>5970</v>
      </c>
      <c r="N896" s="1136"/>
      <c r="O896" s="1130"/>
      <c r="P896" s="1133"/>
      <c r="Q896" s="688" t="str">
        <f t="shared" ref="Q896:Q897" si="123">H896</f>
        <v>SX3D-4016101A</v>
      </c>
      <c r="R896" s="680" t="str">
        <f t="shared" si="115"/>
        <v>براکت لوله آب خنک کننده</v>
      </c>
      <c r="S896" s="586">
        <f t="shared" si="122"/>
        <v>1</v>
      </c>
      <c r="T896" s="460"/>
      <c r="U896" s="460"/>
      <c r="V896" s="460"/>
      <c r="W896" s="460"/>
      <c r="X896" s="1053"/>
      <c r="Y896" s="806"/>
      <c r="Z896" s="460"/>
      <c r="AA896" s="1054"/>
    </row>
    <row r="897" spans="1:27" s="851" customFormat="1" ht="26.1" customHeight="1">
      <c r="A897" s="1178"/>
      <c r="B897" s="1238"/>
      <c r="C897" s="1131"/>
      <c r="D897" s="1134"/>
      <c r="E897" s="1323"/>
      <c r="F897" s="1161"/>
      <c r="G897" s="1047" t="s">
        <v>7</v>
      </c>
      <c r="H897" s="1046" t="s">
        <v>301</v>
      </c>
      <c r="I897" s="1047"/>
      <c r="J897" s="870" t="s">
        <v>6214</v>
      </c>
      <c r="K897" s="1047">
        <v>2</v>
      </c>
      <c r="L897" s="802" t="s">
        <v>6215</v>
      </c>
      <c r="N897" s="1136"/>
      <c r="O897" s="1131"/>
      <c r="P897" s="1134"/>
      <c r="Q897" s="688" t="str">
        <f t="shared" si="123"/>
        <v>Q32206F38</v>
      </c>
      <c r="R897" s="680" t="str">
        <f t="shared" si="115"/>
        <v>مهره فلنجی شش ضلعی</v>
      </c>
      <c r="S897" s="586">
        <f t="shared" si="122"/>
        <v>2</v>
      </c>
      <c r="T897" s="460"/>
      <c r="U897" s="460"/>
      <c r="V897" s="460"/>
      <c r="W897" s="460"/>
      <c r="X897" s="1053"/>
      <c r="Y897" s="806"/>
      <c r="Z897" s="460"/>
      <c r="AA897" s="1054"/>
    </row>
    <row r="898" spans="1:27" ht="39.75" customHeight="1">
      <c r="A898" s="1178"/>
      <c r="B898" s="1044" t="s">
        <v>5311</v>
      </c>
      <c r="C898" s="1048" t="s">
        <v>1598</v>
      </c>
      <c r="D898" s="1043" t="s">
        <v>1597</v>
      </c>
      <c r="E898" s="1042" t="s">
        <v>4973</v>
      </c>
      <c r="F898" s="1044">
        <v>1.3673</v>
      </c>
      <c r="G898" s="258" t="s">
        <v>1371</v>
      </c>
      <c r="H898" s="258" t="s">
        <v>1372</v>
      </c>
      <c r="I898" s="258"/>
      <c r="J898" s="259" t="s">
        <v>1372</v>
      </c>
      <c r="K898" s="258" t="s">
        <v>1371</v>
      </c>
      <c r="L898" s="516"/>
      <c r="M898" s="194"/>
      <c r="N898" s="1136"/>
      <c r="O898" s="961" t="s">
        <v>1598</v>
      </c>
      <c r="P898" s="959" t="s">
        <v>1597</v>
      </c>
      <c r="Q898" s="888" t="str">
        <f t="shared" si="118"/>
        <v>--------</v>
      </c>
      <c r="R898" s="815" t="str">
        <f t="shared" si="115"/>
        <v>--------</v>
      </c>
      <c r="S898" s="809">
        <v>0</v>
      </c>
      <c r="T898" s="911">
        <v>40</v>
      </c>
      <c r="U898" s="911">
        <v>45</v>
      </c>
      <c r="V898" s="911">
        <v>50</v>
      </c>
      <c r="W898" s="912" t="s">
        <v>5476</v>
      </c>
      <c r="X898" s="806" t="s">
        <v>5688</v>
      </c>
      <c r="Y898" s="806" t="s">
        <v>5689</v>
      </c>
      <c r="Z898" s="460"/>
      <c r="AA898" s="816"/>
    </row>
    <row r="899" spans="1:27" ht="21" customHeight="1">
      <c r="A899" s="1178"/>
      <c r="B899" s="1115" t="s">
        <v>5311</v>
      </c>
      <c r="C899" s="1116" t="s">
        <v>1595</v>
      </c>
      <c r="D899" s="1117" t="s">
        <v>627</v>
      </c>
      <c r="E899" s="1118"/>
      <c r="F899" s="1115">
        <v>0.62</v>
      </c>
      <c r="G899" s="1051" t="s">
        <v>0</v>
      </c>
      <c r="H899" s="1051" t="s">
        <v>1594</v>
      </c>
      <c r="I899" s="1051"/>
      <c r="J899" s="647" t="s">
        <v>1593</v>
      </c>
      <c r="K899" s="1051">
        <v>1</v>
      </c>
      <c r="L899" s="802" t="s">
        <v>5953</v>
      </c>
      <c r="M899" s="194"/>
      <c r="N899" s="1136"/>
      <c r="O899" s="1116" t="s">
        <v>1595</v>
      </c>
      <c r="P899" s="1117" t="s">
        <v>627</v>
      </c>
      <c r="Q899" s="688" t="str">
        <f t="shared" si="118"/>
        <v>SX5F-5402341A-Y1</v>
      </c>
      <c r="R899" s="680" t="str">
        <f t="shared" si="115"/>
        <v>کاور روی قلاب صندلی عقب چپ</v>
      </c>
      <c r="S899" s="586">
        <f>K899</f>
        <v>1</v>
      </c>
      <c r="T899" s="673"/>
      <c r="U899" s="673"/>
      <c r="V899" s="673"/>
      <c r="W899" s="673"/>
      <c r="X899" s="590"/>
      <c r="Y899" s="590"/>
      <c r="Z899" s="673"/>
      <c r="AA899" s="736"/>
    </row>
    <row r="900" spans="1:27" ht="21" customHeight="1">
      <c r="A900" s="1178"/>
      <c r="B900" s="1115"/>
      <c r="C900" s="1116" t="s">
        <v>1248</v>
      </c>
      <c r="D900" s="1117"/>
      <c r="E900" s="1118"/>
      <c r="F900" s="1115"/>
      <c r="G900" s="1051" t="s">
        <v>0</v>
      </c>
      <c r="H900" s="1051" t="s">
        <v>1592</v>
      </c>
      <c r="I900" s="1051"/>
      <c r="J900" s="647" t="s">
        <v>1591</v>
      </c>
      <c r="K900" s="1051">
        <v>1</v>
      </c>
      <c r="L900" s="802" t="s">
        <v>5953</v>
      </c>
      <c r="M900" s="194"/>
      <c r="N900" s="1136"/>
      <c r="O900" s="1116" t="s">
        <v>1248</v>
      </c>
      <c r="P900" s="1117"/>
      <c r="Q900" s="688" t="str">
        <f t="shared" si="118"/>
        <v>SX5F-5402342A-Y1</v>
      </c>
      <c r="R900" s="680" t="str">
        <f t="shared" si="115"/>
        <v>کاور روی قلاب صندلی عقب راست</v>
      </c>
      <c r="S900" s="586">
        <f t="shared" ref="S900:S963" si="124">K900</f>
        <v>1</v>
      </c>
      <c r="T900" s="673"/>
      <c r="U900" s="673"/>
      <c r="V900" s="673"/>
      <c r="W900" s="673"/>
      <c r="X900" s="590"/>
      <c r="Y900" s="590"/>
      <c r="Z900" s="673"/>
      <c r="AA900" s="736"/>
    </row>
    <row r="901" spans="1:27" ht="26.1" customHeight="1">
      <c r="A901" s="1178"/>
      <c r="B901" s="1115" t="s">
        <v>5311</v>
      </c>
      <c r="C901" s="1116" t="s">
        <v>1589</v>
      </c>
      <c r="D901" s="1117" t="s">
        <v>219</v>
      </c>
      <c r="E901" s="1118"/>
      <c r="F901" s="1115">
        <v>1.97</v>
      </c>
      <c r="G901" s="1051" t="s">
        <v>0</v>
      </c>
      <c r="H901" s="1051" t="s">
        <v>5186</v>
      </c>
      <c r="I901" s="1051" t="s">
        <v>5118</v>
      </c>
      <c r="J901" s="647" t="s">
        <v>1588</v>
      </c>
      <c r="K901" s="1051" t="s">
        <v>42</v>
      </c>
      <c r="L901" s="802" t="s">
        <v>5968</v>
      </c>
      <c r="M901" s="194"/>
      <c r="N901" s="1136"/>
      <c r="O901" s="1116" t="s">
        <v>1589</v>
      </c>
      <c r="P901" s="1117" t="s">
        <v>219</v>
      </c>
      <c r="Q901" s="688" t="str">
        <f t="shared" si="118"/>
        <v>SX5F-7007011</v>
      </c>
      <c r="R901" s="680" t="str">
        <f t="shared" si="115"/>
        <v>قلاب قفل کننده پشتی صندلی عقب</v>
      </c>
      <c r="S901" s="586" t="str">
        <f t="shared" si="124"/>
        <v>2</v>
      </c>
      <c r="T901" s="673"/>
      <c r="U901" s="673"/>
      <c r="V901" s="673"/>
      <c r="W901" s="673"/>
      <c r="X901" s="590"/>
      <c r="Y901" s="590"/>
      <c r="Z901" s="673"/>
      <c r="AA901" s="736"/>
    </row>
    <row r="902" spans="1:27" ht="26.1" customHeight="1">
      <c r="A902" s="1178"/>
      <c r="B902" s="1115"/>
      <c r="C902" s="1116" t="s">
        <v>1248</v>
      </c>
      <c r="D902" s="1117"/>
      <c r="E902" s="1118"/>
      <c r="F902" s="1115"/>
      <c r="G902" s="1051" t="s">
        <v>1</v>
      </c>
      <c r="H902" s="1051" t="s">
        <v>220</v>
      </c>
      <c r="I902" s="1051"/>
      <c r="J902" s="647" t="s">
        <v>1587</v>
      </c>
      <c r="K902" s="1051" t="s">
        <v>221</v>
      </c>
      <c r="L902" s="802" t="s">
        <v>5968</v>
      </c>
      <c r="M902" s="194"/>
      <c r="N902" s="1136"/>
      <c r="O902" s="1116" t="s">
        <v>1248</v>
      </c>
      <c r="P902" s="1117"/>
      <c r="Q902" s="688" t="str">
        <f t="shared" si="118"/>
        <v>Q1800825F38</v>
      </c>
      <c r="R902" s="680" t="str">
        <f t="shared" si="115"/>
        <v xml:space="preserve">پیچ فلنجی سر شش گوش </v>
      </c>
      <c r="S902" s="586" t="str">
        <f t="shared" si="124"/>
        <v>4</v>
      </c>
      <c r="T902" s="639">
        <v>40</v>
      </c>
      <c r="U902" s="639">
        <v>45</v>
      </c>
      <c r="V902" s="639">
        <v>50</v>
      </c>
      <c r="W902" s="591" t="s">
        <v>5476</v>
      </c>
      <c r="X902" s="590" t="s">
        <v>5690</v>
      </c>
      <c r="Y902" s="590" t="s">
        <v>5691</v>
      </c>
      <c r="Z902" s="707" t="s">
        <v>5448</v>
      </c>
      <c r="AA902" s="731" t="s">
        <v>5692</v>
      </c>
    </row>
    <row r="903" spans="1:27" ht="26.1" customHeight="1">
      <c r="A903" s="1178"/>
      <c r="B903" s="1049" t="s">
        <v>5311</v>
      </c>
      <c r="C903" s="1040" t="s">
        <v>4979</v>
      </c>
      <c r="D903" s="1041" t="s">
        <v>363</v>
      </c>
      <c r="E903" s="1052"/>
      <c r="F903" s="1046"/>
      <c r="G903" s="797" t="s">
        <v>0</v>
      </c>
      <c r="H903" s="1049" t="s">
        <v>364</v>
      </c>
      <c r="I903" s="1049"/>
      <c r="J903" s="870" t="s">
        <v>4980</v>
      </c>
      <c r="K903" s="1056">
        <v>1</v>
      </c>
      <c r="L903" s="802" t="s">
        <v>5970</v>
      </c>
      <c r="M903" s="194"/>
      <c r="N903" s="1136"/>
      <c r="O903" s="964" t="s">
        <v>4979</v>
      </c>
      <c r="P903" s="965" t="s">
        <v>363</v>
      </c>
      <c r="Q903" s="688" t="str">
        <f t="shared" si="118"/>
        <v>BS3-3703620</v>
      </c>
      <c r="R903" s="680" t="str">
        <f t="shared" si="115"/>
        <v>محافظ حرارتی باطری</v>
      </c>
      <c r="S903" s="586">
        <f t="shared" si="124"/>
        <v>1</v>
      </c>
      <c r="T903" s="673"/>
      <c r="U903" s="673"/>
      <c r="V903" s="673"/>
      <c r="W903" s="673"/>
      <c r="X903" s="590"/>
      <c r="Y903" s="590"/>
      <c r="Z903" s="673"/>
      <c r="AA903" s="736"/>
    </row>
    <row r="904" spans="1:27" ht="26.1" customHeight="1">
      <c r="A904" s="1178"/>
      <c r="B904" s="1049" t="s">
        <v>5311</v>
      </c>
      <c r="C904" s="1040" t="s">
        <v>1586</v>
      </c>
      <c r="D904" s="1041" t="s">
        <v>1585</v>
      </c>
      <c r="E904" s="1052"/>
      <c r="F904" s="1046"/>
      <c r="G904" s="1051" t="s">
        <v>0</v>
      </c>
      <c r="H904" s="1051" t="s">
        <v>1393</v>
      </c>
      <c r="I904" s="1051"/>
      <c r="J904" s="647" t="s">
        <v>1582</v>
      </c>
      <c r="K904" s="1051">
        <v>1</v>
      </c>
      <c r="L904" s="829"/>
      <c r="M904" s="194"/>
      <c r="N904" s="1136"/>
      <c r="O904" s="964" t="s">
        <v>1586</v>
      </c>
      <c r="P904" s="965" t="s">
        <v>1585</v>
      </c>
      <c r="Q904" s="688" t="str">
        <f t="shared" si="118"/>
        <v>-</v>
      </c>
      <c r="R904" s="680" t="str">
        <f t="shared" si="115"/>
        <v>باتری</v>
      </c>
      <c r="S904" s="586">
        <f t="shared" si="124"/>
        <v>1</v>
      </c>
      <c r="T904" s="673"/>
      <c r="U904" s="673"/>
      <c r="V904" s="673"/>
      <c r="W904" s="673"/>
      <c r="X904" s="698" t="s">
        <v>5693</v>
      </c>
      <c r="Y904" s="590"/>
      <c r="Z904" s="673"/>
      <c r="AA904" s="736"/>
    </row>
    <row r="905" spans="1:27" ht="26.1" customHeight="1">
      <c r="A905" s="1178"/>
      <c r="B905" s="1268" t="s">
        <v>5311</v>
      </c>
      <c r="C905" s="1116" t="s">
        <v>1583</v>
      </c>
      <c r="D905" s="1117" t="s">
        <v>360</v>
      </c>
      <c r="E905" s="1118"/>
      <c r="F905" s="1326">
        <v>2.52</v>
      </c>
      <c r="G905" s="1051" t="s">
        <v>0</v>
      </c>
      <c r="H905" s="1051" t="s">
        <v>361</v>
      </c>
      <c r="I905" s="1051"/>
      <c r="J905" s="647" t="s">
        <v>1582</v>
      </c>
      <c r="K905" s="1051">
        <v>1</v>
      </c>
      <c r="L905" s="802" t="s">
        <v>5972</v>
      </c>
      <c r="M905" s="194"/>
      <c r="N905" s="1136"/>
      <c r="O905" s="1116" t="s">
        <v>1583</v>
      </c>
      <c r="P905" s="1117" t="s">
        <v>360</v>
      </c>
      <c r="Q905" s="688" t="str">
        <f t="shared" si="118"/>
        <v>BS3-3703030</v>
      </c>
      <c r="R905" s="680" t="str">
        <f t="shared" si="115"/>
        <v>باتری</v>
      </c>
      <c r="S905" s="586">
        <f t="shared" si="124"/>
        <v>1</v>
      </c>
      <c r="T905" s="673"/>
      <c r="U905" s="673"/>
      <c r="V905" s="673"/>
      <c r="W905" s="673"/>
      <c r="X905" s="590"/>
      <c r="Y905" s="590"/>
      <c r="Z905" s="673"/>
      <c r="AA905" s="736"/>
    </row>
    <row r="906" spans="1:27" ht="26.1" customHeight="1">
      <c r="A906" s="1178"/>
      <c r="B906" s="1268"/>
      <c r="C906" s="1116" t="s">
        <v>1248</v>
      </c>
      <c r="D906" s="1117"/>
      <c r="E906" s="1118"/>
      <c r="F906" s="1326"/>
      <c r="G906" s="414" t="s">
        <v>1</v>
      </c>
      <c r="H906" s="1051" t="s">
        <v>76</v>
      </c>
      <c r="I906" s="1051"/>
      <c r="J906" s="647" t="s">
        <v>1581</v>
      </c>
      <c r="K906" s="1051">
        <v>2</v>
      </c>
      <c r="L906" s="802" t="s">
        <v>5972</v>
      </c>
      <c r="M906" s="194"/>
      <c r="N906" s="1136"/>
      <c r="O906" s="1116" t="s">
        <v>1248</v>
      </c>
      <c r="P906" s="1117"/>
      <c r="Q906" s="688" t="str">
        <f t="shared" si="118"/>
        <v>S60-3703-0001S</v>
      </c>
      <c r="R906" s="680" t="str">
        <f t="shared" si="115"/>
        <v>میله نگهدارنده باتری با مهره</v>
      </c>
      <c r="S906" s="586">
        <f t="shared" si="124"/>
        <v>2</v>
      </c>
      <c r="T906" s="673"/>
      <c r="U906" s="673"/>
      <c r="V906" s="673"/>
      <c r="W906" s="673"/>
      <c r="X906" s="590"/>
      <c r="Y906" s="590"/>
      <c r="Z906" s="673"/>
      <c r="AA906" s="736"/>
    </row>
    <row r="907" spans="1:27" ht="26.1" customHeight="1">
      <c r="A907" s="1178"/>
      <c r="B907" s="1268"/>
      <c r="C907" s="1116" t="s">
        <v>1248</v>
      </c>
      <c r="D907" s="1117"/>
      <c r="E907" s="1118"/>
      <c r="F907" s="1326"/>
      <c r="G907" s="1051" t="s">
        <v>2</v>
      </c>
      <c r="H907" s="1047" t="s">
        <v>1027</v>
      </c>
      <c r="I907" s="1051"/>
      <c r="J907" s="647" t="s">
        <v>6212</v>
      </c>
      <c r="K907" s="1051">
        <v>0</v>
      </c>
      <c r="L907" s="802" t="s">
        <v>5975</v>
      </c>
      <c r="M907" s="194"/>
      <c r="N907" s="1136"/>
      <c r="O907" s="1116" t="s">
        <v>1248</v>
      </c>
      <c r="P907" s="1117"/>
      <c r="Q907" s="688" t="str">
        <f t="shared" si="118"/>
        <v>Q32006F36</v>
      </c>
      <c r="R907" s="680" t="str">
        <f t="shared" si="115"/>
        <v>مهره فلنجی(ساب شده است)</v>
      </c>
      <c r="S907" s="586">
        <f t="shared" si="124"/>
        <v>0</v>
      </c>
      <c r="T907" s="639">
        <v>3</v>
      </c>
      <c r="U907" s="639">
        <v>5</v>
      </c>
      <c r="V907" s="639">
        <v>7</v>
      </c>
      <c r="W907" s="591" t="s">
        <v>5431</v>
      </c>
      <c r="X907" s="639" t="s">
        <v>5485</v>
      </c>
      <c r="Y907" s="639" t="s">
        <v>5694</v>
      </c>
      <c r="Z907" s="673"/>
      <c r="AA907" s="736"/>
    </row>
    <row r="908" spans="1:27" ht="26.1" customHeight="1">
      <c r="A908" s="1178"/>
      <c r="B908" s="1268"/>
      <c r="C908" s="1116" t="s">
        <v>1248</v>
      </c>
      <c r="D908" s="1117"/>
      <c r="E908" s="1118"/>
      <c r="F908" s="1326"/>
      <c r="G908" s="1051" t="s">
        <v>7</v>
      </c>
      <c r="H908" s="1051" t="s">
        <v>362</v>
      </c>
      <c r="I908" s="1051"/>
      <c r="J908" s="647" t="s">
        <v>1580</v>
      </c>
      <c r="K908" s="1051">
        <v>1</v>
      </c>
      <c r="L908" s="802" t="s">
        <v>5975</v>
      </c>
      <c r="M908" s="194"/>
      <c r="N908" s="1136"/>
      <c r="O908" s="1116" t="s">
        <v>1248</v>
      </c>
      <c r="P908" s="1117"/>
      <c r="Q908" s="688" t="str">
        <f t="shared" si="118"/>
        <v>S60-3703520</v>
      </c>
      <c r="R908" s="680" t="str">
        <f t="shared" si="115"/>
        <v xml:space="preserve">صفحه روی باتری </v>
      </c>
      <c r="S908" s="586">
        <f t="shared" si="124"/>
        <v>1</v>
      </c>
      <c r="T908" s="673"/>
      <c r="U908" s="673"/>
      <c r="V908" s="673"/>
      <c r="W908" s="673"/>
      <c r="X908" s="590"/>
      <c r="Y908" s="590"/>
      <c r="Z908" s="673"/>
      <c r="AA908" s="736"/>
    </row>
    <row r="909" spans="1:27" ht="36" customHeight="1" thickBot="1">
      <c r="A909" s="1179"/>
      <c r="B909" s="1045" t="s">
        <v>5311</v>
      </c>
      <c r="C909" s="754" t="s">
        <v>1578</v>
      </c>
      <c r="D909" s="755" t="s">
        <v>6121</v>
      </c>
      <c r="E909" s="457" t="s">
        <v>4973</v>
      </c>
      <c r="F909" s="1045">
        <v>0.48</v>
      </c>
      <c r="G909" s="303" t="s">
        <v>2347</v>
      </c>
      <c r="H909" s="303" t="s">
        <v>1412</v>
      </c>
      <c r="I909" s="303" t="s">
        <v>1412</v>
      </c>
      <c r="J909" s="302" t="s">
        <v>1464</v>
      </c>
      <c r="K909" s="303" t="s">
        <v>1371</v>
      </c>
      <c r="L909" s="304"/>
      <c r="M909" s="194"/>
      <c r="N909" s="1137"/>
      <c r="O909" s="754" t="s">
        <v>1578</v>
      </c>
      <c r="P909" s="755" t="str">
        <f>D909</f>
        <v>SX5-5810-13A</v>
      </c>
      <c r="Q909" s="540" t="str">
        <f t="shared" si="118"/>
        <v>------</v>
      </c>
      <c r="R909" s="536" t="str">
        <f t="shared" si="115"/>
        <v>---------</v>
      </c>
      <c r="S909" s="586" t="str">
        <f t="shared" si="124"/>
        <v>---</v>
      </c>
      <c r="T909" s="350">
        <v>40</v>
      </c>
      <c r="U909" s="350">
        <v>45</v>
      </c>
      <c r="V909" s="350">
        <v>50</v>
      </c>
      <c r="W909" s="377" t="s">
        <v>5476</v>
      </c>
      <c r="X909" s="350" t="s">
        <v>5448</v>
      </c>
      <c r="Y909" s="350" t="s">
        <v>5692</v>
      </c>
      <c r="Z909" s="286"/>
      <c r="AA909" s="490"/>
    </row>
    <row r="910" spans="1:27" ht="42.75" customHeight="1">
      <c r="A910" s="1175" t="s">
        <v>1545</v>
      </c>
      <c r="B910" s="992" t="s">
        <v>1573</v>
      </c>
      <c r="C910" s="966" t="s">
        <v>1577</v>
      </c>
      <c r="D910" s="967" t="s">
        <v>1576</v>
      </c>
      <c r="E910" s="1000" t="s">
        <v>37</v>
      </c>
      <c r="F910" s="946">
        <v>2.41</v>
      </c>
      <c r="G910" s="451" t="s">
        <v>0</v>
      </c>
      <c r="H910" s="308" t="s">
        <v>1575</v>
      </c>
      <c r="I910" s="308"/>
      <c r="J910" s="309" t="s">
        <v>1574</v>
      </c>
      <c r="K910" s="526" t="s">
        <v>5154</v>
      </c>
      <c r="L910" s="222" t="s">
        <v>5976</v>
      </c>
      <c r="M910" s="194"/>
      <c r="N910" s="1175" t="str">
        <f>A910</f>
        <v>P71</v>
      </c>
      <c r="O910" s="966" t="s">
        <v>1577</v>
      </c>
      <c r="P910" s="967" t="s">
        <v>1576</v>
      </c>
      <c r="Q910" s="524" t="str">
        <f t="shared" si="118"/>
        <v>CA010900KH</v>
      </c>
      <c r="R910" s="513" t="str">
        <f t="shared" si="115"/>
        <v>گاز کولر</v>
      </c>
      <c r="S910" s="586" t="str">
        <f t="shared" si="124"/>
        <v>0.5kg</v>
      </c>
      <c r="T910" s="469"/>
      <c r="U910" s="469"/>
      <c r="V910" s="469"/>
      <c r="W910" s="469"/>
      <c r="X910" s="227"/>
      <c r="Y910" s="227"/>
      <c r="Z910" s="469"/>
      <c r="AA910" s="487"/>
    </row>
    <row r="911" spans="1:27" ht="42.75" customHeight="1">
      <c r="A911" s="1176"/>
      <c r="B911" s="933" t="s">
        <v>1573</v>
      </c>
      <c r="C911" s="982" t="s">
        <v>1572</v>
      </c>
      <c r="D911" s="995" t="s">
        <v>1571</v>
      </c>
      <c r="E911" s="1001" t="s">
        <v>4973</v>
      </c>
      <c r="F911" s="935">
        <v>2.4300000000000002</v>
      </c>
      <c r="G911" s="233" t="s">
        <v>0</v>
      </c>
      <c r="H911" s="234" t="s">
        <v>1570</v>
      </c>
      <c r="I911" s="234"/>
      <c r="J911" s="260" t="s">
        <v>1569</v>
      </c>
      <c r="K911" s="385" t="s">
        <v>6036</v>
      </c>
      <c r="L911" s="231" t="s">
        <v>5977</v>
      </c>
      <c r="M911" s="194"/>
      <c r="N911" s="1176"/>
      <c r="O911" s="964" t="s">
        <v>1572</v>
      </c>
      <c r="P911" s="965" t="s">
        <v>1571</v>
      </c>
      <c r="Q911" s="688" t="str">
        <f t="shared" si="118"/>
        <v>C0641900FU</v>
      </c>
      <c r="R911" s="680" t="str">
        <f t="shared" si="115"/>
        <v>روغن ترمز</v>
      </c>
      <c r="S911" s="586" t="str">
        <f t="shared" si="124"/>
        <v>0.7±0.1 L</v>
      </c>
      <c r="T911" s="673"/>
      <c r="U911" s="673"/>
      <c r="V911" s="673"/>
      <c r="W911" s="673"/>
      <c r="X911" s="590"/>
      <c r="Y911" s="590"/>
      <c r="Z911" s="673"/>
      <c r="AA911" s="736"/>
    </row>
    <row r="912" spans="1:27" ht="42.75" customHeight="1">
      <c r="A912" s="1176"/>
      <c r="B912" s="937" t="s">
        <v>1573</v>
      </c>
      <c r="C912" s="960" t="s">
        <v>1568</v>
      </c>
      <c r="D912" s="958" t="s">
        <v>1567</v>
      </c>
      <c r="E912" s="978" t="s">
        <v>37</v>
      </c>
      <c r="F912" s="975">
        <v>2.5099999999999998</v>
      </c>
      <c r="G912" s="542" t="s">
        <v>0</v>
      </c>
      <c r="H912" s="543" t="s">
        <v>1566</v>
      </c>
      <c r="I912" s="543"/>
      <c r="J912" s="544" t="s">
        <v>1565</v>
      </c>
      <c r="K912" s="925" t="s">
        <v>5422</v>
      </c>
      <c r="L912" s="231" t="s">
        <v>5978</v>
      </c>
      <c r="M912" s="808"/>
      <c r="N912" s="1176"/>
      <c r="O912" s="964" t="s">
        <v>1568</v>
      </c>
      <c r="P912" s="965" t="s">
        <v>1567</v>
      </c>
      <c r="Q912" s="688" t="str">
        <f t="shared" si="118"/>
        <v>C0001900JK</v>
      </c>
      <c r="R912" s="680" t="str">
        <f t="shared" si="115"/>
        <v>محلول ضد یخ</v>
      </c>
      <c r="S912" s="586" t="str">
        <f t="shared" si="124"/>
        <v>14 L
9.5 + 4.5</v>
      </c>
      <c r="T912" s="673"/>
      <c r="U912" s="673"/>
      <c r="V912" s="673"/>
      <c r="W912" s="673"/>
      <c r="X912" s="590"/>
      <c r="Y912" s="590"/>
      <c r="Z912" s="673"/>
      <c r="AA912" s="736"/>
    </row>
    <row r="913" spans="1:34" s="267" customFormat="1" ht="42.75" customHeight="1" thickBot="1">
      <c r="A913" s="1176"/>
      <c r="B913" s="937" t="s">
        <v>1573</v>
      </c>
      <c r="C913" s="960" t="s">
        <v>1563</v>
      </c>
      <c r="D913" s="958" t="s">
        <v>1562</v>
      </c>
      <c r="E913" s="978" t="s">
        <v>37</v>
      </c>
      <c r="F913" s="975">
        <v>1.0545</v>
      </c>
      <c r="G913" s="542" t="s">
        <v>0</v>
      </c>
      <c r="H913" s="543" t="s">
        <v>1561</v>
      </c>
      <c r="I913" s="543"/>
      <c r="J913" s="544" t="s">
        <v>1560</v>
      </c>
      <c r="K913" s="565" t="s">
        <v>6037</v>
      </c>
      <c r="L913" s="785" t="s">
        <v>5979</v>
      </c>
      <c r="M913" s="808"/>
      <c r="N913" s="1176"/>
      <c r="O913" s="960" t="s">
        <v>1563</v>
      </c>
      <c r="P913" s="958" t="s">
        <v>1562</v>
      </c>
      <c r="Q913" s="790" t="str">
        <f t="shared" si="118"/>
        <v>CB005903LC</v>
      </c>
      <c r="R913" s="791" t="str">
        <f t="shared" si="115"/>
        <v>مایع شیشه شوی</v>
      </c>
      <c r="S913" s="586" t="str">
        <f t="shared" si="124"/>
        <v>2.5±0.02L</v>
      </c>
      <c r="T913" s="412"/>
      <c r="U913" s="412"/>
      <c r="V913" s="412"/>
      <c r="W913" s="412"/>
      <c r="X913" s="793"/>
      <c r="Y913" s="793"/>
      <c r="Z913" s="412"/>
      <c r="AA913" s="794"/>
      <c r="AB913" s="194"/>
      <c r="AC913" s="194"/>
      <c r="AD913" s="194"/>
      <c r="AE913" s="194"/>
      <c r="AF913" s="194"/>
      <c r="AG913" s="194"/>
      <c r="AH913" s="194"/>
    </row>
    <row r="914" spans="1:34" ht="26.25" customHeight="1">
      <c r="A914" s="1175" t="s">
        <v>1528</v>
      </c>
      <c r="B914" s="1222" t="s">
        <v>1564</v>
      </c>
      <c r="C914" s="1169" t="s">
        <v>1558</v>
      </c>
      <c r="D914" s="1142" t="s">
        <v>1557</v>
      </c>
      <c r="E914" s="1221" t="s">
        <v>4973</v>
      </c>
      <c r="F914" s="1222">
        <v>1.57</v>
      </c>
      <c r="G914" s="997" t="s">
        <v>0</v>
      </c>
      <c r="H914" s="826" t="s">
        <v>403</v>
      </c>
      <c r="I914" s="826" t="s">
        <v>6217</v>
      </c>
      <c r="J914" s="221" t="s">
        <v>1556</v>
      </c>
      <c r="K914" s="997">
        <v>1</v>
      </c>
      <c r="L914" s="222" t="s">
        <v>5980</v>
      </c>
      <c r="M914" s="808"/>
      <c r="N914" s="1175" t="s">
        <v>1528</v>
      </c>
      <c r="O914" s="1169" t="s">
        <v>1558</v>
      </c>
      <c r="P914" s="1142" t="s">
        <v>1557</v>
      </c>
      <c r="Q914" s="524" t="str">
        <f t="shared" si="118"/>
        <v>SX5F-6900130G-Y1</v>
      </c>
      <c r="R914" s="513" t="str">
        <f t="shared" si="115"/>
        <v>صندلی شاگرد</v>
      </c>
      <c r="S914" s="586">
        <f t="shared" si="124"/>
        <v>1</v>
      </c>
      <c r="T914" s="469"/>
      <c r="U914" s="469"/>
      <c r="V914" s="469"/>
      <c r="W914" s="469"/>
      <c r="X914" s="227"/>
      <c r="Y914" s="227"/>
      <c r="Z914" s="469"/>
      <c r="AA914" s="487"/>
    </row>
    <row r="915" spans="1:34" ht="26.25" customHeight="1">
      <c r="A915" s="1176"/>
      <c r="B915" s="1115"/>
      <c r="C915" s="1116" t="s">
        <v>1248</v>
      </c>
      <c r="D915" s="1117"/>
      <c r="E915" s="1118"/>
      <c r="F915" s="1115"/>
      <c r="G915" s="941" t="s">
        <v>1</v>
      </c>
      <c r="H915" s="941" t="s">
        <v>1530</v>
      </c>
      <c r="I915" s="941"/>
      <c r="J915" s="647" t="s">
        <v>1529</v>
      </c>
      <c r="K915" s="941">
        <v>4</v>
      </c>
      <c r="L915" s="802" t="s">
        <v>5973</v>
      </c>
      <c r="M915" s="194"/>
      <c r="N915" s="1176"/>
      <c r="O915" s="1116" t="s">
        <v>1248</v>
      </c>
      <c r="P915" s="1117"/>
      <c r="Q915" s="688" t="str">
        <f t="shared" si="118"/>
        <v>SX5G-6800111</v>
      </c>
      <c r="R915" s="680" t="str">
        <f t="shared" si="115"/>
        <v xml:space="preserve">پیچ سر سوکتی شش گوش </v>
      </c>
      <c r="S915" s="586">
        <f t="shared" si="124"/>
        <v>4</v>
      </c>
      <c r="T915" s="639">
        <v>40</v>
      </c>
      <c r="U915" s="639">
        <v>45</v>
      </c>
      <c r="V915" s="639">
        <v>50</v>
      </c>
      <c r="W915" s="591" t="s">
        <v>5695</v>
      </c>
      <c r="X915" s="639" t="s">
        <v>5446</v>
      </c>
      <c r="Y915" s="639" t="s">
        <v>5696</v>
      </c>
      <c r="Z915" s="639"/>
      <c r="AA915" s="731"/>
    </row>
    <row r="916" spans="1:34" ht="26.25" customHeight="1">
      <c r="A916" s="1176"/>
      <c r="B916" s="1115" t="s">
        <v>1564</v>
      </c>
      <c r="C916" s="1116" t="s">
        <v>1555</v>
      </c>
      <c r="D916" s="1117" t="s">
        <v>405</v>
      </c>
      <c r="E916" s="1118"/>
      <c r="F916" s="1115">
        <v>3.06</v>
      </c>
      <c r="G916" s="941" t="s">
        <v>0</v>
      </c>
      <c r="H916" s="827" t="s">
        <v>406</v>
      </c>
      <c r="I916" s="827" t="s">
        <v>6218</v>
      </c>
      <c r="J916" s="647" t="s">
        <v>1554</v>
      </c>
      <c r="K916" s="941">
        <v>1</v>
      </c>
      <c r="L916" s="802" t="s">
        <v>5981</v>
      </c>
      <c r="M916" s="194"/>
      <c r="N916" s="1176"/>
      <c r="O916" s="1116" t="s">
        <v>1555</v>
      </c>
      <c r="P916" s="1117" t="s">
        <v>405</v>
      </c>
      <c r="Q916" s="688" t="str">
        <f t="shared" si="118"/>
        <v>SX5F-7000160C-Y1</v>
      </c>
      <c r="R916" s="680" t="str">
        <f t="shared" si="115"/>
        <v>پشتی صندلی عقب راست</v>
      </c>
      <c r="S916" s="586">
        <f t="shared" si="124"/>
        <v>1</v>
      </c>
      <c r="T916" s="673"/>
      <c r="U916" s="673"/>
      <c r="V916" s="673"/>
      <c r="W916" s="673"/>
      <c r="X916" s="590"/>
      <c r="Y916" s="590"/>
      <c r="Z916" s="673"/>
      <c r="AA916" s="736"/>
    </row>
    <row r="917" spans="1:34" ht="26.25" customHeight="1">
      <c r="A917" s="1176"/>
      <c r="B917" s="1115"/>
      <c r="C917" s="1116" t="s">
        <v>1248</v>
      </c>
      <c r="D917" s="1117"/>
      <c r="E917" s="1118"/>
      <c r="F917" s="1115"/>
      <c r="G917" s="941" t="s">
        <v>1</v>
      </c>
      <c r="H917" s="828" t="s">
        <v>407</v>
      </c>
      <c r="I917" s="828"/>
      <c r="J917" s="647" t="s">
        <v>1498</v>
      </c>
      <c r="K917" s="941">
        <v>2</v>
      </c>
      <c r="L917" s="802" t="s">
        <v>5971</v>
      </c>
      <c r="M917" s="194"/>
      <c r="N917" s="1176"/>
      <c r="O917" s="1116" t="s">
        <v>1248</v>
      </c>
      <c r="P917" s="1117"/>
      <c r="Q917" s="688" t="str">
        <f t="shared" si="118"/>
        <v>Q32210F38</v>
      </c>
      <c r="R917" s="680" t="str">
        <f t="shared" si="115"/>
        <v xml:space="preserve">مهره فلنجی سر شش گوش </v>
      </c>
      <c r="S917" s="586">
        <f t="shared" si="124"/>
        <v>2</v>
      </c>
      <c r="T917" s="639">
        <v>40</v>
      </c>
      <c r="U917" s="639">
        <v>45</v>
      </c>
      <c r="V917" s="639">
        <v>50</v>
      </c>
      <c r="W917" s="591" t="s">
        <v>5697</v>
      </c>
      <c r="X917" s="639" t="s">
        <v>5446</v>
      </c>
      <c r="Y917" s="639" t="s">
        <v>5698</v>
      </c>
      <c r="Z917" s="639"/>
      <c r="AA917" s="731"/>
    </row>
    <row r="918" spans="1:34" ht="26.25" customHeight="1">
      <c r="A918" s="1176"/>
      <c r="B918" s="1115" t="s">
        <v>1564</v>
      </c>
      <c r="C918" s="1116" t="s">
        <v>1553</v>
      </c>
      <c r="D918" s="1117" t="s">
        <v>1552</v>
      </c>
      <c r="E918" s="1118"/>
      <c r="F918" s="1115">
        <v>1.04</v>
      </c>
      <c r="G918" s="941" t="s">
        <v>0</v>
      </c>
      <c r="H918" s="827" t="s">
        <v>5210</v>
      </c>
      <c r="I918" s="827" t="s">
        <v>6219</v>
      </c>
      <c r="J918" s="647" t="s">
        <v>1551</v>
      </c>
      <c r="K918" s="941">
        <v>1</v>
      </c>
      <c r="L918" s="802" t="s">
        <v>5981</v>
      </c>
      <c r="M918" s="194"/>
      <c r="N918" s="1176"/>
      <c r="O918" s="1116" t="s">
        <v>1553</v>
      </c>
      <c r="P918" s="1117" t="s">
        <v>1552</v>
      </c>
      <c r="Q918" s="688" t="str">
        <f t="shared" si="118"/>
        <v>SX5F-7000330-Y1</v>
      </c>
      <c r="R918" s="680" t="str">
        <f>J918</f>
        <v>کفی صندلی عقب (4 Point)</v>
      </c>
      <c r="S918" s="586">
        <f t="shared" si="124"/>
        <v>1</v>
      </c>
      <c r="T918" s="673"/>
      <c r="U918" s="673"/>
      <c r="V918" s="673"/>
      <c r="W918" s="673"/>
      <c r="X918" s="590"/>
      <c r="Y918" s="590"/>
      <c r="Z918" s="673"/>
      <c r="AA918" s="736"/>
    </row>
    <row r="919" spans="1:34" ht="26.25" customHeight="1">
      <c r="A919" s="1176"/>
      <c r="B919" s="1115"/>
      <c r="C919" s="1116" t="s">
        <v>1248</v>
      </c>
      <c r="D919" s="1117"/>
      <c r="E919" s="1118"/>
      <c r="F919" s="1115"/>
      <c r="G919" s="941" t="s">
        <v>1</v>
      </c>
      <c r="H919" s="941" t="s">
        <v>1530</v>
      </c>
      <c r="I919" s="941"/>
      <c r="J919" s="647" t="s">
        <v>1529</v>
      </c>
      <c r="K919" s="941">
        <v>2</v>
      </c>
      <c r="L919" s="802" t="s">
        <v>5971</v>
      </c>
      <c r="M919" s="194"/>
      <c r="N919" s="1176"/>
      <c r="O919" s="1116" t="s">
        <v>1248</v>
      </c>
      <c r="P919" s="1117"/>
      <c r="Q919" s="688" t="str">
        <f t="shared" si="118"/>
        <v>SX5G-6800111</v>
      </c>
      <c r="R919" s="680" t="str">
        <f t="shared" si="115"/>
        <v xml:space="preserve">پیچ سر سوکتی شش گوش </v>
      </c>
      <c r="S919" s="586">
        <f t="shared" si="124"/>
        <v>2</v>
      </c>
      <c r="T919" s="639">
        <v>40</v>
      </c>
      <c r="U919" s="639">
        <v>45</v>
      </c>
      <c r="V919" s="639">
        <v>50</v>
      </c>
      <c r="W919" s="591" t="s">
        <v>5695</v>
      </c>
      <c r="X919" s="639" t="s">
        <v>5446</v>
      </c>
      <c r="Y919" s="639" t="s">
        <v>5699</v>
      </c>
      <c r="Z919" s="639" t="s">
        <v>5700</v>
      </c>
      <c r="AA919" s="731" t="s">
        <v>5701</v>
      </c>
    </row>
    <row r="920" spans="1:34" ht="25.5" customHeight="1">
      <c r="A920" s="1176"/>
      <c r="B920" s="1115" t="s">
        <v>1564</v>
      </c>
      <c r="C920" s="1116" t="s">
        <v>1550</v>
      </c>
      <c r="D920" s="1117" t="s">
        <v>401</v>
      </c>
      <c r="E920" s="1118" t="s">
        <v>4973</v>
      </c>
      <c r="F920" s="1115">
        <v>0.91</v>
      </c>
      <c r="G920" s="941" t="s">
        <v>0</v>
      </c>
      <c r="H920" s="941" t="s">
        <v>5285</v>
      </c>
      <c r="I920" s="941" t="s">
        <v>5285</v>
      </c>
      <c r="J920" s="647" t="s">
        <v>5093</v>
      </c>
      <c r="K920" s="941">
        <v>1</v>
      </c>
      <c r="L920" s="829"/>
      <c r="M920" s="194"/>
      <c r="N920" s="1176"/>
      <c r="O920" s="1116" t="s">
        <v>1550</v>
      </c>
      <c r="P920" s="1117" t="s">
        <v>401</v>
      </c>
      <c r="Q920" s="688" t="str">
        <f t="shared" si="118"/>
        <v>...</v>
      </c>
      <c r="R920" s="680" t="str">
        <f t="shared" si="115"/>
        <v>پریز کمربند ایمنی عقب راست</v>
      </c>
      <c r="S920" s="586">
        <f t="shared" si="124"/>
        <v>1</v>
      </c>
      <c r="T920" s="639">
        <v>40</v>
      </c>
      <c r="U920" s="639">
        <v>45</v>
      </c>
      <c r="V920" s="639">
        <v>50</v>
      </c>
      <c r="W920" s="591" t="s">
        <v>5476</v>
      </c>
      <c r="X920" s="639" t="s">
        <v>5690</v>
      </c>
      <c r="Y920" s="639" t="s">
        <v>5702</v>
      </c>
      <c r="Z920" s="639" t="s">
        <v>5700</v>
      </c>
      <c r="AA920" s="731" t="s">
        <v>5703</v>
      </c>
    </row>
    <row r="921" spans="1:34" ht="25.5" customHeight="1">
      <c r="A921" s="1176"/>
      <c r="B921" s="1115"/>
      <c r="C921" s="1116" t="s">
        <v>1248</v>
      </c>
      <c r="D921" s="1117"/>
      <c r="E921" s="1118"/>
      <c r="F921" s="1115"/>
      <c r="G921" s="941" t="s">
        <v>1</v>
      </c>
      <c r="H921" s="941" t="s">
        <v>5285</v>
      </c>
      <c r="I921" s="941" t="s">
        <v>5420</v>
      </c>
      <c r="J921" s="647" t="s">
        <v>1549</v>
      </c>
      <c r="K921" s="941">
        <v>1</v>
      </c>
      <c r="L921" s="829"/>
      <c r="M921" s="194"/>
      <c r="N921" s="1176"/>
      <c r="O921" s="1116" t="s">
        <v>1248</v>
      </c>
      <c r="P921" s="1117"/>
      <c r="Q921" s="688" t="str">
        <f t="shared" si="118"/>
        <v>...</v>
      </c>
      <c r="R921" s="680" t="str">
        <f t="shared" si="115"/>
        <v>پریز کمربند ایمنی عقب وسط</v>
      </c>
      <c r="S921" s="586">
        <f t="shared" si="124"/>
        <v>1</v>
      </c>
      <c r="T921" s="639"/>
      <c r="U921" s="639"/>
      <c r="V921" s="639"/>
      <c r="W921" s="591"/>
      <c r="X921" s="639"/>
      <c r="Y921" s="639"/>
      <c r="Z921" s="639"/>
      <c r="AA921" s="731"/>
    </row>
    <row r="922" spans="1:34" ht="36" customHeight="1" thickBot="1">
      <c r="A922" s="1236"/>
      <c r="B922" s="936" t="s">
        <v>1564</v>
      </c>
      <c r="C922" s="546" t="s">
        <v>1548</v>
      </c>
      <c r="D922" s="547" t="s">
        <v>1547</v>
      </c>
      <c r="E922" s="548" t="s">
        <v>4973</v>
      </c>
      <c r="F922" s="549">
        <v>0.91</v>
      </c>
      <c r="G922" s="953" t="s">
        <v>0</v>
      </c>
      <c r="H922" s="953" t="s">
        <v>5285</v>
      </c>
      <c r="I922" s="953" t="s">
        <v>5285</v>
      </c>
      <c r="J922" s="272" t="s">
        <v>1546</v>
      </c>
      <c r="K922" s="953">
        <v>1</v>
      </c>
      <c r="L922" s="263"/>
      <c r="M922" s="194"/>
      <c r="N922" s="1236"/>
      <c r="O922" s="546" t="s">
        <v>1548</v>
      </c>
      <c r="P922" s="547" t="s">
        <v>1547</v>
      </c>
      <c r="Q922" s="540" t="str">
        <f t="shared" si="118"/>
        <v>...</v>
      </c>
      <c r="R922" s="536" t="str">
        <f t="shared" si="115"/>
        <v>پریز کمربند ایمنی عقب چپ</v>
      </c>
      <c r="S922" s="586">
        <f t="shared" si="124"/>
        <v>1</v>
      </c>
      <c r="T922" s="350">
        <v>40</v>
      </c>
      <c r="U922" s="350">
        <v>45</v>
      </c>
      <c r="V922" s="350">
        <v>50</v>
      </c>
      <c r="W922" s="377" t="s">
        <v>5476</v>
      </c>
      <c r="X922" s="350" t="s">
        <v>5690</v>
      </c>
      <c r="Y922" s="350" t="s">
        <v>5702</v>
      </c>
      <c r="Z922" s="350" t="s">
        <v>5700</v>
      </c>
      <c r="AA922" s="537" t="s">
        <v>5703</v>
      </c>
    </row>
    <row r="923" spans="1:34" ht="27" customHeight="1">
      <c r="A923" s="1166" t="s">
        <v>1507</v>
      </c>
      <c r="B923" s="1222" t="s">
        <v>1564</v>
      </c>
      <c r="C923" s="1169" t="s">
        <v>1544</v>
      </c>
      <c r="D923" s="1142" t="s">
        <v>6122</v>
      </c>
      <c r="E923" s="1221"/>
      <c r="F923" s="1222">
        <v>1.65</v>
      </c>
      <c r="G923" s="997" t="s">
        <v>0</v>
      </c>
      <c r="H923" s="997" t="s">
        <v>1393</v>
      </c>
      <c r="I923" s="997"/>
      <c r="J923" s="221" t="s">
        <v>1543</v>
      </c>
      <c r="K923" s="997">
        <v>1</v>
      </c>
      <c r="L923" s="324"/>
      <c r="M923" s="194"/>
      <c r="N923" s="1166" t="str">
        <f>A923</f>
        <v>P73</v>
      </c>
      <c r="O923" s="1169" t="s">
        <v>1544</v>
      </c>
      <c r="P923" s="1142" t="str">
        <f>D923</f>
        <v>SX5-7000-1A</v>
      </c>
      <c r="Q923" s="524" t="str">
        <f t="shared" si="118"/>
        <v>-</v>
      </c>
      <c r="R923" s="513" t="str">
        <f t="shared" si="115"/>
        <v>براکت لولای پشتی صندلی عقب</v>
      </c>
      <c r="S923" s="586">
        <f t="shared" si="124"/>
        <v>1</v>
      </c>
      <c r="T923" s="469"/>
      <c r="U923" s="469"/>
      <c r="V923" s="469"/>
      <c r="W923" s="469"/>
      <c r="X923" s="227"/>
      <c r="Y923" s="227"/>
      <c r="Z923" s="469"/>
      <c r="AA923" s="487"/>
    </row>
    <row r="924" spans="1:34" ht="27" customHeight="1">
      <c r="A924" s="1167"/>
      <c r="B924" s="1151"/>
      <c r="C924" s="1154" t="s">
        <v>1248</v>
      </c>
      <c r="D924" s="1209"/>
      <c r="E924" s="1126"/>
      <c r="F924" s="1151"/>
      <c r="G924" s="952" t="s">
        <v>1</v>
      </c>
      <c r="H924" s="234" t="s">
        <v>1393</v>
      </c>
      <c r="I924" s="234"/>
      <c r="J924" s="260" t="s">
        <v>1541</v>
      </c>
      <c r="K924" s="952">
        <v>1</v>
      </c>
      <c r="L924" s="236"/>
      <c r="M924" s="194"/>
      <c r="N924" s="1167" t="str">
        <f t="shared" si="121"/>
        <v>P73</v>
      </c>
      <c r="O924" s="1116" t="s">
        <v>1248</v>
      </c>
      <c r="P924" s="1117"/>
      <c r="Q924" s="688" t="str">
        <f t="shared" si="118"/>
        <v>-</v>
      </c>
      <c r="R924" s="680" t="str">
        <f t="shared" si="115"/>
        <v>کاور براکت لولای صندلی عقب</v>
      </c>
      <c r="S924" s="586">
        <f t="shared" si="124"/>
        <v>1</v>
      </c>
      <c r="T924" s="673"/>
      <c r="U924" s="673"/>
      <c r="V924" s="673"/>
      <c r="W924" s="673"/>
      <c r="X924" s="590"/>
      <c r="Y924" s="590"/>
      <c r="Z924" s="673"/>
      <c r="AA924" s="736"/>
    </row>
    <row r="925" spans="1:34" ht="27" customHeight="1">
      <c r="A925" s="1167"/>
      <c r="B925" s="1151"/>
      <c r="C925" s="1154" t="s">
        <v>1248</v>
      </c>
      <c r="D925" s="1209"/>
      <c r="E925" s="1126"/>
      <c r="F925" s="1151"/>
      <c r="G925" s="952" t="s">
        <v>2</v>
      </c>
      <c r="H925" s="292" t="s">
        <v>2347</v>
      </c>
      <c r="I925" s="952"/>
      <c r="J925" s="230" t="s">
        <v>1529</v>
      </c>
      <c r="K925" s="952" t="s">
        <v>6199</v>
      </c>
      <c r="L925" s="231" t="s">
        <v>5973</v>
      </c>
      <c r="M925" s="194"/>
      <c r="N925" s="1167">
        <f t="shared" si="121"/>
        <v>0</v>
      </c>
      <c r="O925" s="1116" t="s">
        <v>1248</v>
      </c>
      <c r="P925" s="1117"/>
      <c r="Q925" s="688" t="str">
        <f t="shared" si="118"/>
        <v>--</v>
      </c>
      <c r="R925" s="680" t="str">
        <f t="shared" si="115"/>
        <v xml:space="preserve">پیچ سر سوکتی شش گوش </v>
      </c>
      <c r="S925" s="586" t="str">
        <f t="shared" si="124"/>
        <v>.</v>
      </c>
      <c r="T925" s="639">
        <v>40</v>
      </c>
      <c r="U925" s="639">
        <v>45</v>
      </c>
      <c r="V925" s="639">
        <v>50</v>
      </c>
      <c r="W925" s="591" t="s">
        <v>5695</v>
      </c>
      <c r="X925" s="639" t="s">
        <v>5690</v>
      </c>
      <c r="Y925" s="639" t="s">
        <v>5704</v>
      </c>
      <c r="Z925" s="639" t="s">
        <v>5700</v>
      </c>
      <c r="AA925" s="731" t="s">
        <v>5705</v>
      </c>
    </row>
    <row r="926" spans="1:34" ht="27" customHeight="1">
      <c r="A926" s="1167"/>
      <c r="B926" s="1151" t="s">
        <v>1527</v>
      </c>
      <c r="C926" s="1154" t="s">
        <v>1540</v>
      </c>
      <c r="D926" s="1209" t="s">
        <v>1539</v>
      </c>
      <c r="E926" s="1126" t="s">
        <v>4973</v>
      </c>
      <c r="F926" s="1346">
        <v>2.13</v>
      </c>
      <c r="G926" s="952" t="s">
        <v>0</v>
      </c>
      <c r="H926" s="545" t="s">
        <v>622</v>
      </c>
      <c r="I926" s="545" t="s">
        <v>6220</v>
      </c>
      <c r="J926" s="230" t="s">
        <v>1538</v>
      </c>
      <c r="K926" s="952">
        <v>1</v>
      </c>
      <c r="L926" s="231" t="s">
        <v>5982</v>
      </c>
      <c r="M926" s="194"/>
      <c r="N926" s="1167">
        <f t="shared" si="121"/>
        <v>0</v>
      </c>
      <c r="O926" s="1116" t="s">
        <v>1540</v>
      </c>
      <c r="P926" s="1117" t="s">
        <v>1539</v>
      </c>
      <c r="Q926" s="688" t="str">
        <f t="shared" si="118"/>
        <v>SX5F-6800130H-Y1</v>
      </c>
      <c r="R926" s="680" t="str">
        <f t="shared" si="115"/>
        <v>صندلی راننده</v>
      </c>
      <c r="S926" s="586">
        <f t="shared" si="124"/>
        <v>1</v>
      </c>
      <c r="T926" s="673"/>
      <c r="U926" s="673"/>
      <c r="V926" s="673"/>
      <c r="W926" s="673"/>
      <c r="X926" s="590"/>
      <c r="Y926" s="590"/>
      <c r="Z926" s="673"/>
      <c r="AA926" s="736"/>
    </row>
    <row r="927" spans="1:34" ht="27" customHeight="1">
      <c r="A927" s="1167"/>
      <c r="B927" s="1151"/>
      <c r="C927" s="1154" t="s">
        <v>1248</v>
      </c>
      <c r="D927" s="1209"/>
      <c r="E927" s="1126"/>
      <c r="F927" s="1346"/>
      <c r="G927" s="952" t="s">
        <v>1</v>
      </c>
      <c r="H927" s="952" t="s">
        <v>1530</v>
      </c>
      <c r="I927" s="952"/>
      <c r="J927" s="230" t="s">
        <v>1529</v>
      </c>
      <c r="K927" s="952">
        <v>4</v>
      </c>
      <c r="L927" s="231" t="s">
        <v>5973</v>
      </c>
      <c r="M927" s="194"/>
      <c r="N927" s="1167">
        <f t="shared" si="121"/>
        <v>0</v>
      </c>
      <c r="O927" s="1116" t="s">
        <v>1248</v>
      </c>
      <c r="P927" s="1117"/>
      <c r="Q927" s="688" t="str">
        <f t="shared" si="118"/>
        <v>SX5G-6800111</v>
      </c>
      <c r="R927" s="680" t="str">
        <f t="shared" si="115"/>
        <v xml:space="preserve">پیچ سر سوکتی شش گوش </v>
      </c>
      <c r="S927" s="586">
        <f t="shared" si="124"/>
        <v>4</v>
      </c>
      <c r="T927" s="639">
        <v>40</v>
      </c>
      <c r="U927" s="639">
        <v>45</v>
      </c>
      <c r="V927" s="639">
        <v>50</v>
      </c>
      <c r="W927" s="591" t="s">
        <v>5695</v>
      </c>
      <c r="X927" s="639" t="s">
        <v>5446</v>
      </c>
      <c r="Y927" s="639" t="s">
        <v>5706</v>
      </c>
      <c r="Z927" s="639"/>
      <c r="AA927" s="731"/>
    </row>
    <row r="928" spans="1:34" ht="27" customHeight="1">
      <c r="A928" s="1167"/>
      <c r="B928" s="1151" t="s">
        <v>1527</v>
      </c>
      <c r="C928" s="1154" t="s">
        <v>1537</v>
      </c>
      <c r="D928" s="1209" t="s">
        <v>411</v>
      </c>
      <c r="E928" s="1126"/>
      <c r="F928" s="1346">
        <v>2.41</v>
      </c>
      <c r="G928" s="952" t="s">
        <v>0</v>
      </c>
      <c r="H928" s="545" t="s">
        <v>412</v>
      </c>
      <c r="I928" s="545" t="s">
        <v>6221</v>
      </c>
      <c r="J928" s="230" t="s">
        <v>1536</v>
      </c>
      <c r="K928" s="952">
        <v>1</v>
      </c>
      <c r="L928" s="231" t="s">
        <v>5981</v>
      </c>
      <c r="M928" s="194"/>
      <c r="N928" s="1167">
        <f t="shared" si="121"/>
        <v>0</v>
      </c>
      <c r="O928" s="1116" t="s">
        <v>1537</v>
      </c>
      <c r="P928" s="1117" t="s">
        <v>411</v>
      </c>
      <c r="Q928" s="688" t="str">
        <f t="shared" si="118"/>
        <v>SX5F-7000210B-Y1</v>
      </c>
      <c r="R928" s="680" t="str">
        <f t="shared" si="115"/>
        <v>پشتی صندلی عقب چپ</v>
      </c>
      <c r="S928" s="586">
        <f t="shared" si="124"/>
        <v>1</v>
      </c>
      <c r="T928" s="673"/>
      <c r="U928" s="673"/>
      <c r="V928" s="673"/>
      <c r="W928" s="673"/>
      <c r="X928" s="590"/>
      <c r="Y928" s="590"/>
      <c r="Z928" s="673"/>
      <c r="AA928" s="736"/>
    </row>
    <row r="929" spans="1:27" ht="27" customHeight="1">
      <c r="A929" s="1167"/>
      <c r="B929" s="1151"/>
      <c r="C929" s="1154" t="s">
        <v>1248</v>
      </c>
      <c r="D929" s="1209"/>
      <c r="E929" s="1126"/>
      <c r="F929" s="1346"/>
      <c r="G929" s="952" t="s">
        <v>1</v>
      </c>
      <c r="H929" s="278" t="s">
        <v>407</v>
      </c>
      <c r="I929" s="278"/>
      <c r="J929" s="230" t="s">
        <v>1498</v>
      </c>
      <c r="K929" s="952">
        <v>2</v>
      </c>
      <c r="L929" s="231" t="s">
        <v>5971</v>
      </c>
      <c r="M929" s="194"/>
      <c r="N929" s="1167">
        <f t="shared" si="121"/>
        <v>0</v>
      </c>
      <c r="O929" s="1116" t="s">
        <v>1248</v>
      </c>
      <c r="P929" s="1117"/>
      <c r="Q929" s="688" t="str">
        <f t="shared" si="118"/>
        <v>Q32210F38</v>
      </c>
      <c r="R929" s="680" t="str">
        <f t="shared" si="115"/>
        <v xml:space="preserve">مهره فلنجی سر شش گوش </v>
      </c>
      <c r="S929" s="586">
        <f t="shared" si="124"/>
        <v>2</v>
      </c>
      <c r="T929" s="639">
        <v>40</v>
      </c>
      <c r="U929" s="639">
        <v>45</v>
      </c>
      <c r="V929" s="639">
        <v>50</v>
      </c>
      <c r="W929" s="591" t="s">
        <v>5697</v>
      </c>
      <c r="X929" s="639" t="s">
        <v>5446</v>
      </c>
      <c r="Y929" s="639" t="s">
        <v>5707</v>
      </c>
      <c r="Z929" s="639"/>
      <c r="AA929" s="731"/>
    </row>
    <row r="930" spans="1:27" ht="27" customHeight="1">
      <c r="A930" s="1167"/>
      <c r="B930" s="1151"/>
      <c r="C930" s="1154" t="s">
        <v>1248</v>
      </c>
      <c r="D930" s="1209"/>
      <c r="E930" s="1126"/>
      <c r="F930" s="1346"/>
      <c r="G930" s="952" t="s">
        <v>2</v>
      </c>
      <c r="H930" s="354" t="s">
        <v>1535</v>
      </c>
      <c r="I930" s="354"/>
      <c r="J930" s="230" t="s">
        <v>1534</v>
      </c>
      <c r="K930" s="952">
        <v>1</v>
      </c>
      <c r="L930" s="231" t="s">
        <v>5971</v>
      </c>
      <c r="M930" s="194"/>
      <c r="N930" s="1167">
        <f t="shared" si="121"/>
        <v>0</v>
      </c>
      <c r="O930" s="1116" t="s">
        <v>1248</v>
      </c>
      <c r="P930" s="1117"/>
      <c r="Q930" s="688" t="str">
        <f t="shared" si="118"/>
        <v>DM5L-5810231</v>
      </c>
      <c r="R930" s="680" t="str">
        <f t="shared" si="115"/>
        <v>پیچ فلنجی</v>
      </c>
      <c r="S930" s="586">
        <f t="shared" si="124"/>
        <v>1</v>
      </c>
      <c r="T930" s="639">
        <v>40</v>
      </c>
      <c r="U930" s="639">
        <v>45</v>
      </c>
      <c r="V930" s="639">
        <v>50</v>
      </c>
      <c r="W930" s="591" t="s">
        <v>5697</v>
      </c>
      <c r="X930" s="639" t="s">
        <v>5446</v>
      </c>
      <c r="Y930" s="639" t="s">
        <v>5707</v>
      </c>
      <c r="Z930" s="639"/>
      <c r="AA930" s="731"/>
    </row>
    <row r="931" spans="1:27" ht="27" customHeight="1">
      <c r="A931" s="1167"/>
      <c r="B931" s="1151" t="s">
        <v>1527</v>
      </c>
      <c r="C931" s="1154" t="s">
        <v>1533</v>
      </c>
      <c r="D931" s="1209" t="s">
        <v>1532</v>
      </c>
      <c r="E931" s="1126"/>
      <c r="F931" s="1220">
        <v>2.5099999999999998</v>
      </c>
      <c r="G931" s="952" t="s">
        <v>0</v>
      </c>
      <c r="H931" s="545" t="s">
        <v>5211</v>
      </c>
      <c r="I931" s="545" t="s">
        <v>6222</v>
      </c>
      <c r="J931" s="230" t="s">
        <v>1531</v>
      </c>
      <c r="K931" s="952">
        <v>1</v>
      </c>
      <c r="L931" s="231" t="s">
        <v>5981</v>
      </c>
      <c r="M931" s="194"/>
      <c r="N931" s="1167">
        <f t="shared" si="121"/>
        <v>0</v>
      </c>
      <c r="O931" s="1116" t="s">
        <v>1533</v>
      </c>
      <c r="P931" s="1117" t="s">
        <v>1532</v>
      </c>
      <c r="Q931" s="688" t="str">
        <f t="shared" si="118"/>
        <v>SX5F-7000430-Y1</v>
      </c>
      <c r="R931" s="680" t="str">
        <f t="shared" si="115"/>
        <v>کفی صندلی عقب (6 Point)</v>
      </c>
      <c r="S931" s="586">
        <f t="shared" si="124"/>
        <v>1</v>
      </c>
      <c r="T931" s="673"/>
      <c r="U931" s="673"/>
      <c r="V931" s="673"/>
      <c r="W931" s="673"/>
      <c r="X931" s="590"/>
      <c r="Y931" s="590"/>
      <c r="Z931" s="673"/>
      <c r="AA931" s="736"/>
    </row>
    <row r="932" spans="1:27" ht="27" customHeight="1" thickBot="1">
      <c r="A932" s="1168"/>
      <c r="B932" s="1232"/>
      <c r="C932" s="1186" t="s">
        <v>1248</v>
      </c>
      <c r="D932" s="1159"/>
      <c r="E932" s="1214"/>
      <c r="F932" s="1239"/>
      <c r="G932" s="953" t="s">
        <v>1</v>
      </c>
      <c r="H932" s="953" t="s">
        <v>1530</v>
      </c>
      <c r="I932" s="953"/>
      <c r="J932" s="272" t="s">
        <v>1529</v>
      </c>
      <c r="K932" s="953">
        <v>4</v>
      </c>
      <c r="L932" s="250" t="s">
        <v>5973</v>
      </c>
      <c r="M932" s="194"/>
      <c r="N932" s="1168">
        <f t="shared" si="121"/>
        <v>0</v>
      </c>
      <c r="O932" s="1186" t="s">
        <v>1248</v>
      </c>
      <c r="P932" s="1159"/>
      <c r="Q932" s="540" t="str">
        <f t="shared" si="118"/>
        <v>SX5G-6800111</v>
      </c>
      <c r="R932" s="536" t="str">
        <f t="shared" si="115"/>
        <v xml:space="preserve">پیچ سر سوکتی شش گوش </v>
      </c>
      <c r="S932" s="586">
        <f t="shared" si="124"/>
        <v>4</v>
      </c>
      <c r="T932" s="350">
        <v>40</v>
      </c>
      <c r="U932" s="350">
        <v>45</v>
      </c>
      <c r="V932" s="350">
        <v>50</v>
      </c>
      <c r="W932" s="377" t="s">
        <v>5476</v>
      </c>
      <c r="X932" s="350" t="s">
        <v>5446</v>
      </c>
      <c r="Y932" s="350" t="s">
        <v>5708</v>
      </c>
      <c r="Z932" s="350" t="s">
        <v>5448</v>
      </c>
      <c r="AA932" s="537" t="s">
        <v>5705</v>
      </c>
    </row>
    <row r="933" spans="1:27" ht="45.75" customHeight="1">
      <c r="A933" s="1166" t="s">
        <v>6039</v>
      </c>
      <c r="B933" s="992" t="s">
        <v>1527</v>
      </c>
      <c r="C933" s="966" t="s">
        <v>1526</v>
      </c>
      <c r="D933" s="967" t="s">
        <v>1525</v>
      </c>
      <c r="E933" s="1000" t="s">
        <v>4973</v>
      </c>
      <c r="F933" s="997">
        <v>2.0535000000000001</v>
      </c>
      <c r="G933" s="314" t="s">
        <v>1371</v>
      </c>
      <c r="H933" s="308" t="s">
        <v>1412</v>
      </c>
      <c r="I933" s="308"/>
      <c r="J933" s="550" t="s">
        <v>1256</v>
      </c>
      <c r="K933" s="551" t="s">
        <v>1371</v>
      </c>
      <c r="L933" s="552"/>
      <c r="M933" s="194"/>
      <c r="N933" s="1166" t="str">
        <f>A933</f>
        <v>P74</v>
      </c>
      <c r="O933" s="966" t="s">
        <v>1526</v>
      </c>
      <c r="P933" s="967" t="s">
        <v>1525</v>
      </c>
      <c r="Q933" s="524" t="str">
        <f t="shared" si="118"/>
        <v>------</v>
      </c>
      <c r="R933" s="513" t="str">
        <f t="shared" si="115"/>
        <v>-----</v>
      </c>
      <c r="S933" s="586" t="str">
        <f t="shared" si="124"/>
        <v>---</v>
      </c>
      <c r="T933" s="469"/>
      <c r="U933" s="469"/>
      <c r="V933" s="469"/>
      <c r="W933" s="469"/>
      <c r="X933" s="227"/>
      <c r="Y933" s="227"/>
      <c r="Z933" s="469"/>
      <c r="AA933" s="487"/>
    </row>
    <row r="934" spans="1:27" ht="45.75" customHeight="1">
      <c r="A934" s="1210"/>
      <c r="B934" s="938" t="s">
        <v>1495</v>
      </c>
      <c r="C934" s="961" t="s">
        <v>6137</v>
      </c>
      <c r="D934" s="959" t="s">
        <v>6160</v>
      </c>
      <c r="E934" s="979"/>
      <c r="F934" s="977"/>
      <c r="G934" s="887" t="s">
        <v>0</v>
      </c>
      <c r="H934" s="952" t="s">
        <v>5384</v>
      </c>
      <c r="I934" s="952"/>
      <c r="J934" s="230" t="s">
        <v>2132</v>
      </c>
      <c r="K934" s="952">
        <v>4</v>
      </c>
      <c r="L934" s="231"/>
      <c r="M934" s="194"/>
      <c r="N934" s="1210"/>
      <c r="O934" s="961" t="str">
        <f>C934</f>
        <v>مونتاژ درپوش های سپر عقب</v>
      </c>
      <c r="P934" s="959"/>
      <c r="Q934" s="888" t="str">
        <f>H934</f>
        <v>SX5-2804515-BR</v>
      </c>
      <c r="R934" s="815" t="str">
        <f>J934</f>
        <v>درپوش پیچ های سپر عقب</v>
      </c>
      <c r="S934" s="586">
        <f t="shared" si="124"/>
        <v>4</v>
      </c>
      <c r="T934" s="460"/>
      <c r="U934" s="460"/>
      <c r="V934" s="460"/>
      <c r="W934" s="460"/>
      <c r="X934" s="806"/>
      <c r="Y934" s="806"/>
      <c r="Z934" s="460"/>
      <c r="AA934" s="816"/>
    </row>
    <row r="935" spans="1:27" ht="36" customHeight="1">
      <c r="A935" s="1167"/>
      <c r="B935" s="935" t="s">
        <v>1495</v>
      </c>
      <c r="C935" s="534" t="s">
        <v>1524</v>
      </c>
      <c r="D935" s="535" t="s">
        <v>1393</v>
      </c>
      <c r="E935" s="1002"/>
      <c r="F935" s="980">
        <v>1.91</v>
      </c>
      <c r="G935" s="952"/>
      <c r="H935" s="952" t="s">
        <v>1393</v>
      </c>
      <c r="I935" s="952" t="s">
        <v>1393</v>
      </c>
      <c r="J935" s="230" t="s">
        <v>1393</v>
      </c>
      <c r="K935" s="952" t="s">
        <v>1393</v>
      </c>
      <c r="L935" s="236"/>
      <c r="M935" s="194"/>
      <c r="N935" s="1167"/>
      <c r="O935" s="695" t="s">
        <v>1524</v>
      </c>
      <c r="P935" s="696" t="s">
        <v>1393</v>
      </c>
      <c r="Q935" s="688" t="str">
        <f t="shared" si="118"/>
        <v>-</v>
      </c>
      <c r="R935" s="680" t="str">
        <f t="shared" si="115"/>
        <v>-</v>
      </c>
      <c r="S935" s="586" t="str">
        <f t="shared" si="124"/>
        <v>-</v>
      </c>
      <c r="T935" s="673"/>
      <c r="U935" s="673"/>
      <c r="V935" s="673"/>
      <c r="W935" s="673"/>
      <c r="X935" s="590"/>
      <c r="Y935" s="590"/>
      <c r="Z935" s="673"/>
      <c r="AA935" s="736"/>
    </row>
    <row r="936" spans="1:27" ht="27.75" customHeight="1">
      <c r="A936" s="1167"/>
      <c r="B936" s="1228" t="s">
        <v>1495</v>
      </c>
      <c r="C936" s="1154" t="s">
        <v>1523</v>
      </c>
      <c r="D936" s="1209" t="s">
        <v>1522</v>
      </c>
      <c r="E936" s="1126"/>
      <c r="F936" s="1151">
        <v>1.05</v>
      </c>
      <c r="G936" s="952" t="s">
        <v>863</v>
      </c>
      <c r="H936" s="952" t="s">
        <v>1521</v>
      </c>
      <c r="I936" s="952"/>
      <c r="J936" s="230" t="s">
        <v>1520</v>
      </c>
      <c r="K936" s="952">
        <v>2</v>
      </c>
      <c r="L936" s="231" t="s">
        <v>5983</v>
      </c>
      <c r="M936" s="194"/>
      <c r="N936" s="1167"/>
      <c r="O936" s="1116" t="s">
        <v>1523</v>
      </c>
      <c r="P936" s="1117" t="s">
        <v>1522</v>
      </c>
      <c r="Q936" s="688" t="str">
        <f t="shared" si="118"/>
        <v>C20-5810512A3</v>
      </c>
      <c r="R936" s="680" t="str">
        <f t="shared" si="115"/>
        <v>درپوش کشویی تنظیم ارتفاع کمربندهای جلو</v>
      </c>
      <c r="S936" s="586">
        <f t="shared" si="124"/>
        <v>2</v>
      </c>
      <c r="T936" s="673"/>
      <c r="U936" s="673"/>
      <c r="V936" s="673"/>
      <c r="W936" s="673"/>
      <c r="X936" s="590"/>
      <c r="Y936" s="590"/>
      <c r="Z936" s="673"/>
      <c r="AA936" s="736"/>
    </row>
    <row r="937" spans="1:27" ht="27.75" customHeight="1">
      <c r="A937" s="1167"/>
      <c r="B937" s="1228"/>
      <c r="C937" s="1154" t="s">
        <v>1248</v>
      </c>
      <c r="D937" s="1209"/>
      <c r="E937" s="1126"/>
      <c r="F937" s="1151"/>
      <c r="G937" s="952" t="s">
        <v>7</v>
      </c>
      <c r="H937" s="952" t="s">
        <v>1519</v>
      </c>
      <c r="I937" s="952"/>
      <c r="J937" s="230" t="s">
        <v>1518</v>
      </c>
      <c r="K937" s="952">
        <v>2</v>
      </c>
      <c r="L937" s="231" t="s">
        <v>5984</v>
      </c>
      <c r="M937" s="194"/>
      <c r="N937" s="1167"/>
      <c r="O937" s="1116" t="s">
        <v>1248</v>
      </c>
      <c r="P937" s="1117"/>
      <c r="Q937" s="688" t="str">
        <f t="shared" si="118"/>
        <v>BS3-5810052</v>
      </c>
      <c r="R937" s="680" t="str">
        <f t="shared" ref="R937:R1002" si="125">J937</f>
        <v>کلاهک سر پیچ های پایین کمربند</v>
      </c>
      <c r="S937" s="586">
        <f t="shared" si="124"/>
        <v>2</v>
      </c>
      <c r="T937" s="673"/>
      <c r="U937" s="673"/>
      <c r="V937" s="673"/>
      <c r="W937" s="673"/>
      <c r="X937" s="590"/>
      <c r="Y937" s="590"/>
      <c r="Z937" s="673"/>
      <c r="AA937" s="736"/>
    </row>
    <row r="938" spans="1:27" ht="27.75" customHeight="1">
      <c r="A938" s="1167"/>
      <c r="B938" s="1228"/>
      <c r="C938" s="1154" t="s">
        <v>1248</v>
      </c>
      <c r="D938" s="1209"/>
      <c r="E938" s="1126"/>
      <c r="F938" s="1151"/>
      <c r="G938" s="952" t="s">
        <v>1</v>
      </c>
      <c r="H938" s="952" t="s">
        <v>602</v>
      </c>
      <c r="I938" s="952"/>
      <c r="J938" s="230" t="s">
        <v>1517</v>
      </c>
      <c r="K938" s="952">
        <v>2</v>
      </c>
      <c r="L938" s="231" t="s">
        <v>5984</v>
      </c>
      <c r="M938" s="194"/>
      <c r="N938" s="1167"/>
      <c r="O938" s="1116" t="s">
        <v>1248</v>
      </c>
      <c r="P938" s="1117"/>
      <c r="Q938" s="688" t="str">
        <f t="shared" si="118"/>
        <v>DM5L-5810321</v>
      </c>
      <c r="R938" s="680" t="str">
        <f t="shared" si="125"/>
        <v>درپوش پیچ های بالای کمربند های عقب</v>
      </c>
      <c r="S938" s="586">
        <f t="shared" si="124"/>
        <v>2</v>
      </c>
      <c r="T938" s="673"/>
      <c r="U938" s="673"/>
      <c r="V938" s="673"/>
      <c r="W938" s="673"/>
      <c r="X938" s="590"/>
      <c r="Y938" s="590"/>
      <c r="Z938" s="673"/>
      <c r="AA938" s="736"/>
    </row>
    <row r="939" spans="1:27" ht="26.25" customHeight="1">
      <c r="A939" s="1167"/>
      <c r="B939" s="1228" t="s">
        <v>1495</v>
      </c>
      <c r="C939" s="1154" t="s">
        <v>1516</v>
      </c>
      <c r="D939" s="1209" t="s">
        <v>423</v>
      </c>
      <c r="E939" s="1347"/>
      <c r="F939" s="1228">
        <v>0.56000000000000005</v>
      </c>
      <c r="G939" s="952" t="s">
        <v>0</v>
      </c>
      <c r="H939" s="952" t="s">
        <v>424</v>
      </c>
      <c r="I939" s="952"/>
      <c r="J939" s="230" t="s">
        <v>1515</v>
      </c>
      <c r="K939" s="952">
        <v>1</v>
      </c>
      <c r="L939" s="231" t="s">
        <v>5985</v>
      </c>
      <c r="M939" s="194"/>
      <c r="N939" s="1167"/>
      <c r="O939" s="1116" t="s">
        <v>1516</v>
      </c>
      <c r="P939" s="1117" t="s">
        <v>423</v>
      </c>
      <c r="Q939" s="688" t="str">
        <f t="shared" si="118"/>
        <v>SX5F-5402347-Y1</v>
      </c>
      <c r="R939" s="680" t="str">
        <f t="shared" si="125"/>
        <v>کاور کنار صندلی ستون عقب چپ</v>
      </c>
      <c r="S939" s="586">
        <f t="shared" si="124"/>
        <v>1</v>
      </c>
      <c r="T939" s="673"/>
      <c r="U939" s="673"/>
      <c r="V939" s="673"/>
      <c r="W939" s="673"/>
      <c r="X939" s="590"/>
      <c r="Y939" s="590"/>
      <c r="Z939" s="673"/>
      <c r="AA939" s="736"/>
    </row>
    <row r="940" spans="1:27" ht="26.25" customHeight="1" thickBot="1">
      <c r="A940" s="1167"/>
      <c r="B940" s="1228"/>
      <c r="C940" s="1154" t="s">
        <v>1248</v>
      </c>
      <c r="D940" s="1209"/>
      <c r="E940" s="1347"/>
      <c r="F940" s="1228"/>
      <c r="G940" s="952" t="s">
        <v>0</v>
      </c>
      <c r="H940" s="952" t="s">
        <v>425</v>
      </c>
      <c r="I940" s="952"/>
      <c r="J940" s="230" t="s">
        <v>1514</v>
      </c>
      <c r="K940" s="952">
        <v>1</v>
      </c>
      <c r="L940" s="231" t="s">
        <v>5984</v>
      </c>
      <c r="M940" s="194"/>
      <c r="N940" s="1167"/>
      <c r="O940" s="1116" t="s">
        <v>1248</v>
      </c>
      <c r="P940" s="1117"/>
      <c r="Q940" s="688" t="str">
        <f t="shared" si="118"/>
        <v>SX5F-5402348-Y1</v>
      </c>
      <c r="R940" s="680" t="str">
        <f t="shared" si="125"/>
        <v>کاور کنار صندلی ستون عقب راست</v>
      </c>
      <c r="S940" s="586">
        <f t="shared" si="124"/>
        <v>1</v>
      </c>
      <c r="T940" s="673"/>
      <c r="U940" s="673"/>
      <c r="V940" s="673"/>
      <c r="W940" s="673"/>
      <c r="X940" s="590"/>
      <c r="Y940" s="590"/>
      <c r="Z940" s="673"/>
      <c r="AA940" s="736"/>
    </row>
    <row r="941" spans="1:27" ht="27.75" customHeight="1">
      <c r="A941" s="1166" t="s">
        <v>1466</v>
      </c>
      <c r="B941" s="1222" t="s">
        <v>1495</v>
      </c>
      <c r="C941" s="1169" t="s">
        <v>1506</v>
      </c>
      <c r="D941" s="1142" t="s">
        <v>54</v>
      </c>
      <c r="E941" s="1221"/>
      <c r="F941" s="1222">
        <v>2.99</v>
      </c>
      <c r="G941" s="1015" t="s">
        <v>0</v>
      </c>
      <c r="H941" s="1015" t="s">
        <v>57</v>
      </c>
      <c r="I941" s="1015"/>
      <c r="J941" s="319" t="s">
        <v>1505</v>
      </c>
      <c r="K941" s="1015">
        <v>1</v>
      </c>
      <c r="L941" s="222" t="s">
        <v>5986</v>
      </c>
      <c r="M941" s="194"/>
      <c r="N941" s="1166" t="str">
        <f>A941</f>
        <v>P75</v>
      </c>
      <c r="O941" s="1169" t="s">
        <v>1506</v>
      </c>
      <c r="P941" s="1142" t="s">
        <v>54</v>
      </c>
      <c r="Q941" s="524" t="str">
        <f t="shared" si="118"/>
        <v>SX5F-5301-0001C</v>
      </c>
      <c r="R941" s="513" t="str">
        <f t="shared" si="125"/>
        <v xml:space="preserve"> کانال فلزی آبرو جلو</v>
      </c>
      <c r="S941" s="586">
        <f t="shared" si="124"/>
        <v>1</v>
      </c>
      <c r="T941" s="469"/>
      <c r="U941" s="469"/>
      <c r="V941" s="469"/>
      <c r="W941" s="469"/>
      <c r="X941" s="227"/>
      <c r="Y941" s="227"/>
      <c r="Z941" s="469"/>
      <c r="AA941" s="487"/>
    </row>
    <row r="942" spans="1:27" ht="27.75" customHeight="1">
      <c r="A942" s="1167"/>
      <c r="B942" s="1151"/>
      <c r="C942" s="1154" t="s">
        <v>1248</v>
      </c>
      <c r="D942" s="1209"/>
      <c r="E942" s="1126"/>
      <c r="F942" s="1151"/>
      <c r="G942" s="952" t="s">
        <v>1</v>
      </c>
      <c r="H942" s="952" t="s">
        <v>59</v>
      </c>
      <c r="I942" s="952" t="s">
        <v>1504</v>
      </c>
      <c r="J942" s="230" t="s">
        <v>1247</v>
      </c>
      <c r="K942" s="952">
        <v>11</v>
      </c>
      <c r="L942" s="231" t="s">
        <v>5971</v>
      </c>
      <c r="M942" s="194"/>
      <c r="N942" s="1167" t="e">
        <f>#REF!</f>
        <v>#REF!</v>
      </c>
      <c r="O942" s="1116" t="s">
        <v>1248</v>
      </c>
      <c r="P942" s="1117"/>
      <c r="Q942" s="688" t="str">
        <f t="shared" si="118"/>
        <v>LQ140B0612F38</v>
      </c>
      <c r="R942" s="680" t="str">
        <f t="shared" si="125"/>
        <v>پیچ فلنجی سر شش گوش</v>
      </c>
      <c r="S942" s="586">
        <f t="shared" si="124"/>
        <v>11</v>
      </c>
      <c r="T942" s="639">
        <v>8</v>
      </c>
      <c r="U942" s="639">
        <v>9</v>
      </c>
      <c r="V942" s="639">
        <v>10</v>
      </c>
      <c r="W942" s="591" t="s">
        <v>5431</v>
      </c>
      <c r="X942" s="639" t="s">
        <v>5435</v>
      </c>
      <c r="Y942" s="639" t="s">
        <v>5709</v>
      </c>
      <c r="Z942" s="673"/>
      <c r="AA942" s="736"/>
    </row>
    <row r="943" spans="1:27" ht="27.75" customHeight="1">
      <c r="A943" s="1167"/>
      <c r="B943" s="1151" t="s">
        <v>1495</v>
      </c>
      <c r="C943" s="1154" t="s">
        <v>1502</v>
      </c>
      <c r="D943" s="1209" t="s">
        <v>615</v>
      </c>
      <c r="E943" s="1126"/>
      <c r="F943" s="1151">
        <v>3.07</v>
      </c>
      <c r="G943" s="952" t="s">
        <v>0</v>
      </c>
      <c r="H943" s="300" t="s">
        <v>5391</v>
      </c>
      <c r="I943" s="952"/>
      <c r="J943" s="230" t="s">
        <v>1501</v>
      </c>
      <c r="K943" s="952">
        <v>1</v>
      </c>
      <c r="L943" s="231" t="s">
        <v>5987</v>
      </c>
      <c r="M943" s="194"/>
      <c r="N943" s="1167">
        <f t="shared" si="121"/>
        <v>0</v>
      </c>
      <c r="O943" s="1116" t="s">
        <v>1502</v>
      </c>
      <c r="P943" s="1117" t="s">
        <v>615</v>
      </c>
      <c r="Q943" s="688" t="str">
        <f t="shared" ref="Q943:Q1014" si="126">H943</f>
        <v>SX3DCN-8404-0002S-BR</v>
      </c>
      <c r="R943" s="680" t="str">
        <f t="shared" si="125"/>
        <v>اسپویلر عقب</v>
      </c>
      <c r="S943" s="586">
        <f t="shared" si="124"/>
        <v>1</v>
      </c>
      <c r="T943" s="673"/>
      <c r="U943" s="673"/>
      <c r="V943" s="673"/>
      <c r="W943" s="673"/>
      <c r="X943" s="590"/>
      <c r="Y943" s="590"/>
      <c r="Z943" s="673"/>
      <c r="AA943" s="736"/>
    </row>
    <row r="944" spans="1:27" ht="27.75" customHeight="1">
      <c r="A944" s="1167"/>
      <c r="B944" s="1151"/>
      <c r="C944" s="1154" t="s">
        <v>1248</v>
      </c>
      <c r="D944" s="1209"/>
      <c r="E944" s="1126"/>
      <c r="F944" s="1151"/>
      <c r="G944" s="952" t="s">
        <v>1</v>
      </c>
      <c r="H944" s="240" t="s">
        <v>289</v>
      </c>
      <c r="I944" s="240" t="s">
        <v>612</v>
      </c>
      <c r="J944" s="230" t="s">
        <v>1499</v>
      </c>
      <c r="K944" s="952">
        <v>2</v>
      </c>
      <c r="L944" s="231" t="s">
        <v>5971</v>
      </c>
      <c r="M944" s="194"/>
      <c r="N944" s="1167">
        <f t="shared" si="121"/>
        <v>0</v>
      </c>
      <c r="O944" s="1116" t="s">
        <v>1248</v>
      </c>
      <c r="P944" s="1117"/>
      <c r="Q944" s="688" t="str">
        <f t="shared" si="126"/>
        <v>LQ146B0630F38A1</v>
      </c>
      <c r="R944" s="680" t="str">
        <f t="shared" si="125"/>
        <v>پیچ سر شش گوش واشردار</v>
      </c>
      <c r="S944" s="586">
        <f t="shared" si="124"/>
        <v>2</v>
      </c>
      <c r="T944" s="639">
        <v>4</v>
      </c>
      <c r="U944" s="639">
        <v>5</v>
      </c>
      <c r="V944" s="639">
        <v>6</v>
      </c>
      <c r="W944" s="591" t="s">
        <v>5431</v>
      </c>
      <c r="X944" s="639" t="s">
        <v>5671</v>
      </c>
      <c r="Y944" s="639" t="s">
        <v>5710</v>
      </c>
      <c r="Z944" s="673"/>
      <c r="AA944" s="736"/>
    </row>
    <row r="945" spans="1:27" ht="26.25" customHeight="1">
      <c r="A945" s="1167"/>
      <c r="B945" s="1151"/>
      <c r="C945" s="1154" t="s">
        <v>1248</v>
      </c>
      <c r="D945" s="1209"/>
      <c r="E945" s="1126"/>
      <c r="F945" s="1151"/>
      <c r="G945" s="952" t="s">
        <v>2</v>
      </c>
      <c r="H945" s="952" t="s">
        <v>1225</v>
      </c>
      <c r="I945" s="952"/>
      <c r="J945" s="230" t="s">
        <v>1498</v>
      </c>
      <c r="K945" s="952">
        <v>1</v>
      </c>
      <c r="L945" s="231" t="s">
        <v>5985</v>
      </c>
      <c r="M945" s="194"/>
      <c r="N945" s="1167">
        <f t="shared" si="121"/>
        <v>0</v>
      </c>
      <c r="O945" s="1116" t="s">
        <v>1248</v>
      </c>
      <c r="P945" s="1117"/>
      <c r="Q945" s="688" t="str">
        <f t="shared" si="126"/>
        <v>Q32006F38</v>
      </c>
      <c r="R945" s="680" t="str">
        <f t="shared" si="125"/>
        <v xml:space="preserve">مهره فلنجی سر شش گوش </v>
      </c>
      <c r="S945" s="586">
        <f t="shared" si="124"/>
        <v>1</v>
      </c>
      <c r="T945" s="639">
        <v>4</v>
      </c>
      <c r="U945" s="639">
        <v>5</v>
      </c>
      <c r="V945" s="639">
        <v>6</v>
      </c>
      <c r="W945" s="591" t="s">
        <v>5431</v>
      </c>
      <c r="X945" s="639" t="s">
        <v>5671</v>
      </c>
      <c r="Y945" s="639" t="s">
        <v>5710</v>
      </c>
      <c r="Z945" s="673"/>
      <c r="AA945" s="736"/>
    </row>
    <row r="946" spans="1:27" ht="27" customHeight="1">
      <c r="A946" s="1167"/>
      <c r="B946" s="1151" t="s">
        <v>1495</v>
      </c>
      <c r="C946" s="1154" t="s">
        <v>1497</v>
      </c>
      <c r="D946" s="1209" t="s">
        <v>399</v>
      </c>
      <c r="E946" s="1126" t="s">
        <v>4973</v>
      </c>
      <c r="F946" s="1151">
        <v>1.97</v>
      </c>
      <c r="G946" s="952" t="s">
        <v>0</v>
      </c>
      <c r="H946" s="952" t="s">
        <v>400</v>
      </c>
      <c r="I946" s="952"/>
      <c r="J946" s="230" t="s">
        <v>1496</v>
      </c>
      <c r="K946" s="952">
        <v>1</v>
      </c>
      <c r="L946" s="231" t="s">
        <v>5807</v>
      </c>
      <c r="M946" s="194"/>
      <c r="N946" s="1167">
        <f t="shared" si="121"/>
        <v>0</v>
      </c>
      <c r="O946" s="1116" t="s">
        <v>1497</v>
      </c>
      <c r="P946" s="1117" t="s">
        <v>399</v>
      </c>
      <c r="Q946" s="688" t="str">
        <f t="shared" si="126"/>
        <v>SX5-5205010</v>
      </c>
      <c r="R946" s="680" t="str">
        <f t="shared" si="125"/>
        <v>مجموعه موتور برف پاک کن جلو</v>
      </c>
      <c r="S946" s="586">
        <f t="shared" si="124"/>
        <v>1</v>
      </c>
      <c r="T946" s="673"/>
      <c r="U946" s="673"/>
      <c r="V946" s="673"/>
      <c r="W946" s="673"/>
      <c r="X946" s="590"/>
      <c r="Y946" s="590"/>
      <c r="Z946" s="673"/>
      <c r="AA946" s="736"/>
    </row>
    <row r="947" spans="1:27" ht="27" customHeight="1" thickBot="1">
      <c r="A947" s="1168"/>
      <c r="B947" s="1232"/>
      <c r="C947" s="1186" t="s">
        <v>1248</v>
      </c>
      <c r="D947" s="1159"/>
      <c r="E947" s="1214"/>
      <c r="F947" s="1232"/>
      <c r="G947" s="953" t="s">
        <v>1</v>
      </c>
      <c r="H947" s="953" t="s">
        <v>289</v>
      </c>
      <c r="I947" s="953" t="s">
        <v>1644</v>
      </c>
      <c r="J947" s="272" t="s">
        <v>1459</v>
      </c>
      <c r="K947" s="953">
        <v>3</v>
      </c>
      <c r="L947" s="250" t="s">
        <v>5971</v>
      </c>
      <c r="M947" s="194"/>
      <c r="N947" s="1168">
        <f t="shared" si="121"/>
        <v>0</v>
      </c>
      <c r="O947" s="1186" t="s">
        <v>1248</v>
      </c>
      <c r="P947" s="1159"/>
      <c r="Q947" s="540" t="str">
        <f t="shared" si="126"/>
        <v>LQ146B0630F38A1</v>
      </c>
      <c r="R947" s="536" t="str">
        <f t="shared" si="125"/>
        <v xml:space="preserve">پیچ ترکیبی شش گوش </v>
      </c>
      <c r="S947" s="586">
        <f t="shared" si="124"/>
        <v>3</v>
      </c>
      <c r="T947" s="350">
        <v>8</v>
      </c>
      <c r="U947" s="350">
        <v>9</v>
      </c>
      <c r="V947" s="350">
        <v>10</v>
      </c>
      <c r="W947" s="377" t="s">
        <v>5431</v>
      </c>
      <c r="X947" s="350" t="s">
        <v>5435</v>
      </c>
      <c r="Y947" s="350" t="s">
        <v>5709</v>
      </c>
      <c r="Z947" s="350" t="s">
        <v>5442</v>
      </c>
      <c r="AA947" s="537" t="s">
        <v>5711</v>
      </c>
    </row>
    <row r="948" spans="1:27" ht="51.75" customHeight="1">
      <c r="A948" s="1166" t="s">
        <v>1458</v>
      </c>
      <c r="B948" s="1222" t="s">
        <v>1454</v>
      </c>
      <c r="C948" s="1169" t="s">
        <v>1494</v>
      </c>
      <c r="D948" s="1142" t="s">
        <v>4978</v>
      </c>
      <c r="E948" s="1221" t="s">
        <v>4973</v>
      </c>
      <c r="F948" s="1327">
        <v>1.27</v>
      </c>
      <c r="G948" s="997" t="s">
        <v>0</v>
      </c>
      <c r="H948" s="997" t="s">
        <v>61</v>
      </c>
      <c r="I948" s="997" t="s">
        <v>5418</v>
      </c>
      <c r="J948" s="553" t="s">
        <v>1493</v>
      </c>
      <c r="K948" s="997">
        <v>1</v>
      </c>
      <c r="L948" s="222" t="s">
        <v>5988</v>
      </c>
      <c r="M948" s="194"/>
      <c r="N948" s="1166" t="str">
        <f>A948</f>
        <v>P76</v>
      </c>
      <c r="O948" s="1169" t="s">
        <v>1494</v>
      </c>
      <c r="P948" s="1142" t="s">
        <v>4978</v>
      </c>
      <c r="Q948" s="524" t="str">
        <f t="shared" si="126"/>
        <v>SX5-5205-0003C</v>
      </c>
      <c r="R948" s="513" t="str">
        <f t="shared" si="125"/>
        <v>مجموعه بازو و تیغه برف پاک کن جلو- راننده</v>
      </c>
      <c r="S948" s="586">
        <f t="shared" si="124"/>
        <v>1</v>
      </c>
      <c r="T948" s="469"/>
      <c r="U948" s="469"/>
      <c r="V948" s="469"/>
      <c r="W948" s="469"/>
      <c r="X948" s="227"/>
      <c r="Y948" s="227"/>
      <c r="Z948" s="469"/>
      <c r="AA948" s="487"/>
    </row>
    <row r="949" spans="1:27" ht="46.5" customHeight="1">
      <c r="A949" s="1167"/>
      <c r="B949" s="1151"/>
      <c r="C949" s="1154" t="s">
        <v>1248</v>
      </c>
      <c r="D949" s="1209"/>
      <c r="E949" s="1126"/>
      <c r="F949" s="1220"/>
      <c r="G949" s="952" t="s">
        <v>1</v>
      </c>
      <c r="H949" s="952" t="s">
        <v>63</v>
      </c>
      <c r="I949" s="787" t="s">
        <v>5417</v>
      </c>
      <c r="J949" s="232" t="s">
        <v>1492</v>
      </c>
      <c r="K949" s="952">
        <v>1</v>
      </c>
      <c r="L949" s="231" t="s">
        <v>5988</v>
      </c>
      <c r="M949" s="194"/>
      <c r="N949" s="1167" t="str">
        <f t="shared" si="121"/>
        <v>P76</v>
      </c>
      <c r="O949" s="1116" t="s">
        <v>1248</v>
      </c>
      <c r="P949" s="1117"/>
      <c r="Q949" s="688" t="str">
        <f t="shared" si="126"/>
        <v>SX5-5205-0004C</v>
      </c>
      <c r="R949" s="680" t="str">
        <f t="shared" si="125"/>
        <v>مجموعه بازو و تیغه برف پاک کن جلو- سرنشین</v>
      </c>
      <c r="S949" s="586">
        <f t="shared" si="124"/>
        <v>1</v>
      </c>
      <c r="T949" s="673"/>
      <c r="U949" s="673"/>
      <c r="V949" s="673"/>
      <c r="W949" s="673"/>
      <c r="X949" s="590"/>
      <c r="Y949" s="590"/>
      <c r="Z949" s="673"/>
      <c r="AA949" s="736"/>
    </row>
    <row r="950" spans="1:27" ht="27" customHeight="1">
      <c r="A950" s="1167"/>
      <c r="B950" s="1151"/>
      <c r="C950" s="1154" t="s">
        <v>1248</v>
      </c>
      <c r="D950" s="1209"/>
      <c r="E950" s="1126"/>
      <c r="F950" s="1220"/>
      <c r="G950" s="952" t="s">
        <v>2</v>
      </c>
      <c r="H950" s="952" t="s">
        <v>65</v>
      </c>
      <c r="I950" s="952"/>
      <c r="J950" s="230" t="s">
        <v>1461</v>
      </c>
      <c r="K950" s="952">
        <v>2</v>
      </c>
      <c r="L950" s="231" t="s">
        <v>5971</v>
      </c>
      <c r="M950" s="194"/>
      <c r="N950" s="1167">
        <f t="shared" si="121"/>
        <v>0</v>
      </c>
      <c r="O950" s="1116" t="s">
        <v>1248</v>
      </c>
      <c r="P950" s="1117"/>
      <c r="Q950" s="688" t="str">
        <f t="shared" si="126"/>
        <v>C20-5205037</v>
      </c>
      <c r="R950" s="680" t="str">
        <f t="shared" si="125"/>
        <v>مهره نصب تیغه های برف پاک کن</v>
      </c>
      <c r="S950" s="586">
        <f t="shared" si="124"/>
        <v>2</v>
      </c>
      <c r="T950" s="639">
        <v>20</v>
      </c>
      <c r="U950" s="639">
        <v>22</v>
      </c>
      <c r="V950" s="639">
        <v>24</v>
      </c>
      <c r="W950" s="591" t="s">
        <v>5712</v>
      </c>
      <c r="X950" s="699" t="s">
        <v>5713</v>
      </c>
      <c r="Y950" s="639" t="s">
        <v>5714</v>
      </c>
      <c r="Z950" s="639"/>
      <c r="AA950" s="731"/>
    </row>
    <row r="951" spans="1:27" ht="27" customHeight="1">
      <c r="A951" s="1167"/>
      <c r="B951" s="1151"/>
      <c r="C951" s="1154" t="s">
        <v>1248</v>
      </c>
      <c r="D951" s="1209"/>
      <c r="E951" s="1126"/>
      <c r="F951" s="1220"/>
      <c r="G951" s="952" t="s">
        <v>7</v>
      </c>
      <c r="H951" s="952" t="s">
        <v>66</v>
      </c>
      <c r="I951" s="952"/>
      <c r="J951" s="230" t="s">
        <v>1491</v>
      </c>
      <c r="K951" s="952">
        <v>2</v>
      </c>
      <c r="L951" s="231" t="s">
        <v>5973</v>
      </c>
      <c r="M951" s="194"/>
      <c r="N951" s="1167">
        <f t="shared" si="121"/>
        <v>0</v>
      </c>
      <c r="O951" s="1116" t="s">
        <v>1248</v>
      </c>
      <c r="P951" s="1117"/>
      <c r="Q951" s="688" t="str">
        <f t="shared" si="126"/>
        <v>SX5-5205032</v>
      </c>
      <c r="R951" s="680" t="str">
        <f t="shared" si="125"/>
        <v>درپوش تزئینی مهره برف پاک کن</v>
      </c>
      <c r="S951" s="586">
        <f t="shared" si="124"/>
        <v>2</v>
      </c>
      <c r="T951" s="673"/>
      <c r="U951" s="673"/>
      <c r="V951" s="673"/>
      <c r="W951" s="673"/>
      <c r="X951" s="590"/>
      <c r="Y951" s="590"/>
      <c r="Z951" s="673"/>
      <c r="AA951" s="736"/>
    </row>
    <row r="952" spans="1:27" ht="27" customHeight="1">
      <c r="A952" s="1167"/>
      <c r="B952" s="1160" t="s">
        <v>1454</v>
      </c>
      <c r="C952" s="1152" t="s">
        <v>6040</v>
      </c>
      <c r="D952" s="1120" t="s">
        <v>67</v>
      </c>
      <c r="E952" s="1122"/>
      <c r="F952" s="1124"/>
      <c r="G952" s="952" t="s">
        <v>0</v>
      </c>
      <c r="H952" s="952" t="s">
        <v>68</v>
      </c>
      <c r="I952" s="952"/>
      <c r="J952" s="230" t="s">
        <v>6041</v>
      </c>
      <c r="K952" s="952">
        <v>2</v>
      </c>
      <c r="L952" s="231" t="s">
        <v>5973</v>
      </c>
      <c r="M952" s="194"/>
      <c r="N952" s="1167"/>
      <c r="O952" s="1116" t="str">
        <f>C952</f>
        <v>مونتاژ قاب برف پاک کن</v>
      </c>
      <c r="P952" s="1117" t="str">
        <f>D952</f>
        <v>SX5-5207-1</v>
      </c>
      <c r="Q952" s="688" t="str">
        <f>H952</f>
        <v>SX7-5207310</v>
      </c>
      <c r="R952" s="680" t="str">
        <f>J952</f>
        <v>نازل آب پاش</v>
      </c>
      <c r="S952" s="586">
        <f t="shared" si="124"/>
        <v>2</v>
      </c>
      <c r="T952" s="673"/>
      <c r="U952" s="673"/>
      <c r="V952" s="673"/>
      <c r="W952" s="673"/>
      <c r="X952" s="590"/>
      <c r="Y952" s="590"/>
      <c r="Z952" s="673"/>
      <c r="AA952" s="736"/>
    </row>
    <row r="953" spans="1:27" ht="27" customHeight="1">
      <c r="A953" s="1167"/>
      <c r="B953" s="1227"/>
      <c r="C953" s="1201"/>
      <c r="D953" s="1202"/>
      <c r="E953" s="1165"/>
      <c r="F953" s="1297"/>
      <c r="G953" s="952" t="s">
        <v>1</v>
      </c>
      <c r="H953" s="952" t="s">
        <v>69</v>
      </c>
      <c r="I953" s="952"/>
      <c r="J953" s="230" t="s">
        <v>6042</v>
      </c>
      <c r="K953" s="952">
        <v>1</v>
      </c>
      <c r="L953" s="231" t="s">
        <v>5973</v>
      </c>
      <c r="M953" s="194"/>
      <c r="N953" s="1167"/>
      <c r="O953" s="1116"/>
      <c r="P953" s="1117"/>
      <c r="Q953" s="688" t="str">
        <f t="shared" ref="Q953:Q954" si="127">H953</f>
        <v>SX5-5304030</v>
      </c>
      <c r="R953" s="680" t="str">
        <f t="shared" ref="R953:R954" si="128">J953</f>
        <v xml:space="preserve">قاب مجموعه برف پاک کن </v>
      </c>
      <c r="S953" s="586">
        <f t="shared" si="124"/>
        <v>1</v>
      </c>
      <c r="T953" s="673"/>
      <c r="U953" s="673"/>
      <c r="V953" s="673"/>
      <c r="W953" s="673"/>
      <c r="X953" s="590"/>
      <c r="Y953" s="590"/>
      <c r="Z953" s="673"/>
      <c r="AA953" s="736"/>
    </row>
    <row r="954" spans="1:27" ht="27" customHeight="1">
      <c r="A954" s="1167"/>
      <c r="B954" s="1161"/>
      <c r="C954" s="1153"/>
      <c r="D954" s="1121"/>
      <c r="E954" s="1123"/>
      <c r="F954" s="1260"/>
      <c r="G954" s="952" t="s">
        <v>2</v>
      </c>
      <c r="H954" s="952" t="s">
        <v>70</v>
      </c>
      <c r="I954" s="952"/>
      <c r="J954" s="230" t="s">
        <v>6043</v>
      </c>
      <c r="K954" s="952">
        <v>1</v>
      </c>
      <c r="L954" s="231" t="s">
        <v>5973</v>
      </c>
      <c r="M954" s="194"/>
      <c r="N954" s="1167"/>
      <c r="O954" s="1116"/>
      <c r="P954" s="1117"/>
      <c r="Q954" s="688" t="str">
        <f t="shared" si="127"/>
        <v>SX5-5207030</v>
      </c>
      <c r="R954" s="680" t="str">
        <f t="shared" si="128"/>
        <v>شلنگ آب پاش</v>
      </c>
      <c r="S954" s="586">
        <f t="shared" si="124"/>
        <v>1</v>
      </c>
      <c r="T954" s="673"/>
      <c r="U954" s="673"/>
      <c r="V954" s="673"/>
      <c r="W954" s="673"/>
      <c r="X954" s="590"/>
      <c r="Y954" s="590"/>
      <c r="Z954" s="673"/>
      <c r="AA954" s="736"/>
    </row>
    <row r="955" spans="1:27" ht="27" customHeight="1">
      <c r="A955" s="1167"/>
      <c r="B955" s="1151" t="s">
        <v>1454</v>
      </c>
      <c r="C955" s="1154" t="s">
        <v>1490</v>
      </c>
      <c r="D955" s="1209" t="s">
        <v>72</v>
      </c>
      <c r="E955" s="1126"/>
      <c r="F955" s="1151">
        <v>2.35</v>
      </c>
      <c r="G955" s="952" t="s">
        <v>0</v>
      </c>
      <c r="H955" s="952" t="s">
        <v>71</v>
      </c>
      <c r="I955" s="952"/>
      <c r="J955" s="230" t="s">
        <v>1489</v>
      </c>
      <c r="K955" s="952">
        <v>1</v>
      </c>
      <c r="L955" s="231" t="s">
        <v>5989</v>
      </c>
      <c r="M955" s="194"/>
      <c r="N955" s="1167">
        <f>A951</f>
        <v>0</v>
      </c>
      <c r="O955" s="1116" t="s">
        <v>1490</v>
      </c>
      <c r="P955" s="1117" t="s">
        <v>72</v>
      </c>
      <c r="Q955" s="688" t="str">
        <f t="shared" si="126"/>
        <v>SX5-5304-0001C</v>
      </c>
      <c r="R955" s="680" t="str">
        <f t="shared" si="125"/>
        <v xml:space="preserve">مجموعه حصیری برف پاک کن </v>
      </c>
      <c r="S955" s="586">
        <f t="shared" si="124"/>
        <v>1</v>
      </c>
      <c r="T955" s="673"/>
      <c r="U955" s="673"/>
      <c r="V955" s="673"/>
      <c r="W955" s="673"/>
      <c r="X955" s="590"/>
      <c r="Y955" s="590"/>
      <c r="Z955" s="673"/>
      <c r="AA955" s="736"/>
    </row>
    <row r="956" spans="1:27" ht="27" customHeight="1">
      <c r="A956" s="1167"/>
      <c r="B956" s="1151"/>
      <c r="C956" s="1154"/>
      <c r="D956" s="1209"/>
      <c r="E956" s="1126"/>
      <c r="F956" s="1151"/>
      <c r="G956" s="952" t="s">
        <v>1</v>
      </c>
      <c r="H956" s="952" t="s">
        <v>73</v>
      </c>
      <c r="I956" s="952"/>
      <c r="J956" s="230" t="s">
        <v>5142</v>
      </c>
      <c r="K956" s="952">
        <v>3</v>
      </c>
      <c r="L956" s="231" t="s">
        <v>5955</v>
      </c>
      <c r="M956" s="194"/>
      <c r="N956" s="1167"/>
      <c r="O956" s="1116"/>
      <c r="P956" s="1117"/>
      <c r="Q956" s="688" t="str">
        <f t="shared" si="126"/>
        <v>BL346</v>
      </c>
      <c r="R956" s="680" t="str">
        <f t="shared" si="125"/>
        <v xml:space="preserve">بست فشاری </v>
      </c>
      <c r="S956" s="586">
        <f t="shared" si="124"/>
        <v>3</v>
      </c>
      <c r="T956" s="673"/>
      <c r="U956" s="673"/>
      <c r="V956" s="673"/>
      <c r="W956" s="673"/>
      <c r="X956" s="590"/>
      <c r="Y956" s="590"/>
      <c r="Z956" s="673"/>
      <c r="AA956" s="736"/>
    </row>
    <row r="957" spans="1:27" ht="27" customHeight="1">
      <c r="A957" s="1167"/>
      <c r="B957" s="1151" t="s">
        <v>1454</v>
      </c>
      <c r="C957" s="1154" t="s">
        <v>1488</v>
      </c>
      <c r="D957" s="1209" t="s">
        <v>420</v>
      </c>
      <c r="E957" s="1126"/>
      <c r="F957" s="1151">
        <v>1.4</v>
      </c>
      <c r="G957" s="952" t="s">
        <v>0</v>
      </c>
      <c r="H957" s="952" t="s">
        <v>421</v>
      </c>
      <c r="I957" s="952"/>
      <c r="J957" s="230" t="s">
        <v>1487</v>
      </c>
      <c r="K957" s="952">
        <v>1</v>
      </c>
      <c r="L957" s="231" t="s">
        <v>5990</v>
      </c>
      <c r="M957" s="194"/>
      <c r="N957" s="1167">
        <f t="shared" ref="N957:N1005" si="129">A956</f>
        <v>0</v>
      </c>
      <c r="O957" s="1116" t="s">
        <v>1488</v>
      </c>
      <c r="P957" s="1117" t="s">
        <v>420</v>
      </c>
      <c r="Q957" s="688" t="str">
        <f t="shared" si="126"/>
        <v>SX5-5304051</v>
      </c>
      <c r="R957" s="680" t="str">
        <f t="shared" si="125"/>
        <v>قاب تزئینی سمت چپ حصیری برف پاک کن</v>
      </c>
      <c r="S957" s="586">
        <f t="shared" si="124"/>
        <v>1</v>
      </c>
      <c r="T957" s="673"/>
      <c r="U957" s="673"/>
      <c r="V957" s="673"/>
      <c r="W957" s="673"/>
      <c r="X957" s="590"/>
      <c r="Y957" s="590"/>
      <c r="Z957" s="673"/>
      <c r="AA957" s="736"/>
    </row>
    <row r="958" spans="1:27" ht="27" customHeight="1">
      <c r="A958" s="1167"/>
      <c r="B958" s="1151"/>
      <c r="C958" s="1154" t="s">
        <v>1248</v>
      </c>
      <c r="D958" s="1209"/>
      <c r="E958" s="1126"/>
      <c r="F958" s="1151"/>
      <c r="G958" s="952" t="s">
        <v>0</v>
      </c>
      <c r="H958" s="952" t="s">
        <v>422</v>
      </c>
      <c r="I958" s="952"/>
      <c r="J958" s="230" t="s">
        <v>1486</v>
      </c>
      <c r="K958" s="952">
        <v>1</v>
      </c>
      <c r="L958" s="231" t="s">
        <v>5990</v>
      </c>
      <c r="M958" s="194"/>
      <c r="N958" s="1167">
        <f t="shared" si="129"/>
        <v>0</v>
      </c>
      <c r="O958" s="1116" t="s">
        <v>1248</v>
      </c>
      <c r="P958" s="1117"/>
      <c r="Q958" s="688" t="str">
        <f t="shared" si="126"/>
        <v>SX5-5304052</v>
      </c>
      <c r="R958" s="680" t="str">
        <f t="shared" si="125"/>
        <v>قاب تزئینی سمت راست حصیری برف پاک کن</v>
      </c>
      <c r="S958" s="586">
        <f t="shared" si="124"/>
        <v>1</v>
      </c>
      <c r="T958" s="673"/>
      <c r="U958" s="673"/>
      <c r="V958" s="673"/>
      <c r="W958" s="673"/>
      <c r="X958" s="590"/>
      <c r="Y958" s="590"/>
      <c r="Z958" s="673"/>
      <c r="AA958" s="736"/>
    </row>
    <row r="959" spans="1:27" ht="27" customHeight="1">
      <c r="A959" s="1167"/>
      <c r="B959" s="1151" t="s">
        <v>1454</v>
      </c>
      <c r="C959" s="1154" t="s">
        <v>1485</v>
      </c>
      <c r="D959" s="1209" t="s">
        <v>592</v>
      </c>
      <c r="E959" s="1126"/>
      <c r="F959" s="1151">
        <v>0.41</v>
      </c>
      <c r="G959" s="952" t="s">
        <v>0</v>
      </c>
      <c r="H959" s="952" t="s">
        <v>1484</v>
      </c>
      <c r="I959" s="952"/>
      <c r="J959" s="230" t="s">
        <v>1483</v>
      </c>
      <c r="K959" s="952">
        <v>1</v>
      </c>
      <c r="L959" s="231" t="s">
        <v>5990</v>
      </c>
      <c r="M959" s="194"/>
      <c r="N959" s="1167">
        <f t="shared" si="129"/>
        <v>0</v>
      </c>
      <c r="O959" s="1116" t="s">
        <v>1485</v>
      </c>
      <c r="P959" s="1117" t="s">
        <v>592</v>
      </c>
      <c r="Q959" s="688" t="str">
        <f t="shared" si="126"/>
        <v>SX5-5304055A1</v>
      </c>
      <c r="R959" s="680" t="str">
        <f t="shared" si="125"/>
        <v>فوم بادگیر سمت چپ حصیری</v>
      </c>
      <c r="S959" s="586">
        <f t="shared" si="124"/>
        <v>1</v>
      </c>
      <c r="T959" s="673"/>
      <c r="U959" s="673"/>
      <c r="V959" s="673"/>
      <c r="W959" s="673"/>
      <c r="X959" s="590"/>
      <c r="Y959" s="590"/>
      <c r="Z959" s="673"/>
      <c r="AA959" s="736"/>
    </row>
    <row r="960" spans="1:27" ht="27" customHeight="1">
      <c r="A960" s="1167"/>
      <c r="B960" s="1151"/>
      <c r="C960" s="1154" t="s">
        <v>1248</v>
      </c>
      <c r="D960" s="1209"/>
      <c r="E960" s="1126"/>
      <c r="F960" s="1151"/>
      <c r="G960" s="952" t="s">
        <v>0</v>
      </c>
      <c r="H960" s="952" t="s">
        <v>1482</v>
      </c>
      <c r="I960" s="952"/>
      <c r="J960" s="230" t="s">
        <v>1481</v>
      </c>
      <c r="K960" s="952">
        <v>1</v>
      </c>
      <c r="L960" s="231" t="s">
        <v>5990</v>
      </c>
      <c r="M960" s="194"/>
      <c r="N960" s="1167">
        <f t="shared" si="129"/>
        <v>0</v>
      </c>
      <c r="O960" s="1116" t="s">
        <v>1248</v>
      </c>
      <c r="P960" s="1117"/>
      <c r="Q960" s="688" t="str">
        <f t="shared" si="126"/>
        <v>SX5-5304056A1</v>
      </c>
      <c r="R960" s="680" t="str">
        <f t="shared" si="125"/>
        <v>فوم بادگیر سمت راست حصیری</v>
      </c>
      <c r="S960" s="586">
        <f t="shared" si="124"/>
        <v>1</v>
      </c>
      <c r="T960" s="673"/>
      <c r="U960" s="673"/>
      <c r="V960" s="673"/>
      <c r="W960" s="673"/>
      <c r="X960" s="590"/>
      <c r="Y960" s="590"/>
      <c r="Z960" s="673"/>
      <c r="AA960" s="736"/>
    </row>
    <row r="961" spans="1:27" ht="27" customHeight="1">
      <c r="A961" s="1167"/>
      <c r="B961" s="1228" t="s">
        <v>1454</v>
      </c>
      <c r="C961" s="1154" t="s">
        <v>1480</v>
      </c>
      <c r="D961" s="1209" t="s">
        <v>298</v>
      </c>
      <c r="E961" s="1126"/>
      <c r="F961" s="1151">
        <v>0.11</v>
      </c>
      <c r="G961" s="952" t="s">
        <v>0</v>
      </c>
      <c r="H961" s="952" t="s">
        <v>5111</v>
      </c>
      <c r="I961" s="952"/>
      <c r="J961" s="230" t="s">
        <v>1479</v>
      </c>
      <c r="K961" s="952">
        <v>0</v>
      </c>
      <c r="L961" s="231" t="s">
        <v>5988</v>
      </c>
      <c r="M961" s="194"/>
      <c r="N961" s="1167">
        <f t="shared" si="129"/>
        <v>0</v>
      </c>
      <c r="O961" s="1116" t="s">
        <v>1480</v>
      </c>
      <c r="P961" s="1117" t="s">
        <v>298</v>
      </c>
      <c r="Q961" s="688" t="str">
        <f t="shared" si="126"/>
        <v>SX5F-6302050KD-Y1</v>
      </c>
      <c r="R961" s="680" t="str">
        <f t="shared" si="125"/>
        <v>قاب تزئینی داخلی درب صندوق-ساب شده</v>
      </c>
      <c r="S961" s="586">
        <f t="shared" si="124"/>
        <v>0</v>
      </c>
      <c r="T961" s="673"/>
      <c r="U961" s="673"/>
      <c r="V961" s="673"/>
      <c r="W961" s="673"/>
      <c r="X961" s="590"/>
      <c r="Y961" s="590"/>
      <c r="Z961" s="673"/>
      <c r="AA961" s="736"/>
    </row>
    <row r="962" spans="1:27" ht="27" customHeight="1">
      <c r="A962" s="1167"/>
      <c r="B962" s="1228"/>
      <c r="C962" s="1154" t="s">
        <v>1248</v>
      </c>
      <c r="D962" s="1209"/>
      <c r="E962" s="1126"/>
      <c r="F962" s="1151"/>
      <c r="G962" s="952" t="s">
        <v>1</v>
      </c>
      <c r="H962" s="952" t="s">
        <v>85</v>
      </c>
      <c r="I962" s="952"/>
      <c r="J962" s="230" t="s">
        <v>1250</v>
      </c>
      <c r="K962" s="952">
        <v>2</v>
      </c>
      <c r="L962" s="231" t="s">
        <v>5991</v>
      </c>
      <c r="M962" s="194"/>
      <c r="N962" s="1167">
        <f t="shared" si="129"/>
        <v>0</v>
      </c>
      <c r="O962" s="1116" t="s">
        <v>1248</v>
      </c>
      <c r="P962" s="1117"/>
      <c r="Q962" s="688" t="str">
        <f t="shared" si="126"/>
        <v>BL338</v>
      </c>
      <c r="R962" s="680" t="str">
        <f t="shared" si="125"/>
        <v>مهره پلاستیکی</v>
      </c>
      <c r="S962" s="586">
        <f t="shared" si="124"/>
        <v>2</v>
      </c>
      <c r="T962" s="673"/>
      <c r="U962" s="673"/>
      <c r="V962" s="673"/>
      <c r="W962" s="673"/>
      <c r="X962" s="590"/>
      <c r="Y962" s="590"/>
      <c r="Z962" s="673"/>
      <c r="AA962" s="736"/>
    </row>
    <row r="963" spans="1:27" ht="27" customHeight="1">
      <c r="A963" s="1167"/>
      <c r="B963" s="1228"/>
      <c r="C963" s="1154" t="s">
        <v>1248</v>
      </c>
      <c r="D963" s="1209"/>
      <c r="E963" s="1126"/>
      <c r="F963" s="1151"/>
      <c r="G963" s="952" t="s">
        <v>2</v>
      </c>
      <c r="H963" s="952" t="s">
        <v>86</v>
      </c>
      <c r="I963" s="952" t="s">
        <v>5397</v>
      </c>
      <c r="J963" s="230" t="s">
        <v>1252</v>
      </c>
      <c r="K963" s="952">
        <v>2</v>
      </c>
      <c r="L963" s="231" t="s">
        <v>5971</v>
      </c>
      <c r="M963" s="194"/>
      <c r="N963" s="1167">
        <f t="shared" si="129"/>
        <v>0</v>
      </c>
      <c r="O963" s="1116" t="s">
        <v>1248</v>
      </c>
      <c r="P963" s="1117"/>
      <c r="Q963" s="688" t="str">
        <f t="shared" si="126"/>
        <v>Q2734816F38</v>
      </c>
      <c r="R963" s="680" t="str">
        <f t="shared" si="125"/>
        <v xml:space="preserve">پیچ خودکار چهارسو </v>
      </c>
      <c r="S963" s="586">
        <f t="shared" si="124"/>
        <v>2</v>
      </c>
      <c r="T963" s="639">
        <v>3</v>
      </c>
      <c r="U963" s="639">
        <v>4</v>
      </c>
      <c r="V963" s="639">
        <v>5</v>
      </c>
      <c r="W963" s="591" t="s">
        <v>5461</v>
      </c>
      <c r="X963" s="639" t="s">
        <v>5451</v>
      </c>
      <c r="Y963" s="639" t="s">
        <v>5715</v>
      </c>
      <c r="Z963" s="673"/>
      <c r="AA963" s="736"/>
    </row>
    <row r="964" spans="1:27" ht="27" customHeight="1">
      <c r="A964" s="1167"/>
      <c r="B964" s="933" t="s">
        <v>1454</v>
      </c>
      <c r="C964" s="929" t="s">
        <v>1478</v>
      </c>
      <c r="D964" s="931" t="s">
        <v>296</v>
      </c>
      <c r="E964" s="939"/>
      <c r="F964" s="935">
        <v>1.0900000000000001</v>
      </c>
      <c r="G964" s="952" t="s">
        <v>0</v>
      </c>
      <c r="H964" s="952" t="s">
        <v>1477</v>
      </c>
      <c r="I964" s="952"/>
      <c r="J964" s="230" t="s">
        <v>1476</v>
      </c>
      <c r="K964" s="952">
        <v>1</v>
      </c>
      <c r="L964" s="231" t="s">
        <v>5807</v>
      </c>
      <c r="M964" s="194"/>
      <c r="N964" s="1167">
        <f t="shared" si="129"/>
        <v>0</v>
      </c>
      <c r="O964" s="914" t="s">
        <v>1478</v>
      </c>
      <c r="P964" s="915" t="s">
        <v>296</v>
      </c>
      <c r="Q964" s="688" t="str">
        <f t="shared" si="126"/>
        <v>SX5-6302010</v>
      </c>
      <c r="R964" s="680" t="str">
        <f t="shared" si="125"/>
        <v>قاب تزئینی بالاي درب صندوق</v>
      </c>
      <c r="S964" s="586">
        <f t="shared" ref="S964:S1034" si="130">K964</f>
        <v>1</v>
      </c>
      <c r="T964" s="673"/>
      <c r="U964" s="673"/>
      <c r="V964" s="673"/>
      <c r="W964" s="673"/>
      <c r="X964" s="590"/>
      <c r="Y964" s="590"/>
      <c r="Z964" s="673"/>
      <c r="AA964" s="736"/>
    </row>
    <row r="965" spans="1:27" ht="27" customHeight="1">
      <c r="A965" s="1167"/>
      <c r="B965" s="1228" t="s">
        <v>1454</v>
      </c>
      <c r="C965" s="1154" t="s">
        <v>1475</v>
      </c>
      <c r="D965" s="1209" t="s">
        <v>297</v>
      </c>
      <c r="E965" s="1126"/>
      <c r="F965" s="1151">
        <v>0.55000000000000004</v>
      </c>
      <c r="G965" s="952" t="s">
        <v>0</v>
      </c>
      <c r="H965" s="952" t="s">
        <v>1474</v>
      </c>
      <c r="I965" s="952"/>
      <c r="J965" s="230" t="s">
        <v>1473</v>
      </c>
      <c r="K965" s="952">
        <v>1</v>
      </c>
      <c r="L965" s="231" t="s">
        <v>5807</v>
      </c>
      <c r="M965" s="194"/>
      <c r="N965" s="1167">
        <f t="shared" si="129"/>
        <v>0</v>
      </c>
      <c r="O965" s="1116" t="s">
        <v>1475</v>
      </c>
      <c r="P965" s="1117" t="s">
        <v>297</v>
      </c>
      <c r="Q965" s="688" t="str">
        <f t="shared" si="126"/>
        <v>SX5-6302020</v>
      </c>
      <c r="R965" s="680" t="str">
        <f t="shared" si="125"/>
        <v>قاب تزئینی داخل درب صندوق - چپ</v>
      </c>
      <c r="S965" s="586">
        <f t="shared" si="130"/>
        <v>1</v>
      </c>
      <c r="T965" s="673"/>
      <c r="U965" s="673"/>
      <c r="V965" s="673"/>
      <c r="W965" s="673"/>
      <c r="X965" s="590"/>
      <c r="Y965" s="590"/>
      <c r="Z965" s="673"/>
      <c r="AA965" s="736"/>
    </row>
    <row r="966" spans="1:27" ht="27" customHeight="1">
      <c r="A966" s="1167"/>
      <c r="B966" s="1228"/>
      <c r="C966" s="1154" t="s">
        <v>1248</v>
      </c>
      <c r="D966" s="1209"/>
      <c r="E966" s="1126"/>
      <c r="F966" s="1151"/>
      <c r="G966" s="952" t="s">
        <v>0</v>
      </c>
      <c r="H966" s="952" t="s">
        <v>1472</v>
      </c>
      <c r="I966" s="952"/>
      <c r="J966" s="230" t="s">
        <v>1471</v>
      </c>
      <c r="K966" s="952">
        <v>1</v>
      </c>
      <c r="L966" s="231" t="s">
        <v>5807</v>
      </c>
      <c r="M966" s="194"/>
      <c r="N966" s="1167">
        <f t="shared" si="129"/>
        <v>0</v>
      </c>
      <c r="O966" s="1116" t="s">
        <v>1248</v>
      </c>
      <c r="P966" s="1117"/>
      <c r="Q966" s="688" t="str">
        <f t="shared" si="126"/>
        <v>SX5-6302030</v>
      </c>
      <c r="R966" s="680" t="str">
        <f t="shared" si="125"/>
        <v>قاب تزئینی داخل درب صندوق - راست</v>
      </c>
      <c r="S966" s="586">
        <f t="shared" si="130"/>
        <v>1</v>
      </c>
      <c r="T966" s="673"/>
      <c r="U966" s="673"/>
      <c r="V966" s="673"/>
      <c r="W966" s="673"/>
      <c r="X966" s="590"/>
      <c r="Y966" s="590"/>
      <c r="Z966" s="673"/>
      <c r="AA966" s="736"/>
    </row>
    <row r="967" spans="1:27" ht="27" customHeight="1">
      <c r="A967" s="1167"/>
      <c r="B967" s="1228"/>
      <c r="C967" s="1154" t="s">
        <v>1248</v>
      </c>
      <c r="D967" s="1209"/>
      <c r="E967" s="1126"/>
      <c r="F967" s="1151"/>
      <c r="G967" s="952" t="s">
        <v>1</v>
      </c>
      <c r="H967" s="952" t="s">
        <v>85</v>
      </c>
      <c r="I967" s="952"/>
      <c r="J967" s="230" t="s">
        <v>1250</v>
      </c>
      <c r="K967" s="952">
        <v>2</v>
      </c>
      <c r="L967" s="231" t="s">
        <v>5991</v>
      </c>
      <c r="M967" s="194"/>
      <c r="N967" s="1167">
        <f t="shared" si="129"/>
        <v>0</v>
      </c>
      <c r="O967" s="1116" t="s">
        <v>1248</v>
      </c>
      <c r="P967" s="1117"/>
      <c r="Q967" s="688" t="str">
        <f t="shared" si="126"/>
        <v>BL338</v>
      </c>
      <c r="R967" s="680" t="str">
        <f t="shared" si="125"/>
        <v>مهره پلاستیکی</v>
      </c>
      <c r="S967" s="586">
        <f t="shared" si="130"/>
        <v>2</v>
      </c>
      <c r="T967" s="673"/>
      <c r="U967" s="673"/>
      <c r="V967" s="673"/>
      <c r="W967" s="673"/>
      <c r="X967" s="590"/>
      <c r="Y967" s="590"/>
      <c r="Z967" s="673"/>
      <c r="AA967" s="736"/>
    </row>
    <row r="968" spans="1:27" ht="27" customHeight="1">
      <c r="A968" s="1167"/>
      <c r="B968" s="1228"/>
      <c r="C968" s="1154" t="s">
        <v>1248</v>
      </c>
      <c r="D968" s="1209"/>
      <c r="E968" s="1126"/>
      <c r="F968" s="1151"/>
      <c r="G968" s="952" t="s">
        <v>2</v>
      </c>
      <c r="H968" s="952" t="s">
        <v>86</v>
      </c>
      <c r="I968" s="952" t="s">
        <v>5397</v>
      </c>
      <c r="J968" s="230" t="s">
        <v>1252</v>
      </c>
      <c r="K968" s="952">
        <v>2</v>
      </c>
      <c r="L968" s="231" t="s">
        <v>5971</v>
      </c>
      <c r="M968" s="194"/>
      <c r="N968" s="1167">
        <f t="shared" si="129"/>
        <v>0</v>
      </c>
      <c r="O968" s="1116" t="s">
        <v>1248</v>
      </c>
      <c r="P968" s="1117"/>
      <c r="Q968" s="688" t="str">
        <f t="shared" si="126"/>
        <v>Q2734816F38</v>
      </c>
      <c r="R968" s="680" t="str">
        <f t="shared" si="125"/>
        <v xml:space="preserve">پیچ خودکار چهارسو </v>
      </c>
      <c r="S968" s="586">
        <f t="shared" si="130"/>
        <v>2</v>
      </c>
      <c r="T968" s="639">
        <v>3</v>
      </c>
      <c r="U968" s="639">
        <v>4</v>
      </c>
      <c r="V968" s="639">
        <v>5</v>
      </c>
      <c r="W968" s="591" t="s">
        <v>5461</v>
      </c>
      <c r="X968" s="639" t="s">
        <v>5451</v>
      </c>
      <c r="Y968" s="639" t="s">
        <v>5715</v>
      </c>
      <c r="Z968" s="673"/>
      <c r="AA968" s="736"/>
    </row>
    <row r="969" spans="1:27" ht="27" customHeight="1" thickBot="1">
      <c r="A969" s="1168"/>
      <c r="B969" s="934" t="s">
        <v>1454</v>
      </c>
      <c r="C969" s="930" t="s">
        <v>1469</v>
      </c>
      <c r="D969" s="932" t="s">
        <v>368</v>
      </c>
      <c r="E969" s="942"/>
      <c r="F969" s="936">
        <v>0.26</v>
      </c>
      <c r="G969" s="953" t="s">
        <v>0</v>
      </c>
      <c r="H969" s="953" t="s">
        <v>1468</v>
      </c>
      <c r="I969" s="953"/>
      <c r="J969" s="272" t="s">
        <v>1467</v>
      </c>
      <c r="K969" s="953">
        <v>1</v>
      </c>
      <c r="L969" s="250" t="s">
        <v>5985</v>
      </c>
      <c r="M969" s="194"/>
      <c r="N969" s="1168">
        <f t="shared" si="129"/>
        <v>0</v>
      </c>
      <c r="O969" s="930" t="s">
        <v>1469</v>
      </c>
      <c r="P969" s="932" t="s">
        <v>368</v>
      </c>
      <c r="Q969" s="540" t="str">
        <f t="shared" si="126"/>
        <v>SX5F-6302-0001-2</v>
      </c>
      <c r="R969" s="536" t="str">
        <f t="shared" si="125"/>
        <v>دستگیره و کلید درب صندوق</v>
      </c>
      <c r="S969" s="586">
        <f t="shared" si="130"/>
        <v>1</v>
      </c>
      <c r="T969" s="286"/>
      <c r="U969" s="286"/>
      <c r="V969" s="286"/>
      <c r="W969" s="286"/>
      <c r="X969" s="284"/>
      <c r="Y969" s="284"/>
      <c r="Z969" s="286"/>
      <c r="AA969" s="490"/>
    </row>
    <row r="970" spans="1:27" ht="25.5" customHeight="1" thickBot="1">
      <c r="A970" s="1166" t="s">
        <v>1432</v>
      </c>
      <c r="B970" s="1218" t="s">
        <v>1327</v>
      </c>
      <c r="C970" s="966" t="s">
        <v>1465</v>
      </c>
      <c r="D970" s="967" t="s">
        <v>6103</v>
      </c>
      <c r="E970" s="991" t="s">
        <v>4973</v>
      </c>
      <c r="F970" s="946">
        <v>0.61</v>
      </c>
      <c r="G970" s="255" t="s">
        <v>2347</v>
      </c>
      <c r="H970" s="255" t="s">
        <v>1412</v>
      </c>
      <c r="I970" s="255" t="s">
        <v>1412</v>
      </c>
      <c r="J970" s="256" t="s">
        <v>1464</v>
      </c>
      <c r="K970" s="255" t="s">
        <v>1371</v>
      </c>
      <c r="L970" s="257"/>
      <c r="M970" s="194"/>
      <c r="N970" s="1166" t="str">
        <f>A970</f>
        <v>P77</v>
      </c>
      <c r="O970" s="966" t="s">
        <v>1465</v>
      </c>
      <c r="P970" s="967" t="str">
        <f>D970</f>
        <v>SX5-5200-2A</v>
      </c>
      <c r="Q970" s="524" t="str">
        <f t="shared" si="126"/>
        <v>------</v>
      </c>
      <c r="R970" s="513" t="str">
        <f t="shared" si="125"/>
        <v>---------</v>
      </c>
      <c r="S970" s="586" t="str">
        <f t="shared" si="130"/>
        <v>---</v>
      </c>
      <c r="T970" s="393">
        <v>100</v>
      </c>
      <c r="U970" s="393">
        <v>110</v>
      </c>
      <c r="V970" s="393">
        <v>120</v>
      </c>
      <c r="W970" s="394" t="s">
        <v>5476</v>
      </c>
      <c r="X970" s="393" t="s">
        <v>5504</v>
      </c>
      <c r="Y970" s="227" t="s">
        <v>6058</v>
      </c>
      <c r="Z970" s="469"/>
      <c r="AA970" s="487"/>
    </row>
    <row r="971" spans="1:27" ht="25.5" customHeight="1" thickBot="1">
      <c r="A971" s="1167"/>
      <c r="B971" s="1227"/>
      <c r="C971" s="929" t="s">
        <v>1463</v>
      </c>
      <c r="D971" s="931" t="s">
        <v>6104</v>
      </c>
      <c r="E971" s="939"/>
      <c r="F971" s="935">
        <v>0.21</v>
      </c>
      <c r="G971" s="952" t="s">
        <v>1</v>
      </c>
      <c r="H971" s="952" t="s">
        <v>1393</v>
      </c>
      <c r="I971" s="952"/>
      <c r="J971" s="230" t="s">
        <v>1455</v>
      </c>
      <c r="K971" s="952">
        <v>1</v>
      </c>
      <c r="L971" s="236"/>
      <c r="M971" s="194"/>
      <c r="N971" s="1167" t="str">
        <f t="shared" si="129"/>
        <v>P77</v>
      </c>
      <c r="O971" s="914" t="s">
        <v>1463</v>
      </c>
      <c r="P971" s="967" t="str">
        <f t="shared" ref="P971:P972" si="131">D971</f>
        <v>SX5-6310-1A</v>
      </c>
      <c r="Q971" s="688" t="str">
        <f t="shared" si="126"/>
        <v>-</v>
      </c>
      <c r="R971" s="680" t="str">
        <f t="shared" si="125"/>
        <v>مهره فلنجی</v>
      </c>
      <c r="S971" s="586">
        <f t="shared" si="130"/>
        <v>1</v>
      </c>
      <c r="T971" s="639">
        <v>11</v>
      </c>
      <c r="U971" s="639">
        <v>12</v>
      </c>
      <c r="V971" s="639">
        <v>13</v>
      </c>
      <c r="W971" s="591" t="s">
        <v>5445</v>
      </c>
      <c r="X971" s="639" t="s">
        <v>5442</v>
      </c>
      <c r="Y971" s="639" t="s">
        <v>5716</v>
      </c>
      <c r="Z971" s="639"/>
      <c r="AA971" s="731"/>
    </row>
    <row r="972" spans="1:27" ht="25.5" customHeight="1">
      <c r="A972" s="1167"/>
      <c r="B972" s="1227"/>
      <c r="C972" s="929" t="s">
        <v>1462</v>
      </c>
      <c r="D972" s="931" t="s">
        <v>6105</v>
      </c>
      <c r="E972" s="939"/>
      <c r="F972" s="952">
        <v>0.6</v>
      </c>
      <c r="G972" s="952" t="s">
        <v>2</v>
      </c>
      <c r="H972" s="952" t="s">
        <v>1393</v>
      </c>
      <c r="I972" s="952"/>
      <c r="J972" s="230" t="s">
        <v>1461</v>
      </c>
      <c r="K972" s="952">
        <v>2</v>
      </c>
      <c r="L972" s="236"/>
      <c r="M972" s="194"/>
      <c r="N972" s="1167">
        <f t="shared" si="129"/>
        <v>0</v>
      </c>
      <c r="O972" s="914" t="s">
        <v>1462</v>
      </c>
      <c r="P972" s="967" t="str">
        <f t="shared" si="131"/>
        <v>SX5-5205-4A</v>
      </c>
      <c r="Q972" s="688" t="str">
        <f t="shared" si="126"/>
        <v>-</v>
      </c>
      <c r="R972" s="680" t="str">
        <f t="shared" si="125"/>
        <v>مهره نصب تیغه های برف پاک کن</v>
      </c>
      <c r="S972" s="586">
        <f t="shared" si="130"/>
        <v>2</v>
      </c>
      <c r="T972" s="639">
        <v>40</v>
      </c>
      <c r="U972" s="639">
        <v>45</v>
      </c>
      <c r="V972" s="639">
        <v>50</v>
      </c>
      <c r="W972" s="591" t="s">
        <v>5476</v>
      </c>
      <c r="X972" s="639" t="s">
        <v>5448</v>
      </c>
      <c r="Y972" s="639" t="s">
        <v>5717</v>
      </c>
      <c r="Z972" s="673"/>
      <c r="AA972" s="736"/>
    </row>
    <row r="973" spans="1:27" ht="25.5" customHeight="1" thickBot="1">
      <c r="A973" s="1168"/>
      <c r="B973" s="1242"/>
      <c r="C973" s="930" t="s">
        <v>1460</v>
      </c>
      <c r="D973" s="932" t="s">
        <v>6106</v>
      </c>
      <c r="E973" s="942"/>
      <c r="F973" s="936">
        <v>0.4</v>
      </c>
      <c r="G973" s="953" t="s">
        <v>1</v>
      </c>
      <c r="H973" s="953" t="s">
        <v>1393</v>
      </c>
      <c r="I973" s="953"/>
      <c r="J973" s="272" t="s">
        <v>1459</v>
      </c>
      <c r="K973" s="953">
        <v>2</v>
      </c>
      <c r="L973" s="263"/>
      <c r="M973" s="194"/>
      <c r="N973" s="1168">
        <f t="shared" si="129"/>
        <v>0</v>
      </c>
      <c r="O973" s="930" t="s">
        <v>1460</v>
      </c>
      <c r="P973" s="932" t="str">
        <f>D973</f>
        <v>SX5-5205-3A</v>
      </c>
      <c r="Q973" s="540" t="str">
        <f t="shared" si="126"/>
        <v>-</v>
      </c>
      <c r="R973" s="536" t="str">
        <f t="shared" si="125"/>
        <v xml:space="preserve">پیچ ترکیبی شش گوش </v>
      </c>
      <c r="S973" s="586">
        <f t="shared" si="130"/>
        <v>2</v>
      </c>
      <c r="T973" s="350">
        <v>20</v>
      </c>
      <c r="U973" s="350">
        <v>22</v>
      </c>
      <c r="V973" s="350">
        <v>24</v>
      </c>
      <c r="W973" s="377" t="s">
        <v>5712</v>
      </c>
      <c r="X973" s="350" t="s">
        <v>5442</v>
      </c>
      <c r="Y973" s="350" t="s">
        <v>5718</v>
      </c>
      <c r="Z973" s="286"/>
      <c r="AA973" s="490"/>
    </row>
    <row r="974" spans="1:27" ht="27.75" customHeight="1">
      <c r="A974" s="1135" t="s">
        <v>5195</v>
      </c>
      <c r="B974" s="1222" t="s">
        <v>1327</v>
      </c>
      <c r="C974" s="1169" t="s">
        <v>1457</v>
      </c>
      <c r="D974" s="1142" t="s">
        <v>290</v>
      </c>
      <c r="E974" s="1221" t="s">
        <v>4974</v>
      </c>
      <c r="F974" s="1222">
        <v>1.3</v>
      </c>
      <c r="G974" s="997" t="s">
        <v>0</v>
      </c>
      <c r="H974" s="997" t="s">
        <v>291</v>
      </c>
      <c r="I974" s="997"/>
      <c r="J974" s="221" t="s">
        <v>1456</v>
      </c>
      <c r="K974" s="997">
        <v>1</v>
      </c>
      <c r="L974" s="222" t="s">
        <v>5807</v>
      </c>
      <c r="M974" s="194"/>
      <c r="N974" s="1135" t="str">
        <f>A974</f>
        <v>P78</v>
      </c>
      <c r="O974" s="1169" t="s">
        <v>1457</v>
      </c>
      <c r="P974" s="1142" t="s">
        <v>290</v>
      </c>
      <c r="Q974" s="524" t="str">
        <f t="shared" si="126"/>
        <v>SX5-6310050A</v>
      </c>
      <c r="R974" s="513" t="str">
        <f t="shared" si="125"/>
        <v>تیغه برف پاک کن عقب</v>
      </c>
      <c r="S974" s="586">
        <f t="shared" si="130"/>
        <v>1</v>
      </c>
      <c r="T974" s="469"/>
      <c r="U974" s="469"/>
      <c r="V974" s="469"/>
      <c r="W974" s="469"/>
      <c r="X974" s="227"/>
      <c r="Y974" s="227"/>
      <c r="Z974" s="469"/>
      <c r="AA974" s="487"/>
    </row>
    <row r="975" spans="1:27" ht="32.25" customHeight="1">
      <c r="A975" s="1136"/>
      <c r="B975" s="1151"/>
      <c r="C975" s="1154" t="s">
        <v>1248</v>
      </c>
      <c r="D975" s="1209"/>
      <c r="E975" s="1126"/>
      <c r="F975" s="1151"/>
      <c r="G975" s="952" t="s">
        <v>1</v>
      </c>
      <c r="H975" s="952" t="s">
        <v>18</v>
      </c>
      <c r="I975" s="952"/>
      <c r="J975" s="230" t="s">
        <v>1455</v>
      </c>
      <c r="K975" s="952">
        <v>1</v>
      </c>
      <c r="L975" s="231" t="s">
        <v>5971</v>
      </c>
      <c r="M975" s="194"/>
      <c r="N975" s="1136" t="str">
        <f t="shared" si="129"/>
        <v>P78</v>
      </c>
      <c r="O975" s="1116" t="s">
        <v>1248</v>
      </c>
      <c r="P975" s="1117"/>
      <c r="Q975" s="688" t="str">
        <f t="shared" si="126"/>
        <v>Q32008F36</v>
      </c>
      <c r="R975" s="680" t="str">
        <f t="shared" si="125"/>
        <v>مهره فلنجی</v>
      </c>
      <c r="S975" s="586">
        <f t="shared" si="130"/>
        <v>1</v>
      </c>
      <c r="T975" s="639">
        <v>11</v>
      </c>
      <c r="U975" s="639">
        <v>12</v>
      </c>
      <c r="V975" s="639">
        <v>13</v>
      </c>
      <c r="W975" s="591" t="s">
        <v>5719</v>
      </c>
      <c r="X975" s="639" t="s">
        <v>5435</v>
      </c>
      <c r="Y975" s="639" t="s">
        <v>5720</v>
      </c>
      <c r="Z975" s="673"/>
      <c r="AA975" s="736"/>
    </row>
    <row r="976" spans="1:27" ht="27" customHeight="1">
      <c r="A976" s="1136"/>
      <c r="B976" s="1151" t="s">
        <v>1327</v>
      </c>
      <c r="C976" s="1154" t="s">
        <v>1453</v>
      </c>
      <c r="D976" s="1209" t="s">
        <v>1452</v>
      </c>
      <c r="E976" s="1126"/>
      <c r="F976" s="1151">
        <v>1.5</v>
      </c>
      <c r="G976" s="952" t="s">
        <v>0</v>
      </c>
      <c r="H976" s="952" t="s">
        <v>5111</v>
      </c>
      <c r="I976" s="952"/>
      <c r="J976" s="230" t="s">
        <v>1451</v>
      </c>
      <c r="K976" s="952">
        <v>1</v>
      </c>
      <c r="L976" s="231" t="s">
        <v>5988</v>
      </c>
      <c r="M976" s="194"/>
      <c r="N976" s="1136">
        <f t="shared" si="129"/>
        <v>0</v>
      </c>
      <c r="O976" s="1116" t="s">
        <v>1453</v>
      </c>
      <c r="P976" s="1117" t="s">
        <v>1452</v>
      </c>
      <c r="Q976" s="688" t="str">
        <f t="shared" si="126"/>
        <v>SX5F-6302050KD-Y1</v>
      </c>
      <c r="R976" s="680" t="str">
        <f t="shared" si="125"/>
        <v>قاب تزئینی داخلی درب صندوق</v>
      </c>
      <c r="S976" s="586">
        <f t="shared" si="130"/>
        <v>1</v>
      </c>
      <c r="T976" s="673"/>
      <c r="U976" s="673"/>
      <c r="V976" s="673"/>
      <c r="W976" s="673"/>
      <c r="X976" s="590"/>
      <c r="Y976" s="590"/>
      <c r="Z976" s="673"/>
      <c r="AA976" s="736"/>
    </row>
    <row r="977" spans="1:27" ht="27" customHeight="1">
      <c r="A977" s="1136"/>
      <c r="B977" s="1151"/>
      <c r="C977" s="1154" t="s">
        <v>1248</v>
      </c>
      <c r="D977" s="1209"/>
      <c r="E977" s="1126"/>
      <c r="F977" s="1151"/>
      <c r="G977" s="952" t="s">
        <v>1</v>
      </c>
      <c r="H977" s="952" t="s">
        <v>1397</v>
      </c>
      <c r="I977" s="952"/>
      <c r="J977" s="230" t="s">
        <v>1396</v>
      </c>
      <c r="K977" s="952">
        <v>17</v>
      </c>
      <c r="L977" s="231" t="s">
        <v>5985</v>
      </c>
      <c r="M977" s="194"/>
      <c r="N977" s="1136">
        <f t="shared" si="129"/>
        <v>0</v>
      </c>
      <c r="O977" s="1116" t="s">
        <v>1248</v>
      </c>
      <c r="P977" s="1117"/>
      <c r="Q977" s="688" t="str">
        <f t="shared" si="126"/>
        <v>SX6A-5402934</v>
      </c>
      <c r="R977" s="680" t="str">
        <f t="shared" si="125"/>
        <v>مهره فشاری (خار)</v>
      </c>
      <c r="S977" s="586">
        <f t="shared" si="130"/>
        <v>17</v>
      </c>
      <c r="T977" s="673"/>
      <c r="U977" s="673"/>
      <c r="V977" s="673"/>
      <c r="W977" s="673"/>
      <c r="X977" s="590"/>
      <c r="Y977" s="590"/>
      <c r="Z977" s="673"/>
      <c r="AA977" s="736"/>
    </row>
    <row r="978" spans="1:27" ht="23.25" customHeight="1">
      <c r="A978" s="1136"/>
      <c r="B978" s="1151" t="s">
        <v>1327</v>
      </c>
      <c r="C978" s="1140" t="s">
        <v>1450</v>
      </c>
      <c r="D978" s="1141" t="s">
        <v>1449</v>
      </c>
      <c r="E978" s="1122"/>
      <c r="F978" s="1124">
        <v>0.4</v>
      </c>
      <c r="G978" s="952" t="s">
        <v>0</v>
      </c>
      <c r="H978" s="234" t="s">
        <v>5371</v>
      </c>
      <c r="I978" s="234"/>
      <c r="J978" s="232" t="s">
        <v>1448</v>
      </c>
      <c r="K978" s="952">
        <v>1</v>
      </c>
      <c r="L978" s="231" t="s">
        <v>5956</v>
      </c>
      <c r="M978" s="194"/>
      <c r="N978" s="1136">
        <f t="shared" si="129"/>
        <v>0</v>
      </c>
      <c r="O978" s="1192" t="s">
        <v>1450</v>
      </c>
      <c r="P978" s="1194" t="s">
        <v>1449</v>
      </c>
      <c r="Q978" s="688" t="str">
        <f t="shared" si="126"/>
        <v>T5 PLUS-LEQR01</v>
      </c>
      <c r="R978" s="680" t="str">
        <f t="shared" si="125"/>
        <v>برچسب QR Code</v>
      </c>
      <c r="S978" s="586">
        <f t="shared" si="130"/>
        <v>1</v>
      </c>
      <c r="T978" s="673"/>
      <c r="U978" s="673"/>
      <c r="V978" s="673"/>
      <c r="W978" s="673"/>
      <c r="X978" s="590"/>
      <c r="Y978" s="590"/>
      <c r="Z978" s="673"/>
      <c r="AA978" s="736"/>
    </row>
    <row r="979" spans="1:27" ht="27.95" customHeight="1">
      <c r="A979" s="1136"/>
      <c r="B979" s="1151"/>
      <c r="C979" s="1131"/>
      <c r="D979" s="1134"/>
      <c r="E979" s="1123"/>
      <c r="F979" s="1260"/>
      <c r="G979" s="233" t="s">
        <v>1</v>
      </c>
      <c r="H979" s="396" t="s">
        <v>1322</v>
      </c>
      <c r="I979" s="396"/>
      <c r="J979" s="232" t="s">
        <v>1321</v>
      </c>
      <c r="K979" s="385" t="s">
        <v>5164</v>
      </c>
      <c r="L979" s="231" t="s">
        <v>5992</v>
      </c>
      <c r="M979" s="194"/>
      <c r="N979" s="1136"/>
      <c r="O979" s="1192"/>
      <c r="P979" s="1194"/>
      <c r="Q979" s="688" t="str">
        <f t="shared" si="126"/>
        <v>C0811903EH</v>
      </c>
      <c r="R979" s="680" t="str">
        <f t="shared" si="125"/>
        <v>چربی بر</v>
      </c>
      <c r="S979" s="586" t="str">
        <f t="shared" si="130"/>
        <v>1.6 ml</v>
      </c>
      <c r="T979" s="673"/>
      <c r="U979" s="673"/>
      <c r="V979" s="673"/>
      <c r="W979" s="673"/>
      <c r="X979" s="590"/>
      <c r="Y979" s="590"/>
      <c r="Z979" s="673"/>
      <c r="AA979" s="736"/>
    </row>
    <row r="980" spans="1:27" ht="24.95" customHeight="1">
      <c r="A980" s="1136"/>
      <c r="B980" s="1329" t="s">
        <v>1327</v>
      </c>
      <c r="C980" s="1140" t="s">
        <v>1447</v>
      </c>
      <c r="D980" s="1141" t="s">
        <v>436</v>
      </c>
      <c r="E980" s="1122" t="s">
        <v>4974</v>
      </c>
      <c r="F980" s="1124">
        <v>1.2</v>
      </c>
      <c r="G980" s="952" t="s">
        <v>0</v>
      </c>
      <c r="H980" s="234" t="s">
        <v>437</v>
      </c>
      <c r="I980" s="234"/>
      <c r="J980" s="260" t="s">
        <v>1446</v>
      </c>
      <c r="K980" s="977">
        <v>1</v>
      </c>
      <c r="L980" s="231" t="s">
        <v>5973</v>
      </c>
      <c r="M980" s="194"/>
      <c r="N980" s="1136">
        <f t="shared" si="129"/>
        <v>0</v>
      </c>
      <c r="O980" s="1192" t="s">
        <v>1447</v>
      </c>
      <c r="P980" s="1194" t="s">
        <v>436</v>
      </c>
      <c r="Q980" s="688" t="str">
        <f t="shared" si="126"/>
        <v>SX5F-3903011</v>
      </c>
      <c r="R980" s="680" t="str">
        <f t="shared" si="125"/>
        <v>برچسب فشار باد لاستیک</v>
      </c>
      <c r="S980" s="586">
        <f t="shared" si="130"/>
        <v>1</v>
      </c>
      <c r="T980" s="639"/>
      <c r="U980" s="639"/>
      <c r="V980" s="639"/>
      <c r="W980" s="591"/>
      <c r="X980" s="639"/>
      <c r="Y980" s="639"/>
      <c r="Z980" s="673"/>
      <c r="AA980" s="736"/>
    </row>
    <row r="981" spans="1:27" ht="24.95" customHeight="1">
      <c r="A981" s="1136"/>
      <c r="B981" s="1330"/>
      <c r="C981" s="1130"/>
      <c r="D981" s="1133"/>
      <c r="E981" s="1165"/>
      <c r="F981" s="1297"/>
      <c r="G981" s="952" t="s">
        <v>1</v>
      </c>
      <c r="H981" s="234" t="s">
        <v>5370</v>
      </c>
      <c r="I981" s="234"/>
      <c r="J981" s="232" t="s">
        <v>1445</v>
      </c>
      <c r="K981" s="952">
        <v>1</v>
      </c>
      <c r="L981" s="231" t="s">
        <v>5973</v>
      </c>
      <c r="M981" s="194"/>
      <c r="N981" s="1136">
        <f t="shared" si="129"/>
        <v>0</v>
      </c>
      <c r="O981" s="1192"/>
      <c r="P981" s="1194"/>
      <c r="Q981" s="688" t="str">
        <f t="shared" si="126"/>
        <v>T5 PLUS-LECL01</v>
      </c>
      <c r="R981" s="680" t="str">
        <f t="shared" si="125"/>
        <v>برچسب مصرف انرژی</v>
      </c>
      <c r="S981" s="586">
        <f t="shared" si="130"/>
        <v>1</v>
      </c>
      <c r="T981" s="673"/>
      <c r="U981" s="673"/>
      <c r="V981" s="673"/>
      <c r="W981" s="673"/>
      <c r="X981" s="590"/>
      <c r="Y981" s="590"/>
      <c r="Z981" s="673"/>
      <c r="AA981" s="736"/>
    </row>
    <row r="982" spans="1:27" ht="24.95" customHeight="1">
      <c r="A982" s="1136"/>
      <c r="B982" s="1330"/>
      <c r="C982" s="1130"/>
      <c r="D982" s="1133"/>
      <c r="E982" s="1165"/>
      <c r="F982" s="1297"/>
      <c r="G982" s="952" t="s">
        <v>2</v>
      </c>
      <c r="H982" s="234" t="s">
        <v>1322</v>
      </c>
      <c r="I982" s="234"/>
      <c r="J982" s="232" t="s">
        <v>1321</v>
      </c>
      <c r="K982" s="385" t="s">
        <v>5164</v>
      </c>
      <c r="L982" s="231" t="s">
        <v>5992</v>
      </c>
      <c r="M982" s="194"/>
      <c r="N982" s="1136">
        <f t="shared" si="129"/>
        <v>0</v>
      </c>
      <c r="O982" s="1192"/>
      <c r="P982" s="1194"/>
      <c r="Q982" s="688" t="str">
        <f t="shared" si="126"/>
        <v>C0811903EH</v>
      </c>
      <c r="R982" s="680" t="str">
        <f t="shared" si="125"/>
        <v>چربی بر</v>
      </c>
      <c r="S982" s="586" t="str">
        <f t="shared" si="130"/>
        <v>1.6 ml</v>
      </c>
      <c r="T982" s="673"/>
      <c r="U982" s="673"/>
      <c r="V982" s="673"/>
      <c r="W982" s="673"/>
      <c r="X982" s="590"/>
      <c r="Y982" s="590"/>
      <c r="Z982" s="673"/>
      <c r="AA982" s="736"/>
    </row>
    <row r="983" spans="1:27" ht="24.95" customHeight="1">
      <c r="A983" s="1136"/>
      <c r="B983" s="1228" t="s">
        <v>1327</v>
      </c>
      <c r="C983" s="1256" t="s">
        <v>1444</v>
      </c>
      <c r="D983" s="1158" t="s">
        <v>1443</v>
      </c>
      <c r="E983" s="1328" t="s">
        <v>4974</v>
      </c>
      <c r="F983" s="1151">
        <v>1.83</v>
      </c>
      <c r="G983" s="233" t="s">
        <v>0</v>
      </c>
      <c r="H983" s="396" t="s">
        <v>1442</v>
      </c>
      <c r="I983" s="396"/>
      <c r="J983" s="232" t="s">
        <v>1441</v>
      </c>
      <c r="K983" s="554">
        <v>1</v>
      </c>
      <c r="L983" s="231" t="s">
        <v>5956</v>
      </c>
      <c r="M983" s="194"/>
      <c r="N983" s="1136">
        <f t="shared" si="129"/>
        <v>0</v>
      </c>
      <c r="O983" s="1192" t="s">
        <v>1444</v>
      </c>
      <c r="P983" s="1194" t="s">
        <v>1443</v>
      </c>
      <c r="Q983" s="688" t="str">
        <f t="shared" si="126"/>
        <v>SX5F-3921611</v>
      </c>
      <c r="R983" s="680" t="str">
        <f t="shared" si="125"/>
        <v>لوگوي متن T5</v>
      </c>
      <c r="S983" s="586">
        <f t="shared" si="130"/>
        <v>1</v>
      </c>
      <c r="T983" s="673"/>
      <c r="U983" s="673"/>
      <c r="V983" s="673"/>
      <c r="W983" s="673"/>
      <c r="X983" s="590"/>
      <c r="Y983" s="590"/>
      <c r="Z983" s="673"/>
      <c r="AA983" s="736"/>
    </row>
    <row r="984" spans="1:27" ht="24.95" customHeight="1">
      <c r="A984" s="1136"/>
      <c r="B984" s="1228"/>
      <c r="C984" s="1256"/>
      <c r="D984" s="1158"/>
      <c r="E984" s="1328"/>
      <c r="F984" s="1151"/>
      <c r="G984" s="233" t="s">
        <v>1</v>
      </c>
      <c r="H984" s="396" t="s">
        <v>5374</v>
      </c>
      <c r="I984" s="396"/>
      <c r="J984" s="232" t="s">
        <v>5373</v>
      </c>
      <c r="K984" s="554"/>
      <c r="L984" s="231" t="s">
        <v>5956</v>
      </c>
      <c r="M984" s="194"/>
      <c r="N984" s="1136"/>
      <c r="O984" s="1192"/>
      <c r="P984" s="1194"/>
      <c r="Q984" s="688" t="str">
        <f t="shared" si="126"/>
        <v>SX5-3921617A</v>
      </c>
      <c r="R984" s="680" t="str">
        <f t="shared" si="125"/>
        <v>لوگو پلاس</v>
      </c>
      <c r="S984" s="586">
        <f t="shared" si="130"/>
        <v>0</v>
      </c>
      <c r="T984" s="673"/>
      <c r="U984" s="673"/>
      <c r="V984" s="673"/>
      <c r="W984" s="673"/>
      <c r="X984" s="590"/>
      <c r="Y984" s="590"/>
      <c r="Z984" s="673"/>
      <c r="AA984" s="736"/>
    </row>
    <row r="985" spans="1:27" ht="24.95" customHeight="1">
      <c r="A985" s="1136"/>
      <c r="B985" s="1228"/>
      <c r="C985" s="1256"/>
      <c r="D985" s="1158"/>
      <c r="E985" s="1328"/>
      <c r="F985" s="1151"/>
      <c r="G985" s="233" t="s">
        <v>2</v>
      </c>
      <c r="H985" s="396" t="s">
        <v>1440</v>
      </c>
      <c r="I985" s="396"/>
      <c r="J985" s="232" t="s">
        <v>1439</v>
      </c>
      <c r="K985" s="385">
        <v>1</v>
      </c>
      <c r="L985" s="231" t="s">
        <v>5956</v>
      </c>
      <c r="M985" s="194"/>
      <c r="N985" s="1136">
        <f t="shared" si="129"/>
        <v>0</v>
      </c>
      <c r="O985" s="1192"/>
      <c r="P985" s="1194"/>
      <c r="Q985" s="688" t="str">
        <f t="shared" si="126"/>
        <v>SX5-T-BL-01</v>
      </c>
      <c r="R985" s="680" t="str">
        <f t="shared" si="125"/>
        <v>لوگوي متن FMC</v>
      </c>
      <c r="S985" s="586">
        <f t="shared" si="130"/>
        <v>1</v>
      </c>
      <c r="T985" s="673"/>
      <c r="U985" s="673"/>
      <c r="V985" s="673"/>
      <c r="W985" s="673"/>
      <c r="X985" s="590"/>
      <c r="Y985" s="590"/>
      <c r="Z985" s="673"/>
      <c r="AA985" s="736"/>
    </row>
    <row r="986" spans="1:27" ht="27.95" customHeight="1">
      <c r="A986" s="1136"/>
      <c r="B986" s="1228"/>
      <c r="C986" s="1256" t="s">
        <v>1248</v>
      </c>
      <c r="D986" s="1158"/>
      <c r="E986" s="1328"/>
      <c r="F986" s="1151"/>
      <c r="G986" s="233" t="s">
        <v>7</v>
      </c>
      <c r="H986" s="396" t="s">
        <v>1322</v>
      </c>
      <c r="I986" s="396"/>
      <c r="J986" s="232" t="s">
        <v>1321</v>
      </c>
      <c r="K986" s="385" t="s">
        <v>5164</v>
      </c>
      <c r="L986" s="231" t="s">
        <v>5992</v>
      </c>
      <c r="M986" s="194"/>
      <c r="N986" s="1136">
        <f t="shared" si="129"/>
        <v>0</v>
      </c>
      <c r="O986" s="1192" t="s">
        <v>1248</v>
      </c>
      <c r="P986" s="1194"/>
      <c r="Q986" s="688" t="str">
        <f t="shared" si="126"/>
        <v>C0811903EH</v>
      </c>
      <c r="R986" s="680" t="str">
        <f t="shared" si="125"/>
        <v>چربی بر</v>
      </c>
      <c r="S986" s="586" t="str">
        <f t="shared" si="130"/>
        <v>1.6 ml</v>
      </c>
      <c r="T986" s="673"/>
      <c r="U986" s="673"/>
      <c r="V986" s="673"/>
      <c r="W986" s="673"/>
      <c r="X986" s="590"/>
      <c r="Y986" s="590"/>
      <c r="Z986" s="673"/>
      <c r="AA986" s="736"/>
    </row>
    <row r="987" spans="1:27" ht="27.95" customHeight="1">
      <c r="A987" s="1136"/>
      <c r="B987" s="937" t="s">
        <v>1327</v>
      </c>
      <c r="C987" s="960" t="s">
        <v>5274</v>
      </c>
      <c r="D987" s="958" t="s">
        <v>5369</v>
      </c>
      <c r="E987" s="954"/>
      <c r="F987" s="925"/>
      <c r="G987" s="233" t="s">
        <v>0</v>
      </c>
      <c r="H987" s="396" t="s">
        <v>5275</v>
      </c>
      <c r="I987" s="396"/>
      <c r="J987" s="232" t="s">
        <v>5276</v>
      </c>
      <c r="K987" s="555">
        <v>1</v>
      </c>
      <c r="L987" s="231" t="s">
        <v>5956</v>
      </c>
      <c r="M987" s="194"/>
      <c r="N987" s="1136"/>
      <c r="O987" s="964" t="s">
        <v>5274</v>
      </c>
      <c r="P987" s="965" t="s">
        <v>5369</v>
      </c>
      <c r="Q987" s="688" t="str">
        <f t="shared" si="126"/>
        <v>M4-3921150S</v>
      </c>
      <c r="R987" s="680" t="str">
        <f t="shared" si="125"/>
        <v>لوگو درب موتور</v>
      </c>
      <c r="S987" s="586">
        <f t="shared" si="130"/>
        <v>1</v>
      </c>
      <c r="T987" s="673"/>
      <c r="U987" s="673"/>
      <c r="V987" s="673"/>
      <c r="W987" s="673"/>
      <c r="X987" s="590"/>
      <c r="Y987" s="590"/>
      <c r="Z987" s="673"/>
      <c r="AA987" s="736"/>
    </row>
    <row r="988" spans="1:27" ht="29.25" customHeight="1">
      <c r="A988" s="1136"/>
      <c r="B988" s="1138" t="s">
        <v>1327</v>
      </c>
      <c r="C988" s="1140" t="s">
        <v>1438</v>
      </c>
      <c r="D988" s="1141" t="s">
        <v>431</v>
      </c>
      <c r="E988" s="1331" t="s">
        <v>4973</v>
      </c>
      <c r="F988" s="1138">
        <v>0.2</v>
      </c>
      <c r="G988" s="952" t="s">
        <v>0</v>
      </c>
      <c r="H988" s="396" t="s">
        <v>1437</v>
      </c>
      <c r="I988" s="396"/>
      <c r="J988" s="232" t="s">
        <v>1436</v>
      </c>
      <c r="K988" s="313">
        <v>1</v>
      </c>
      <c r="L988" s="231" t="s">
        <v>5993</v>
      </c>
      <c r="M988" s="194"/>
      <c r="N988" s="1136">
        <f t="shared" si="129"/>
        <v>0</v>
      </c>
      <c r="O988" s="1192" t="s">
        <v>1438</v>
      </c>
      <c r="P988" s="1194" t="s">
        <v>431</v>
      </c>
      <c r="Q988" s="688" t="str">
        <f t="shared" si="126"/>
        <v>SX5-LFTL01</v>
      </c>
      <c r="R988" s="680" t="str">
        <f t="shared" si="125"/>
        <v>برچسب نوع سوخت مصرفی</v>
      </c>
      <c r="S988" s="586">
        <f t="shared" si="130"/>
        <v>1</v>
      </c>
      <c r="T988" s="673"/>
      <c r="U988" s="673"/>
      <c r="V988" s="673"/>
      <c r="W988" s="673"/>
      <c r="X988" s="590"/>
      <c r="Y988" s="590"/>
      <c r="Z988" s="673"/>
      <c r="AA988" s="736"/>
    </row>
    <row r="989" spans="1:27" ht="27.95" customHeight="1">
      <c r="A989" s="1335"/>
      <c r="B989" s="1139"/>
      <c r="C989" s="1131"/>
      <c r="D989" s="1134"/>
      <c r="E989" s="1323"/>
      <c r="F989" s="1139"/>
      <c r="G989" s="233" t="s">
        <v>1</v>
      </c>
      <c r="H989" s="396" t="s">
        <v>1322</v>
      </c>
      <c r="I989" s="396"/>
      <c r="J989" s="232" t="s">
        <v>1321</v>
      </c>
      <c r="K989" s="385" t="s">
        <v>5164</v>
      </c>
      <c r="L989" s="231" t="s">
        <v>5992</v>
      </c>
      <c r="M989" s="194"/>
      <c r="N989" s="1136"/>
      <c r="O989" s="1192"/>
      <c r="P989" s="1194"/>
      <c r="Q989" s="688" t="str">
        <f t="shared" si="126"/>
        <v>C0811903EH</v>
      </c>
      <c r="R989" s="680" t="str">
        <f t="shared" si="125"/>
        <v>چربی بر</v>
      </c>
      <c r="S989" s="586" t="str">
        <f t="shared" si="130"/>
        <v>1.6 ml</v>
      </c>
      <c r="T989" s="673"/>
      <c r="U989" s="673"/>
      <c r="V989" s="673"/>
      <c r="W989" s="673"/>
      <c r="X989" s="590"/>
      <c r="Y989" s="590"/>
      <c r="Z989" s="673"/>
      <c r="AA989" s="736"/>
    </row>
    <row r="990" spans="1:27" ht="45.75" customHeight="1" thickBot="1">
      <c r="A990" s="1137"/>
      <c r="B990" s="936" t="s">
        <v>1327</v>
      </c>
      <c r="C990" s="930" t="s">
        <v>1435</v>
      </c>
      <c r="D990" s="932" t="s">
        <v>1434</v>
      </c>
      <c r="E990" s="942"/>
      <c r="F990" s="936">
        <v>0.84</v>
      </c>
      <c r="G990" s="953" t="s">
        <v>0</v>
      </c>
      <c r="H990" s="953" t="s">
        <v>546</v>
      </c>
      <c r="I990" s="953"/>
      <c r="J990" s="272" t="s">
        <v>1433</v>
      </c>
      <c r="K990" s="1008">
        <v>1</v>
      </c>
      <c r="L990" s="250" t="s">
        <v>5994</v>
      </c>
      <c r="M990" s="194"/>
      <c r="N990" s="1137">
        <f t="shared" si="129"/>
        <v>0</v>
      </c>
      <c r="O990" s="930" t="s">
        <v>1435</v>
      </c>
      <c r="P990" s="932" t="s">
        <v>1434</v>
      </c>
      <c r="Q990" s="540" t="str">
        <f t="shared" si="126"/>
        <v>SX7-7802010A</v>
      </c>
      <c r="R990" s="536" t="str">
        <f t="shared" si="125"/>
        <v>طاقچه عقب</v>
      </c>
      <c r="S990" s="586">
        <f t="shared" si="130"/>
        <v>1</v>
      </c>
      <c r="T990" s="286"/>
      <c r="U990" s="286"/>
      <c r="V990" s="286"/>
      <c r="W990" s="286"/>
      <c r="X990" s="284"/>
      <c r="Y990" s="284"/>
      <c r="Z990" s="286"/>
      <c r="AA990" s="490"/>
    </row>
    <row r="991" spans="1:27" ht="28.5" customHeight="1">
      <c r="A991" s="1166" t="s">
        <v>1403</v>
      </c>
      <c r="B991" s="1218" t="s">
        <v>1331</v>
      </c>
      <c r="C991" s="1215" t="s">
        <v>1431</v>
      </c>
      <c r="D991" s="1211" t="s">
        <v>376</v>
      </c>
      <c r="E991" s="1219"/>
      <c r="F991" s="1218">
        <v>3.6</v>
      </c>
      <c r="G991" s="997" t="s">
        <v>0</v>
      </c>
      <c r="H991" s="997" t="s">
        <v>378</v>
      </c>
      <c r="I991" s="997"/>
      <c r="J991" s="221" t="s">
        <v>1430</v>
      </c>
      <c r="K991" s="997">
        <v>1</v>
      </c>
      <c r="L991" s="222" t="s">
        <v>5995</v>
      </c>
      <c r="M991" s="194"/>
      <c r="N991" s="1166" t="str">
        <f>A991</f>
        <v>P79</v>
      </c>
      <c r="O991" s="1169" t="s">
        <v>1431</v>
      </c>
      <c r="P991" s="1142" t="s">
        <v>376</v>
      </c>
      <c r="Q991" s="524" t="str">
        <f t="shared" si="126"/>
        <v>SX5-6107010C1</v>
      </c>
      <c r="R991" s="513" t="str">
        <f t="shared" si="125"/>
        <v>نوار آب بند درب جلو راست روی بدنه</v>
      </c>
      <c r="S991" s="586">
        <f t="shared" si="130"/>
        <v>1</v>
      </c>
      <c r="T991" s="469"/>
      <c r="U991" s="469"/>
      <c r="V991" s="469"/>
      <c r="W991" s="469"/>
      <c r="X991" s="227"/>
      <c r="Y991" s="227"/>
      <c r="Z991" s="469"/>
      <c r="AA991" s="487"/>
    </row>
    <row r="992" spans="1:27" ht="28.5" customHeight="1">
      <c r="A992" s="1167"/>
      <c r="B992" s="1227"/>
      <c r="C992" s="1201"/>
      <c r="D992" s="1202"/>
      <c r="E992" s="1165"/>
      <c r="F992" s="1227"/>
      <c r="G992" s="952" t="s">
        <v>0</v>
      </c>
      <c r="H992" s="952" t="s">
        <v>1429</v>
      </c>
      <c r="I992" s="952"/>
      <c r="J992" s="230" t="s">
        <v>1428</v>
      </c>
      <c r="K992" s="952">
        <v>1</v>
      </c>
      <c r="L992" s="231" t="s">
        <v>5996</v>
      </c>
      <c r="M992" s="194"/>
      <c r="N992" s="1167" t="str">
        <f t="shared" si="129"/>
        <v>P79</v>
      </c>
      <c r="O992" s="1116" t="s">
        <v>1248</v>
      </c>
      <c r="P992" s="1117"/>
      <c r="Q992" s="688" t="str">
        <f t="shared" si="126"/>
        <v>SX5-6107011C1</v>
      </c>
      <c r="R992" s="680" t="str">
        <f t="shared" si="125"/>
        <v>نوار آب بند درب جلو چپ روی بدنه</v>
      </c>
      <c r="S992" s="586">
        <f t="shared" si="130"/>
        <v>1</v>
      </c>
      <c r="T992" s="673"/>
      <c r="U992" s="673"/>
      <c r="V992" s="673"/>
      <c r="W992" s="673"/>
      <c r="X992" s="590"/>
      <c r="Y992" s="590"/>
      <c r="Z992" s="673"/>
      <c r="AA992" s="736"/>
    </row>
    <row r="993" spans="1:27" ht="28.5" customHeight="1">
      <c r="A993" s="1167"/>
      <c r="B993" s="1161"/>
      <c r="C993" s="1153"/>
      <c r="D993" s="1121"/>
      <c r="E993" s="1123"/>
      <c r="F993" s="1161"/>
      <c r="G993" s="941" t="s">
        <v>1</v>
      </c>
      <c r="H993" s="941" t="s">
        <v>492</v>
      </c>
      <c r="I993" s="941"/>
      <c r="J993" s="647" t="s">
        <v>6206</v>
      </c>
      <c r="K993" s="941">
        <v>4</v>
      </c>
      <c r="L993" s="802" t="s">
        <v>6161</v>
      </c>
      <c r="M993" s="194"/>
      <c r="N993" s="1167"/>
      <c r="O993" s="914"/>
      <c r="P993" s="915"/>
      <c r="Q993" s="688" t="str">
        <f t="shared" si="126"/>
        <v>Q2213513F38</v>
      </c>
      <c r="R993" s="680" t="str">
        <f t="shared" si="125"/>
        <v>پیچ کوتاه چهارسو خودکار</v>
      </c>
      <c r="S993" s="586">
        <f t="shared" si="130"/>
        <v>4</v>
      </c>
      <c r="T993" s="673"/>
      <c r="U993" s="673"/>
      <c r="V993" s="673"/>
      <c r="W993" s="673"/>
      <c r="X993" s="590"/>
      <c r="Y993" s="590"/>
      <c r="Z993" s="673"/>
      <c r="AA993" s="736"/>
    </row>
    <row r="994" spans="1:27" ht="28.5" customHeight="1">
      <c r="A994" s="1167"/>
      <c r="B994" s="1160" t="s">
        <v>1331</v>
      </c>
      <c r="C994" s="1152" t="s">
        <v>1427</v>
      </c>
      <c r="D994" s="1120" t="s">
        <v>379</v>
      </c>
      <c r="E994" s="1122"/>
      <c r="F994" s="1160">
        <v>3.6</v>
      </c>
      <c r="G994" s="952" t="s">
        <v>0</v>
      </c>
      <c r="H994" s="952" t="s">
        <v>1426</v>
      </c>
      <c r="I994" s="952"/>
      <c r="J994" s="230" t="s">
        <v>1425</v>
      </c>
      <c r="K994" s="952">
        <v>1</v>
      </c>
      <c r="L994" s="231" t="s">
        <v>5995</v>
      </c>
      <c r="M994" s="194"/>
      <c r="N994" s="1167">
        <f>A992</f>
        <v>0</v>
      </c>
      <c r="O994" s="1116" t="s">
        <v>1427</v>
      </c>
      <c r="P994" s="1117" t="s">
        <v>379</v>
      </c>
      <c r="Q994" s="688" t="str">
        <f t="shared" si="126"/>
        <v>SX5-6207010C1</v>
      </c>
      <c r="R994" s="680" t="str">
        <f t="shared" si="125"/>
        <v>نوار آب بند درب عقب راست روی بدنه</v>
      </c>
      <c r="S994" s="586">
        <f t="shared" si="130"/>
        <v>1</v>
      </c>
      <c r="T994" s="673"/>
      <c r="U994" s="673"/>
      <c r="V994" s="673"/>
      <c r="W994" s="673"/>
      <c r="X994" s="590"/>
      <c r="Y994" s="590"/>
      <c r="Z994" s="673"/>
      <c r="AA994" s="736"/>
    </row>
    <row r="995" spans="1:27" ht="28.5" customHeight="1">
      <c r="A995" s="1167"/>
      <c r="B995" s="1227"/>
      <c r="C995" s="1201"/>
      <c r="D995" s="1202"/>
      <c r="E995" s="1165"/>
      <c r="F995" s="1227"/>
      <c r="G995" s="952" t="s">
        <v>0</v>
      </c>
      <c r="H995" s="952" t="s">
        <v>1424</v>
      </c>
      <c r="I995" s="952"/>
      <c r="J995" s="230" t="s">
        <v>1423</v>
      </c>
      <c r="K995" s="952">
        <v>1</v>
      </c>
      <c r="L995" s="231" t="s">
        <v>5996</v>
      </c>
      <c r="M995" s="194"/>
      <c r="N995" s="1167">
        <f t="shared" si="129"/>
        <v>0</v>
      </c>
      <c r="O995" s="1116" t="s">
        <v>1248</v>
      </c>
      <c r="P995" s="1117"/>
      <c r="Q995" s="688" t="str">
        <f t="shared" si="126"/>
        <v>SX5-6207011C1</v>
      </c>
      <c r="R995" s="680" t="str">
        <f t="shared" si="125"/>
        <v>نوار آب بند درب عقب چپ روی بدنه</v>
      </c>
      <c r="S995" s="586">
        <f t="shared" si="130"/>
        <v>1</v>
      </c>
      <c r="T995" s="673"/>
      <c r="U995" s="673"/>
      <c r="V995" s="673"/>
      <c r="W995" s="673"/>
      <c r="X995" s="590"/>
      <c r="Y995" s="590"/>
      <c r="Z995" s="673"/>
      <c r="AA995" s="736"/>
    </row>
    <row r="996" spans="1:27" ht="28.5" customHeight="1">
      <c r="A996" s="1167"/>
      <c r="B996" s="1227"/>
      <c r="C996" s="1201"/>
      <c r="D996" s="1202"/>
      <c r="E996" s="1165"/>
      <c r="F996" s="1227"/>
      <c r="G996" s="941" t="s">
        <v>1</v>
      </c>
      <c r="H996" s="941" t="s">
        <v>492</v>
      </c>
      <c r="I996" s="941"/>
      <c r="J996" s="647" t="s">
        <v>6206</v>
      </c>
      <c r="K996" s="941">
        <v>2</v>
      </c>
      <c r="L996" s="1059" t="s">
        <v>6161</v>
      </c>
      <c r="M996" s="194"/>
      <c r="N996" s="1167"/>
      <c r="O996" s="914"/>
      <c r="P996" s="915"/>
      <c r="Q996" s="688"/>
      <c r="R996" s="680"/>
      <c r="S996" s="586">
        <f t="shared" si="130"/>
        <v>2</v>
      </c>
      <c r="T996" s="673"/>
      <c r="U996" s="673"/>
      <c r="V996" s="673"/>
      <c r="W996" s="673"/>
      <c r="X996" s="590"/>
      <c r="Y996" s="590"/>
      <c r="Z996" s="673"/>
      <c r="AA996" s="736"/>
    </row>
    <row r="997" spans="1:27" ht="28.5" customHeight="1">
      <c r="A997" s="1167"/>
      <c r="B997" s="1161"/>
      <c r="C997" s="1153"/>
      <c r="D997" s="1121"/>
      <c r="E997" s="1123"/>
      <c r="F997" s="1161"/>
      <c r="G997" s="941" t="s">
        <v>2</v>
      </c>
      <c r="H997" s="941" t="s">
        <v>455</v>
      </c>
      <c r="I997" s="941"/>
      <c r="J997" s="647" t="s">
        <v>6207</v>
      </c>
      <c r="K997" s="941">
        <v>2</v>
      </c>
      <c r="L997" s="1059" t="s">
        <v>6161</v>
      </c>
      <c r="M997" s="194"/>
      <c r="N997" s="1167"/>
      <c r="O997" s="914"/>
      <c r="P997" s="915"/>
      <c r="Q997" s="688"/>
      <c r="R997" s="680"/>
      <c r="S997" s="586">
        <f t="shared" si="130"/>
        <v>2</v>
      </c>
      <c r="T997" s="673"/>
      <c r="U997" s="673"/>
      <c r="V997" s="673"/>
      <c r="W997" s="673"/>
      <c r="X997" s="590"/>
      <c r="Y997" s="590"/>
      <c r="Z997" s="673"/>
      <c r="AA997" s="736"/>
    </row>
    <row r="998" spans="1:27" ht="44.25" customHeight="1">
      <c r="A998" s="1167"/>
      <c r="B998" s="949" t="s">
        <v>1331</v>
      </c>
      <c r="C998" s="929" t="s">
        <v>1422</v>
      </c>
      <c r="D998" s="931" t="s">
        <v>1421</v>
      </c>
      <c r="E998" s="939" t="s">
        <v>4973</v>
      </c>
      <c r="F998" s="935">
        <v>1.54</v>
      </c>
      <c r="G998" s="952" t="s">
        <v>1379</v>
      </c>
      <c r="H998" s="556" t="s">
        <v>1420</v>
      </c>
      <c r="I998" s="556"/>
      <c r="J998" s="230" t="s">
        <v>1419</v>
      </c>
      <c r="K998" s="952">
        <v>1</v>
      </c>
      <c r="L998" s="231" t="s">
        <v>5955</v>
      </c>
      <c r="M998" s="194"/>
      <c r="N998" s="1167">
        <f>A995</f>
        <v>0</v>
      </c>
      <c r="O998" s="914" t="s">
        <v>1422</v>
      </c>
      <c r="P998" s="915" t="s">
        <v>1421</v>
      </c>
      <c r="Q998" s="688" t="str">
        <f t="shared" si="126"/>
        <v>Q1421035TF36*1.25</v>
      </c>
      <c r="R998" s="680" t="str">
        <f t="shared" si="125"/>
        <v>پیچ سر شش گوش با واشر فنری</v>
      </c>
      <c r="S998" s="586">
        <f t="shared" si="130"/>
        <v>1</v>
      </c>
      <c r="T998" s="639">
        <v>48</v>
      </c>
      <c r="U998" s="700" t="s">
        <v>5721</v>
      </c>
      <c r="V998" s="639">
        <v>54</v>
      </c>
      <c r="W998" s="591" t="s">
        <v>5722</v>
      </c>
      <c r="X998" s="639" t="s">
        <v>5446</v>
      </c>
      <c r="Y998" s="639" t="s">
        <v>5723</v>
      </c>
      <c r="Z998" s="639" t="s">
        <v>5504</v>
      </c>
      <c r="AA998" s="731" t="s">
        <v>5724</v>
      </c>
    </row>
    <row r="999" spans="1:27" ht="28.5" customHeight="1">
      <c r="A999" s="1167"/>
      <c r="B999" s="1228" t="s">
        <v>1331</v>
      </c>
      <c r="C999" s="1154" t="s">
        <v>1418</v>
      </c>
      <c r="D999" s="1209" t="s">
        <v>1417</v>
      </c>
      <c r="E999" s="1126" t="s">
        <v>4973</v>
      </c>
      <c r="F999" s="1151">
        <v>0.86</v>
      </c>
      <c r="G999" s="952" t="s">
        <v>0</v>
      </c>
      <c r="H999" s="557" t="s">
        <v>5225</v>
      </c>
      <c r="I999" s="557"/>
      <c r="J999" s="230" t="s">
        <v>1416</v>
      </c>
      <c r="K999" s="952">
        <v>1</v>
      </c>
      <c r="L999" s="231" t="s">
        <v>5807</v>
      </c>
      <c r="M999" s="194"/>
      <c r="N999" s="1167">
        <f t="shared" si="129"/>
        <v>0</v>
      </c>
      <c r="O999" s="1116" t="s">
        <v>1418</v>
      </c>
      <c r="P999" s="1117" t="s">
        <v>1417</v>
      </c>
      <c r="Q999" s="688" t="str">
        <f t="shared" si="126"/>
        <v>SX5KCT-3402-0002A1</v>
      </c>
      <c r="R999" s="680" t="str">
        <f t="shared" si="125"/>
        <v>مجموعه غربیلک فرمان</v>
      </c>
      <c r="S999" s="586">
        <f t="shared" si="130"/>
        <v>1</v>
      </c>
      <c r="T999" s="673"/>
      <c r="U999" s="673"/>
      <c r="V999" s="673"/>
      <c r="W999" s="673"/>
      <c r="X999" s="590"/>
      <c r="Y999" s="590"/>
      <c r="Z999" s="673"/>
      <c r="AA999" s="736"/>
    </row>
    <row r="1000" spans="1:27" ht="28.5" customHeight="1" thickBot="1">
      <c r="A1000" s="1168"/>
      <c r="B1000" s="1237"/>
      <c r="C1000" s="1186" t="s">
        <v>1248</v>
      </c>
      <c r="D1000" s="1159"/>
      <c r="E1000" s="1214"/>
      <c r="F1000" s="1232"/>
      <c r="G1000" s="953" t="s">
        <v>1</v>
      </c>
      <c r="H1000" s="953" t="s">
        <v>1106</v>
      </c>
      <c r="I1000" s="953"/>
      <c r="J1000" s="272" t="s">
        <v>1415</v>
      </c>
      <c r="K1000" s="953">
        <v>1</v>
      </c>
      <c r="L1000" s="250" t="s">
        <v>5955</v>
      </c>
      <c r="M1000" s="194"/>
      <c r="N1000" s="1168">
        <f t="shared" si="129"/>
        <v>0</v>
      </c>
      <c r="O1000" s="1186" t="s">
        <v>1248</v>
      </c>
      <c r="P1000" s="1159"/>
      <c r="Q1000" s="540" t="str">
        <f t="shared" si="126"/>
        <v>B20-3402022</v>
      </c>
      <c r="R1000" s="536" t="str">
        <f t="shared" si="125"/>
        <v>مهره غربیلک فرمان</v>
      </c>
      <c r="S1000" s="586">
        <f t="shared" si="130"/>
        <v>1</v>
      </c>
      <c r="T1000" s="350">
        <v>32</v>
      </c>
      <c r="U1000" s="350">
        <v>35</v>
      </c>
      <c r="V1000" s="350">
        <v>38</v>
      </c>
      <c r="W1000" s="377" t="s">
        <v>5592</v>
      </c>
      <c r="X1000" s="350" t="s">
        <v>5688</v>
      </c>
      <c r="Y1000" s="350" t="s">
        <v>5725</v>
      </c>
      <c r="Z1000" s="350"/>
      <c r="AA1000" s="537"/>
    </row>
    <row r="1001" spans="1:27" ht="42" customHeight="1">
      <c r="A1001" s="1332" t="s">
        <v>1381</v>
      </c>
      <c r="B1001" s="992" t="s">
        <v>5065</v>
      </c>
      <c r="C1001" s="558" t="s">
        <v>1414</v>
      </c>
      <c r="D1001" s="967" t="s">
        <v>1413</v>
      </c>
      <c r="E1001" s="1000" t="s">
        <v>37</v>
      </c>
      <c r="F1001" s="946">
        <v>3</v>
      </c>
      <c r="G1001" s="559" t="s">
        <v>1371</v>
      </c>
      <c r="H1001" s="379" t="s">
        <v>1411</v>
      </c>
      <c r="I1001" s="379" t="s">
        <v>1412</v>
      </c>
      <c r="J1001" s="256" t="s">
        <v>1411</v>
      </c>
      <c r="K1001" s="255" t="s">
        <v>1371</v>
      </c>
      <c r="L1001" s="257"/>
      <c r="M1001" s="194"/>
      <c r="N1001" s="1166" t="str">
        <f>A1001</f>
        <v>P80</v>
      </c>
      <c r="O1001" s="966" t="s">
        <v>1414</v>
      </c>
      <c r="P1001" s="967" t="s">
        <v>1413</v>
      </c>
      <c r="Q1001" s="524" t="str">
        <f t="shared" si="126"/>
        <v>-------</v>
      </c>
      <c r="R1001" s="513" t="str">
        <f t="shared" si="125"/>
        <v>-------</v>
      </c>
      <c r="S1001" s="586" t="str">
        <f t="shared" si="130"/>
        <v>---</v>
      </c>
      <c r="T1001" s="393">
        <v>18</v>
      </c>
      <c r="U1001" s="393">
        <v>20</v>
      </c>
      <c r="V1001" s="393">
        <v>22</v>
      </c>
      <c r="W1001" s="394" t="s">
        <v>5726</v>
      </c>
      <c r="X1001" s="393" t="s">
        <v>5727</v>
      </c>
      <c r="Y1001" s="393" t="s">
        <v>5728</v>
      </c>
      <c r="Z1001" s="469"/>
      <c r="AA1001" s="487"/>
    </row>
    <row r="1002" spans="1:27" ht="42" customHeight="1">
      <c r="A1002" s="1333"/>
      <c r="B1002" s="933" t="s">
        <v>5065</v>
      </c>
      <c r="C1002" s="560" t="s">
        <v>1410</v>
      </c>
      <c r="D1002" s="995" t="s">
        <v>6008</v>
      </c>
      <c r="E1002" s="1001" t="s">
        <v>37</v>
      </c>
      <c r="F1002" s="935">
        <v>4.43</v>
      </c>
      <c r="G1002" s="493" t="s">
        <v>1371</v>
      </c>
      <c r="H1002" s="493" t="s">
        <v>1256</v>
      </c>
      <c r="I1002" s="493"/>
      <c r="J1002" s="561" t="s">
        <v>1256</v>
      </c>
      <c r="K1002" s="385"/>
      <c r="L1002" s="419"/>
      <c r="M1002" s="194"/>
      <c r="N1002" s="1167" t="str">
        <f t="shared" si="129"/>
        <v>P80</v>
      </c>
      <c r="O1002" s="964" t="s">
        <v>1410</v>
      </c>
      <c r="P1002" s="965" t="s">
        <v>5771</v>
      </c>
      <c r="Q1002" s="688" t="str">
        <f t="shared" si="126"/>
        <v>-----</v>
      </c>
      <c r="R1002" s="680" t="str">
        <f t="shared" si="125"/>
        <v>-----</v>
      </c>
      <c r="S1002" s="586">
        <f t="shared" si="130"/>
        <v>0</v>
      </c>
      <c r="T1002" s="673"/>
      <c r="U1002" s="673"/>
      <c r="V1002" s="673"/>
      <c r="W1002" s="673"/>
      <c r="X1002" s="590"/>
      <c r="Y1002" s="590"/>
      <c r="Z1002" s="673"/>
      <c r="AA1002" s="736"/>
    </row>
    <row r="1003" spans="1:27" ht="42" customHeight="1">
      <c r="A1003" s="1333"/>
      <c r="B1003" s="933" t="s">
        <v>5065</v>
      </c>
      <c r="C1003" s="562" t="s">
        <v>1409</v>
      </c>
      <c r="D1003" s="995" t="s">
        <v>6192</v>
      </c>
      <c r="E1003" s="1001" t="s">
        <v>37</v>
      </c>
      <c r="F1003" s="935">
        <v>1.58</v>
      </c>
      <c r="G1003" s="493" t="s">
        <v>1371</v>
      </c>
      <c r="H1003" s="493" t="s">
        <v>1256</v>
      </c>
      <c r="I1003" s="493"/>
      <c r="J1003" s="561" t="s">
        <v>1256</v>
      </c>
      <c r="K1003" s="385"/>
      <c r="L1003" s="419"/>
      <c r="M1003" s="194"/>
      <c r="N1003" s="1167">
        <f t="shared" si="129"/>
        <v>0</v>
      </c>
      <c r="O1003" s="708" t="s">
        <v>1409</v>
      </c>
      <c r="P1003" s="965" t="s">
        <v>1408</v>
      </c>
      <c r="Q1003" s="688" t="str">
        <f t="shared" si="126"/>
        <v>-----</v>
      </c>
      <c r="R1003" s="680" t="str">
        <f t="shared" ref="R1003:R1069" si="132">J1003</f>
        <v>-----</v>
      </c>
      <c r="S1003" s="586">
        <f t="shared" si="130"/>
        <v>0</v>
      </c>
      <c r="T1003" s="673"/>
      <c r="U1003" s="673"/>
      <c r="V1003" s="673"/>
      <c r="W1003" s="673"/>
      <c r="X1003" s="590"/>
      <c r="Y1003" s="590"/>
      <c r="Z1003" s="673"/>
      <c r="AA1003" s="736"/>
    </row>
    <row r="1004" spans="1:27" ht="42" customHeight="1">
      <c r="A1004" s="1333"/>
      <c r="B1004" s="933" t="s">
        <v>5065</v>
      </c>
      <c r="C1004" s="560" t="s">
        <v>6187</v>
      </c>
      <c r="D1004" s="995" t="s">
        <v>6184</v>
      </c>
      <c r="E1004" s="1001" t="s">
        <v>37</v>
      </c>
      <c r="F1004" s="935"/>
      <c r="G1004" s="493" t="s">
        <v>1371</v>
      </c>
      <c r="H1004" s="493" t="s">
        <v>1256</v>
      </c>
      <c r="I1004" s="493"/>
      <c r="J1004" s="561" t="s">
        <v>1256</v>
      </c>
      <c r="K1004" s="385"/>
      <c r="L1004" s="419"/>
      <c r="M1004" s="194"/>
      <c r="N1004" s="1167"/>
      <c r="O1004" s="964" t="str">
        <f>C1004</f>
        <v>آپدیت مانیتور T5Plus</v>
      </c>
      <c r="P1004" s="859" t="str">
        <f>D1004</f>
        <v>T5P-5504-10</v>
      </c>
      <c r="Q1004" s="688" t="str">
        <f t="shared" si="126"/>
        <v>-----</v>
      </c>
      <c r="R1004" s="680" t="str">
        <f t="shared" si="132"/>
        <v>-----</v>
      </c>
      <c r="S1004" s="586">
        <f t="shared" si="130"/>
        <v>0</v>
      </c>
      <c r="T1004" s="673"/>
      <c r="U1004" s="673"/>
      <c r="V1004" s="673"/>
      <c r="W1004" s="673"/>
      <c r="X1004" s="590"/>
      <c r="Y1004" s="590"/>
      <c r="Z1004" s="673"/>
      <c r="AA1004" s="736"/>
    </row>
    <row r="1005" spans="1:27" ht="42" customHeight="1">
      <c r="A1005" s="1333"/>
      <c r="B1005" s="933" t="s">
        <v>1258</v>
      </c>
      <c r="C1005" s="562" t="s">
        <v>1407</v>
      </c>
      <c r="D1005" s="995" t="s">
        <v>6009</v>
      </c>
      <c r="E1005" s="1001" t="s">
        <v>37</v>
      </c>
      <c r="F1005" s="935">
        <v>2.0099999999999998</v>
      </c>
      <c r="G1005" s="493" t="s">
        <v>1371</v>
      </c>
      <c r="H1005" s="493" t="s">
        <v>1256</v>
      </c>
      <c r="I1005" s="493"/>
      <c r="J1005" s="561" t="s">
        <v>1256</v>
      </c>
      <c r="K1005" s="385"/>
      <c r="L1005" s="419"/>
      <c r="M1005" s="194"/>
      <c r="N1005" s="1167">
        <f t="shared" si="129"/>
        <v>0</v>
      </c>
      <c r="O1005" s="708" t="s">
        <v>1407</v>
      </c>
      <c r="P1005" s="965" t="s">
        <v>1406</v>
      </c>
      <c r="Q1005" s="688" t="str">
        <f t="shared" si="126"/>
        <v>-----</v>
      </c>
      <c r="R1005" s="680" t="str">
        <f t="shared" si="132"/>
        <v>-----</v>
      </c>
      <c r="S1005" s="586">
        <f t="shared" si="130"/>
        <v>0</v>
      </c>
      <c r="T1005" s="673"/>
      <c r="U1005" s="673"/>
      <c r="V1005" s="673"/>
      <c r="W1005" s="673"/>
      <c r="X1005" s="590"/>
      <c r="Y1005" s="590"/>
      <c r="Z1005" s="673"/>
      <c r="AA1005" s="736"/>
    </row>
    <row r="1006" spans="1:27" ht="42" customHeight="1">
      <c r="A1006" s="1334"/>
      <c r="B1006" s="993" t="s">
        <v>1258</v>
      </c>
      <c r="C1006" s="562" t="s">
        <v>6185</v>
      </c>
      <c r="D1006" s="965" t="s">
        <v>6186</v>
      </c>
      <c r="E1006" s="978"/>
      <c r="F1006" s="925"/>
      <c r="G1006" s="563"/>
      <c r="H1006" s="563"/>
      <c r="I1006" s="563"/>
      <c r="J1006" s="564"/>
      <c r="K1006" s="565"/>
      <c r="L1006" s="566"/>
      <c r="M1006" s="194"/>
      <c r="N1006" s="1167"/>
      <c r="O1006" s="708" t="str">
        <f>C1006</f>
        <v>فعال سازی GSI</v>
      </c>
      <c r="P1006" s="858" t="str">
        <f>D1006</f>
        <v>T5P-5504-11</v>
      </c>
      <c r="Q1006" s="688"/>
      <c r="R1006" s="680"/>
      <c r="S1006" s="586">
        <f t="shared" si="130"/>
        <v>0</v>
      </c>
      <c r="T1006" s="673"/>
      <c r="U1006" s="673"/>
      <c r="V1006" s="673"/>
      <c r="W1006" s="673"/>
      <c r="X1006" s="590"/>
      <c r="Y1006" s="590"/>
      <c r="Z1006" s="673"/>
      <c r="AA1006" s="736"/>
    </row>
    <row r="1007" spans="1:27" ht="43.5" customHeight="1">
      <c r="A1007" s="1334"/>
      <c r="B1007" s="933" t="s">
        <v>1258</v>
      </c>
      <c r="C1007" s="947" t="s">
        <v>6013</v>
      </c>
      <c r="D1007" s="948" t="s">
        <v>6010</v>
      </c>
      <c r="E1007" s="978"/>
      <c r="F1007" s="925"/>
      <c r="G1007" s="563"/>
      <c r="H1007" s="563"/>
      <c r="I1007" s="563"/>
      <c r="J1007" s="564"/>
      <c r="K1007" s="565"/>
      <c r="L1007" s="566"/>
      <c r="M1007" s="194"/>
      <c r="N1007" s="1167"/>
      <c r="O1007" s="962" t="s">
        <v>6013</v>
      </c>
      <c r="P1007" s="860" t="s">
        <v>6010</v>
      </c>
      <c r="Q1007" s="688"/>
      <c r="R1007" s="680"/>
      <c r="S1007" s="586">
        <f t="shared" si="130"/>
        <v>0</v>
      </c>
      <c r="T1007" s="673"/>
      <c r="U1007" s="673"/>
      <c r="V1007" s="673"/>
      <c r="W1007" s="673"/>
      <c r="X1007" s="590"/>
      <c r="Y1007" s="590"/>
      <c r="Z1007" s="673"/>
      <c r="AA1007" s="736"/>
    </row>
    <row r="1008" spans="1:27" ht="39" customHeight="1" thickBot="1">
      <c r="A1008" s="1334"/>
      <c r="B1008" s="1076" t="s">
        <v>1258</v>
      </c>
      <c r="C1008" s="1085" t="s">
        <v>1405</v>
      </c>
      <c r="D1008" s="1063" t="s">
        <v>583</v>
      </c>
      <c r="E1008" s="1064"/>
      <c r="F1008" s="1060">
        <v>0.35</v>
      </c>
      <c r="G1008" s="1065" t="s">
        <v>0</v>
      </c>
      <c r="H1008" s="1065" t="s">
        <v>5067</v>
      </c>
      <c r="I1008" s="1081" t="s">
        <v>6114</v>
      </c>
      <c r="J1008" s="241" t="s">
        <v>1404</v>
      </c>
      <c r="K1008" s="1065">
        <v>2</v>
      </c>
      <c r="L1008" s="785" t="s">
        <v>5997</v>
      </c>
      <c r="M1008" s="194"/>
      <c r="N1008" s="1336">
        <f>A1005</f>
        <v>0</v>
      </c>
      <c r="O1008" s="1062" t="s">
        <v>1405</v>
      </c>
      <c r="P1008" s="1063" t="s">
        <v>583</v>
      </c>
      <c r="Q1008" s="790" t="str">
        <f t="shared" si="126"/>
        <v>SX7E-3791240</v>
      </c>
      <c r="R1008" s="791" t="str">
        <f t="shared" si="132"/>
        <v>مجموعه کلید هوشمند</v>
      </c>
      <c r="S1008" s="792">
        <f t="shared" si="130"/>
        <v>2</v>
      </c>
      <c r="T1008" s="412"/>
      <c r="U1008" s="412"/>
      <c r="V1008" s="412"/>
      <c r="W1008" s="412"/>
      <c r="X1008" s="793"/>
      <c r="Y1008" s="793"/>
      <c r="Z1008" s="412"/>
      <c r="AA1008" s="794"/>
    </row>
    <row r="1009" spans="1:34" ht="30.75" customHeight="1">
      <c r="A1009" s="1166" t="s">
        <v>6126</v>
      </c>
      <c r="B1009" s="1222" t="s">
        <v>1258</v>
      </c>
      <c r="C1009" s="1169" t="s">
        <v>1402</v>
      </c>
      <c r="D1009" s="1142" t="s">
        <v>1401</v>
      </c>
      <c r="E1009" s="1221"/>
      <c r="F1009" s="1222">
        <v>1.87</v>
      </c>
      <c r="G1009" s="1083" t="s">
        <v>0</v>
      </c>
      <c r="H1009" s="1083" t="s">
        <v>197</v>
      </c>
      <c r="I1009" s="1083"/>
      <c r="J1009" s="221" t="s">
        <v>1400</v>
      </c>
      <c r="K1009" s="1083">
        <v>1</v>
      </c>
      <c r="L1009" s="222" t="s">
        <v>5998</v>
      </c>
      <c r="M1009" s="194"/>
      <c r="N1009" s="1166" t="str">
        <f>A1009</f>
        <v>P81</v>
      </c>
      <c r="O1009" s="1169" t="s">
        <v>1402</v>
      </c>
      <c r="P1009" s="1142" t="s">
        <v>1401</v>
      </c>
      <c r="Q1009" s="524" t="str">
        <f t="shared" si="126"/>
        <v>SX5F-5504110</v>
      </c>
      <c r="R1009" s="513" t="str">
        <f t="shared" si="132"/>
        <v>قاب رکاب چپ</v>
      </c>
      <c r="S1009" s="225">
        <f t="shared" si="130"/>
        <v>1</v>
      </c>
      <c r="T1009" s="469"/>
      <c r="U1009" s="469"/>
      <c r="V1009" s="469"/>
      <c r="W1009" s="469"/>
      <c r="X1009" s="227"/>
      <c r="Y1009" s="227"/>
      <c r="Z1009" s="469"/>
      <c r="AA1009" s="487"/>
    </row>
    <row r="1010" spans="1:34" ht="30.75" customHeight="1">
      <c r="A1010" s="1167"/>
      <c r="B1010" s="1115"/>
      <c r="C1010" s="1116" t="s">
        <v>1248</v>
      </c>
      <c r="D1010" s="1117"/>
      <c r="E1010" s="1118"/>
      <c r="F1010" s="1115"/>
      <c r="G1010" s="1082" t="s">
        <v>0</v>
      </c>
      <c r="H1010" s="1082" t="s">
        <v>1399</v>
      </c>
      <c r="I1010" s="1082"/>
      <c r="J1010" s="647" t="s">
        <v>1398</v>
      </c>
      <c r="K1010" s="1082">
        <v>1</v>
      </c>
      <c r="L1010" s="802" t="s">
        <v>5998</v>
      </c>
      <c r="M1010" s="194"/>
      <c r="N1010" s="1167"/>
      <c r="O1010" s="1116" t="s">
        <v>1248</v>
      </c>
      <c r="P1010" s="1117"/>
      <c r="Q1010" s="688" t="str">
        <f t="shared" si="126"/>
        <v>SX5F-5504120</v>
      </c>
      <c r="R1010" s="680" t="str">
        <f t="shared" si="132"/>
        <v>قاب رکاب راست</v>
      </c>
      <c r="S1010" s="586">
        <f t="shared" si="130"/>
        <v>1</v>
      </c>
      <c r="T1010" s="673"/>
      <c r="U1010" s="673"/>
      <c r="V1010" s="673"/>
      <c r="W1010" s="673"/>
      <c r="X1010" s="590"/>
      <c r="Y1010" s="590"/>
      <c r="Z1010" s="673"/>
      <c r="AA1010" s="736"/>
    </row>
    <row r="1011" spans="1:34" ht="30.75" customHeight="1">
      <c r="A1011" s="1167"/>
      <c r="B1011" s="1115"/>
      <c r="C1011" s="1116" t="s">
        <v>1248</v>
      </c>
      <c r="D1011" s="1117"/>
      <c r="E1011" s="1118"/>
      <c r="F1011" s="1115"/>
      <c r="G1011" s="1082" t="s">
        <v>1</v>
      </c>
      <c r="H1011" s="1082" t="s">
        <v>1397</v>
      </c>
      <c r="I1011" s="1082"/>
      <c r="J1011" s="647" t="s">
        <v>1396</v>
      </c>
      <c r="K1011" s="1082">
        <v>16</v>
      </c>
      <c r="L1011" s="802" t="s">
        <v>5985</v>
      </c>
      <c r="M1011" s="194"/>
      <c r="N1011" s="1167"/>
      <c r="O1011" s="1116" t="s">
        <v>1248</v>
      </c>
      <c r="P1011" s="1117"/>
      <c r="Q1011" s="688" t="str">
        <f t="shared" si="126"/>
        <v>SX6A-5402934</v>
      </c>
      <c r="R1011" s="680" t="str">
        <f t="shared" si="132"/>
        <v>مهره فشاری (خار)</v>
      </c>
      <c r="S1011" s="586">
        <f t="shared" si="130"/>
        <v>16</v>
      </c>
      <c r="T1011" s="673"/>
      <c r="U1011" s="673"/>
      <c r="V1011" s="673"/>
      <c r="W1011" s="673"/>
      <c r="X1011" s="590"/>
      <c r="Y1011" s="590"/>
      <c r="Z1011" s="673"/>
      <c r="AA1011" s="736"/>
    </row>
    <row r="1012" spans="1:34" ht="30.75" customHeight="1">
      <c r="A1012" s="1167"/>
      <c r="B1012" s="1268" t="s">
        <v>1258</v>
      </c>
      <c r="C1012" s="1116" t="s">
        <v>1395</v>
      </c>
      <c r="D1012" s="1117" t="s">
        <v>195</v>
      </c>
      <c r="E1012" s="1118"/>
      <c r="F1012" s="1115">
        <v>2.4500000000000002</v>
      </c>
      <c r="G1012" s="1082" t="s">
        <v>1</v>
      </c>
      <c r="H1012" s="846" t="s">
        <v>1393</v>
      </c>
      <c r="I1012" s="846"/>
      <c r="J1012" s="647" t="s">
        <v>1394</v>
      </c>
      <c r="K1012" s="1082">
        <v>1</v>
      </c>
      <c r="L1012" s="829"/>
      <c r="M1012" s="194"/>
      <c r="N1012" s="1167"/>
      <c r="O1012" s="1116" t="s">
        <v>1395</v>
      </c>
      <c r="P1012" s="1117" t="s">
        <v>195</v>
      </c>
      <c r="Q1012" s="688" t="str">
        <f t="shared" si="126"/>
        <v>-</v>
      </c>
      <c r="R1012" s="680" t="str">
        <f t="shared" si="132"/>
        <v>قاب رکاب چپ-ساب شده</v>
      </c>
      <c r="S1012" s="586">
        <f t="shared" si="130"/>
        <v>1</v>
      </c>
      <c r="T1012" s="673"/>
      <c r="U1012" s="673"/>
      <c r="V1012" s="673"/>
      <c r="W1012" s="673"/>
      <c r="X1012" s="590"/>
      <c r="Y1012" s="590"/>
      <c r="Z1012" s="673"/>
      <c r="AA1012" s="736"/>
    </row>
    <row r="1013" spans="1:34" ht="30.75" customHeight="1">
      <c r="A1013" s="1167"/>
      <c r="B1013" s="1268"/>
      <c r="C1013" s="1116" t="s">
        <v>1248</v>
      </c>
      <c r="D1013" s="1117"/>
      <c r="E1013" s="1118"/>
      <c r="F1013" s="1115"/>
      <c r="G1013" s="1082" t="s">
        <v>1</v>
      </c>
      <c r="H1013" s="846" t="s">
        <v>1393</v>
      </c>
      <c r="I1013" s="846"/>
      <c r="J1013" s="647" t="s">
        <v>1392</v>
      </c>
      <c r="K1013" s="1082">
        <v>1</v>
      </c>
      <c r="L1013" s="829"/>
      <c r="M1013" s="194"/>
      <c r="N1013" s="1167"/>
      <c r="O1013" s="1116" t="s">
        <v>1248</v>
      </c>
      <c r="P1013" s="1117"/>
      <c r="Q1013" s="688" t="str">
        <f t="shared" si="126"/>
        <v>-</v>
      </c>
      <c r="R1013" s="680" t="str">
        <f t="shared" si="132"/>
        <v>قاب رکاب راست-ساب شده</v>
      </c>
      <c r="S1013" s="586">
        <f t="shared" si="130"/>
        <v>1</v>
      </c>
      <c r="T1013" s="673"/>
      <c r="U1013" s="673"/>
      <c r="V1013" s="673"/>
      <c r="W1013" s="673"/>
      <c r="X1013" s="590"/>
      <c r="Y1013" s="590"/>
      <c r="Z1013" s="673"/>
      <c r="AA1013" s="736"/>
    </row>
    <row r="1014" spans="1:34" ht="30.75" customHeight="1">
      <c r="A1014" s="1167"/>
      <c r="B1014" s="1080" t="s">
        <v>1258</v>
      </c>
      <c r="C1014" s="1068" t="s">
        <v>1718</v>
      </c>
      <c r="D1014" s="1069" t="s">
        <v>433</v>
      </c>
      <c r="E1014" s="1073"/>
      <c r="F1014" s="1075">
        <v>0.20294499999999999</v>
      </c>
      <c r="G1014" s="1082" t="s">
        <v>0</v>
      </c>
      <c r="H1014" s="1084" t="s">
        <v>5091</v>
      </c>
      <c r="I1014" s="1084"/>
      <c r="J1014" s="647" t="s">
        <v>1717</v>
      </c>
      <c r="K1014" s="1082">
        <v>1</v>
      </c>
      <c r="L1014" s="802" t="s">
        <v>5998</v>
      </c>
      <c r="M1014" s="194"/>
      <c r="N1014" s="1167"/>
      <c r="O1014" s="1068" t="s">
        <v>1718</v>
      </c>
      <c r="P1014" s="1069" t="s">
        <v>433</v>
      </c>
      <c r="Q1014" s="688" t="str">
        <f t="shared" si="126"/>
        <v>SX3A-5109210ES</v>
      </c>
      <c r="R1014" s="680" t="str">
        <f t="shared" si="132"/>
        <v>موکت کف صندوق</v>
      </c>
      <c r="S1014" s="586">
        <f t="shared" si="130"/>
        <v>1</v>
      </c>
      <c r="T1014" s="673"/>
      <c r="U1014" s="673"/>
      <c r="V1014" s="673"/>
      <c r="W1014" s="673"/>
      <c r="X1014" s="590"/>
      <c r="Y1014" s="590"/>
      <c r="Z1014" s="673"/>
      <c r="AA1014" s="736"/>
    </row>
    <row r="1015" spans="1:34" s="410" customFormat="1" ht="39.75" customHeight="1">
      <c r="A1015" s="1167"/>
      <c r="B1015" s="1115" t="s">
        <v>1258</v>
      </c>
      <c r="C1015" s="1116" t="s">
        <v>5293</v>
      </c>
      <c r="D1015" s="1117" t="s">
        <v>5292</v>
      </c>
      <c r="E1015" s="1118"/>
      <c r="F1015" s="1119"/>
      <c r="G1015" s="1082" t="s">
        <v>0</v>
      </c>
      <c r="H1015" s="1082" t="s">
        <v>5232</v>
      </c>
      <c r="I1015" s="1082"/>
      <c r="J1015" s="799" t="s">
        <v>5294</v>
      </c>
      <c r="K1015" s="1082">
        <v>1</v>
      </c>
      <c r="L1015" s="802" t="s">
        <v>5925</v>
      </c>
      <c r="M1015" s="194"/>
      <c r="N1015" s="1167"/>
      <c r="O1015" s="1116" t="s">
        <v>5293</v>
      </c>
      <c r="P1015" s="1117" t="s">
        <v>5292</v>
      </c>
      <c r="Q1015" s="586" t="s">
        <v>5232</v>
      </c>
      <c r="R1015" s="605" t="s">
        <v>5294</v>
      </c>
      <c r="S1015" s="586">
        <v>1</v>
      </c>
      <c r="T1015" s="656"/>
      <c r="U1015" s="656"/>
      <c r="V1015" s="656"/>
      <c r="W1015" s="586"/>
      <c r="X1015" s="663"/>
      <c r="Y1015" s="660"/>
      <c r="Z1015" s="589"/>
      <c r="AA1015" s="724"/>
      <c r="AB1015" s="194"/>
      <c r="AC1015" s="194"/>
      <c r="AD1015" s="194"/>
      <c r="AE1015" s="194"/>
      <c r="AF1015" s="194"/>
      <c r="AG1015" s="194"/>
      <c r="AH1015" s="194"/>
    </row>
    <row r="1016" spans="1:34" s="410" customFormat="1" ht="39.75" customHeight="1">
      <c r="A1016" s="1167"/>
      <c r="B1016" s="1115"/>
      <c r="C1016" s="1116"/>
      <c r="D1016" s="1117"/>
      <c r="E1016" s="1118"/>
      <c r="F1016" s="1119"/>
      <c r="G1016" s="1082" t="s">
        <v>1</v>
      </c>
      <c r="H1016" s="1082" t="s">
        <v>5231</v>
      </c>
      <c r="I1016" s="1082"/>
      <c r="J1016" s="799" t="s">
        <v>5295</v>
      </c>
      <c r="K1016" s="1082">
        <v>1</v>
      </c>
      <c r="L1016" s="802" t="s">
        <v>5926</v>
      </c>
      <c r="M1016" s="194"/>
      <c r="N1016" s="1167"/>
      <c r="O1016" s="1116"/>
      <c r="P1016" s="1117"/>
      <c r="Q1016" s="586" t="s">
        <v>5231</v>
      </c>
      <c r="R1016" s="605" t="s">
        <v>5295</v>
      </c>
      <c r="S1016" s="586">
        <v>1</v>
      </c>
      <c r="T1016" s="656"/>
      <c r="U1016" s="656"/>
      <c r="V1016" s="656"/>
      <c r="W1016" s="586"/>
      <c r="X1016" s="663"/>
      <c r="Y1016" s="660"/>
      <c r="Z1016" s="589"/>
      <c r="AA1016" s="724"/>
      <c r="AB1016" s="194"/>
      <c r="AC1016" s="194"/>
      <c r="AD1016" s="194"/>
      <c r="AE1016" s="194"/>
      <c r="AF1016" s="194"/>
      <c r="AG1016" s="194"/>
      <c r="AH1016" s="194"/>
    </row>
    <row r="1017" spans="1:34" s="410" customFormat="1" ht="39.75" customHeight="1">
      <c r="A1017" s="1167"/>
      <c r="B1017" s="1115"/>
      <c r="C1017" s="1116"/>
      <c r="D1017" s="1117"/>
      <c r="E1017" s="1118"/>
      <c r="F1017" s="1119"/>
      <c r="G1017" s="1082" t="s">
        <v>2</v>
      </c>
      <c r="H1017" s="1082" t="s">
        <v>5297</v>
      </c>
      <c r="I1017" s="1082"/>
      <c r="J1017" s="799" t="s">
        <v>1396</v>
      </c>
      <c r="K1017" s="1082">
        <v>6</v>
      </c>
      <c r="L1017" s="802" t="s">
        <v>5927</v>
      </c>
      <c r="M1017" s="194"/>
      <c r="N1017" s="1167"/>
      <c r="O1017" s="1116"/>
      <c r="P1017" s="1117"/>
      <c r="Q1017" s="586" t="s">
        <v>5297</v>
      </c>
      <c r="R1017" s="605" t="s">
        <v>1470</v>
      </c>
      <c r="S1017" s="586">
        <v>6</v>
      </c>
      <c r="T1017" s="656"/>
      <c r="U1017" s="656"/>
      <c r="V1017" s="656"/>
      <c r="W1017" s="586"/>
      <c r="X1017" s="663"/>
      <c r="Y1017" s="660"/>
      <c r="Z1017" s="589"/>
      <c r="AA1017" s="724"/>
      <c r="AB1017" s="194"/>
      <c r="AC1017" s="194"/>
      <c r="AD1017" s="194"/>
      <c r="AE1017" s="194"/>
      <c r="AF1017" s="194"/>
      <c r="AG1017" s="194"/>
      <c r="AH1017" s="194"/>
    </row>
    <row r="1018" spans="1:34" s="410" customFormat="1" ht="39.75" customHeight="1">
      <c r="A1018" s="1167"/>
      <c r="B1018" s="1115"/>
      <c r="C1018" s="1116"/>
      <c r="D1018" s="1117"/>
      <c r="E1018" s="1118"/>
      <c r="F1018" s="1119"/>
      <c r="G1018" s="1082" t="s">
        <v>7</v>
      </c>
      <c r="H1018" s="1082" t="s">
        <v>5300</v>
      </c>
      <c r="I1018" s="1082"/>
      <c r="J1018" s="799" t="s">
        <v>5301</v>
      </c>
      <c r="K1018" s="1082">
        <v>18</v>
      </c>
      <c r="L1018" s="802" t="s">
        <v>5914</v>
      </c>
      <c r="M1018" s="194"/>
      <c r="N1018" s="1167"/>
      <c r="O1018" s="1116"/>
      <c r="P1018" s="1117"/>
      <c r="Q1018" s="586" t="s">
        <v>5300</v>
      </c>
      <c r="R1018" s="605" t="s">
        <v>1470</v>
      </c>
      <c r="S1018" s="586">
        <v>18</v>
      </c>
      <c r="T1018" s="656"/>
      <c r="U1018" s="656"/>
      <c r="V1018" s="656"/>
      <c r="W1018" s="586"/>
      <c r="X1018" s="663"/>
      <c r="Y1018" s="660"/>
      <c r="Z1018" s="589"/>
      <c r="AA1018" s="724"/>
      <c r="AB1018" s="194"/>
      <c r="AC1018" s="194"/>
      <c r="AD1018" s="194"/>
      <c r="AE1018" s="194"/>
      <c r="AF1018" s="194"/>
      <c r="AG1018" s="194"/>
      <c r="AH1018" s="194"/>
    </row>
    <row r="1019" spans="1:34" ht="39.75" customHeight="1">
      <c r="A1019" s="1167"/>
      <c r="B1019" s="1115" t="s">
        <v>1258</v>
      </c>
      <c r="C1019" s="1116" t="s">
        <v>1929</v>
      </c>
      <c r="D1019" s="1117" t="s">
        <v>4981</v>
      </c>
      <c r="E1019" s="1118"/>
      <c r="F1019" s="1115">
        <v>2.04</v>
      </c>
      <c r="G1019" s="1082" t="s">
        <v>0</v>
      </c>
      <c r="H1019" s="1082" t="s">
        <v>196</v>
      </c>
      <c r="I1019" s="1082"/>
      <c r="J1019" s="647" t="s">
        <v>1250</v>
      </c>
      <c r="K1019" s="1082">
        <v>2</v>
      </c>
      <c r="L1019" s="802" t="s">
        <v>5914</v>
      </c>
      <c r="M1019" s="194"/>
      <c r="N1019" s="1167"/>
      <c r="O1019" s="1116" t="str">
        <f>C1019</f>
        <v>نصب ابرویی گلگیرهای جلو</v>
      </c>
      <c r="P1019" s="1117" t="str">
        <f>D1019</f>
        <v>SX7-5512-1</v>
      </c>
      <c r="Q1019" s="586" t="str">
        <f t="shared" ref="Q1019:Q1021" si="133">H1019</f>
        <v>BL338A</v>
      </c>
      <c r="R1019" s="585" t="str">
        <f t="shared" ref="R1019:R1021" si="134">J1019</f>
        <v>مهره پلاستیکی</v>
      </c>
      <c r="S1019" s="586">
        <f t="shared" ref="S1019:S1021" si="135">K1019</f>
        <v>2</v>
      </c>
      <c r="T1019" s="589"/>
      <c r="U1019" s="589"/>
      <c r="V1019" s="589"/>
      <c r="W1019" s="589"/>
      <c r="X1019" s="590"/>
      <c r="Y1019" s="590"/>
      <c r="Z1019" s="589"/>
      <c r="AA1019" s="724"/>
    </row>
    <row r="1020" spans="1:34" ht="39.75" customHeight="1">
      <c r="A1020" s="1167"/>
      <c r="B1020" s="1115"/>
      <c r="C1020" s="1116" t="s">
        <v>1248</v>
      </c>
      <c r="D1020" s="1117"/>
      <c r="E1020" s="1118"/>
      <c r="F1020" s="1115"/>
      <c r="G1020" s="1082" t="s">
        <v>717</v>
      </c>
      <c r="H1020" s="842" t="s">
        <v>5284</v>
      </c>
      <c r="I1020" s="1082"/>
      <c r="J1020" s="647" t="s">
        <v>1928</v>
      </c>
      <c r="K1020" s="1082">
        <v>1</v>
      </c>
      <c r="L1020" s="829"/>
      <c r="M1020" s="194"/>
      <c r="N1020" s="1167"/>
      <c r="O1020" s="1116"/>
      <c r="P1020" s="1117"/>
      <c r="Q1020" s="586" t="str">
        <f t="shared" si="133"/>
        <v>….</v>
      </c>
      <c r="R1020" s="585" t="str">
        <f t="shared" si="134"/>
        <v>ابرویی گلگیر جلو چپ</v>
      </c>
      <c r="S1020" s="586">
        <f t="shared" si="135"/>
        <v>1</v>
      </c>
      <c r="T1020" s="589"/>
      <c r="U1020" s="589"/>
      <c r="V1020" s="589"/>
      <c r="W1020" s="589"/>
      <c r="X1020" s="590"/>
      <c r="Y1020" s="590"/>
      <c r="Z1020" s="589"/>
      <c r="AA1020" s="724"/>
    </row>
    <row r="1021" spans="1:34" ht="39.75" customHeight="1">
      <c r="A1021" s="1167"/>
      <c r="B1021" s="1115"/>
      <c r="C1021" s="1116" t="s">
        <v>1248</v>
      </c>
      <c r="D1021" s="1117"/>
      <c r="E1021" s="1118"/>
      <c r="F1021" s="1115"/>
      <c r="G1021" s="1082" t="s">
        <v>717</v>
      </c>
      <c r="H1021" s="842" t="s">
        <v>5296</v>
      </c>
      <c r="I1021" s="1082"/>
      <c r="J1021" s="647" t="s">
        <v>1927</v>
      </c>
      <c r="K1021" s="1082">
        <v>1</v>
      </c>
      <c r="L1021" s="829"/>
      <c r="M1021" s="194"/>
      <c r="N1021" s="1167"/>
      <c r="O1021" s="1116"/>
      <c r="P1021" s="1117"/>
      <c r="Q1021" s="586" t="str">
        <f t="shared" si="133"/>
        <v>…..</v>
      </c>
      <c r="R1021" s="585" t="str">
        <f t="shared" si="134"/>
        <v>ابرویی گلگیر جلو راست</v>
      </c>
      <c r="S1021" s="586">
        <f t="shared" si="135"/>
        <v>1</v>
      </c>
      <c r="T1021" s="589"/>
      <c r="U1021" s="589"/>
      <c r="V1021" s="589"/>
      <c r="W1021" s="589"/>
      <c r="X1021" s="590"/>
      <c r="Y1021" s="590"/>
      <c r="Z1021" s="589"/>
      <c r="AA1021" s="724"/>
    </row>
    <row r="1022" spans="1:34" ht="30.75" customHeight="1">
      <c r="A1022" s="1167"/>
      <c r="B1022" s="1115" t="s">
        <v>1258</v>
      </c>
      <c r="C1022" s="1116" t="s">
        <v>1391</v>
      </c>
      <c r="D1022" s="1117" t="s">
        <v>395</v>
      </c>
      <c r="E1022" s="1118"/>
      <c r="F1022" s="1115">
        <v>1.55</v>
      </c>
      <c r="G1022" s="1082" t="s">
        <v>0</v>
      </c>
      <c r="H1022" s="1082" t="s">
        <v>5095</v>
      </c>
      <c r="I1022" s="1082"/>
      <c r="J1022" s="647" t="s">
        <v>1390</v>
      </c>
      <c r="K1022" s="1082">
        <v>1</v>
      </c>
      <c r="L1022" s="802" t="s">
        <v>5807</v>
      </c>
      <c r="M1022" s="194"/>
      <c r="N1022" s="1167"/>
      <c r="O1022" s="1116" t="s">
        <v>1391</v>
      </c>
      <c r="P1022" s="1117" t="s">
        <v>395</v>
      </c>
      <c r="Q1022" s="688" t="str">
        <f t="shared" ref="Q1022:Q1079" si="136">H1022</f>
        <v>SX3D-5512911</v>
      </c>
      <c r="R1022" s="680" t="str">
        <f t="shared" si="132"/>
        <v>گلپخشکن جلو چپ</v>
      </c>
      <c r="S1022" s="586">
        <f t="shared" si="130"/>
        <v>1</v>
      </c>
      <c r="T1022" s="673"/>
      <c r="U1022" s="673"/>
      <c r="V1022" s="673"/>
      <c r="W1022" s="673"/>
      <c r="X1022" s="590"/>
      <c r="Y1022" s="590"/>
      <c r="Z1022" s="673"/>
      <c r="AA1022" s="736"/>
    </row>
    <row r="1023" spans="1:34" ht="30.75" customHeight="1">
      <c r="A1023" s="1167"/>
      <c r="B1023" s="1115"/>
      <c r="C1023" s="1116" t="s">
        <v>1248</v>
      </c>
      <c r="D1023" s="1117"/>
      <c r="E1023" s="1118"/>
      <c r="F1023" s="1115"/>
      <c r="G1023" s="1082" t="s">
        <v>0</v>
      </c>
      <c r="H1023" s="1082" t="s">
        <v>396</v>
      </c>
      <c r="I1023" s="1080" t="s">
        <v>5419</v>
      </c>
      <c r="J1023" s="647" t="s">
        <v>1389</v>
      </c>
      <c r="K1023" s="1082">
        <v>1</v>
      </c>
      <c r="L1023" s="802" t="s">
        <v>5807</v>
      </c>
      <c r="M1023" s="194"/>
      <c r="N1023" s="1167"/>
      <c r="O1023" s="1116" t="s">
        <v>1248</v>
      </c>
      <c r="P1023" s="1117"/>
      <c r="Q1023" s="688" t="str">
        <f t="shared" si="136"/>
        <v>SX3D-5512912</v>
      </c>
      <c r="R1023" s="680" t="str">
        <f t="shared" si="132"/>
        <v>گلپخشکن جلو راست</v>
      </c>
      <c r="S1023" s="586">
        <f t="shared" si="130"/>
        <v>1</v>
      </c>
      <c r="T1023" s="673"/>
      <c r="U1023" s="673"/>
      <c r="V1023" s="673"/>
      <c r="W1023" s="673"/>
      <c r="X1023" s="590"/>
      <c r="Y1023" s="590"/>
      <c r="Z1023" s="673"/>
      <c r="AA1023" s="736"/>
    </row>
    <row r="1024" spans="1:34" ht="30.75" customHeight="1">
      <c r="A1024" s="1167"/>
      <c r="B1024" s="1115"/>
      <c r="C1024" s="1116" t="s">
        <v>1248</v>
      </c>
      <c r="D1024" s="1117"/>
      <c r="E1024" s="1118"/>
      <c r="F1024" s="1115"/>
      <c r="G1024" s="1082" t="s">
        <v>1</v>
      </c>
      <c r="H1024" s="1082" t="s">
        <v>73</v>
      </c>
      <c r="I1024" s="1082"/>
      <c r="J1024" s="647" t="s">
        <v>1251</v>
      </c>
      <c r="K1024" s="1082">
        <v>2</v>
      </c>
      <c r="L1024" s="802" t="s">
        <v>5955</v>
      </c>
      <c r="M1024" s="194"/>
      <c r="N1024" s="1167"/>
      <c r="O1024" s="1116" t="s">
        <v>1248</v>
      </c>
      <c r="P1024" s="1117"/>
      <c r="Q1024" s="688" t="str">
        <f t="shared" si="136"/>
        <v>BL346</v>
      </c>
      <c r="R1024" s="680" t="str">
        <f t="shared" si="132"/>
        <v>بست فشاری</v>
      </c>
      <c r="S1024" s="586">
        <f t="shared" si="130"/>
        <v>2</v>
      </c>
      <c r="T1024" s="673"/>
      <c r="U1024" s="673"/>
      <c r="V1024" s="673"/>
      <c r="W1024" s="673"/>
      <c r="X1024" s="590"/>
      <c r="Y1024" s="590"/>
      <c r="Z1024" s="673"/>
      <c r="AA1024" s="736"/>
    </row>
    <row r="1025" spans="1:27" ht="30.75" customHeight="1">
      <c r="A1025" s="1167"/>
      <c r="B1025" s="1115"/>
      <c r="C1025" s="1116" t="s">
        <v>1248</v>
      </c>
      <c r="D1025" s="1117"/>
      <c r="E1025" s="1118"/>
      <c r="F1025" s="1115"/>
      <c r="G1025" s="1082" t="s">
        <v>2</v>
      </c>
      <c r="H1025" s="1082" t="s">
        <v>1388</v>
      </c>
      <c r="I1025" s="1082" t="s">
        <v>5397</v>
      </c>
      <c r="J1025" s="647" t="s">
        <v>1253</v>
      </c>
      <c r="K1025" s="1082">
        <v>4</v>
      </c>
      <c r="L1025" s="802" t="s">
        <v>5955</v>
      </c>
      <c r="M1025" s="194"/>
      <c r="N1025" s="1167"/>
      <c r="O1025" s="1116" t="s">
        <v>1248</v>
      </c>
      <c r="P1025" s="1117"/>
      <c r="Q1025" s="688" t="str">
        <f t="shared" si="136"/>
        <v>LQ2734816F38A1</v>
      </c>
      <c r="R1025" s="680" t="str">
        <f t="shared" si="132"/>
        <v>پیچ چهار سو</v>
      </c>
      <c r="S1025" s="586">
        <f t="shared" si="130"/>
        <v>4</v>
      </c>
      <c r="T1025" s="639">
        <v>3</v>
      </c>
      <c r="U1025" s="639">
        <v>4</v>
      </c>
      <c r="V1025" s="639">
        <v>5</v>
      </c>
      <c r="W1025" s="591" t="s">
        <v>5461</v>
      </c>
      <c r="X1025" s="639" t="s">
        <v>5451</v>
      </c>
      <c r="Y1025" s="639" t="s">
        <v>5729</v>
      </c>
      <c r="Z1025" s="673"/>
      <c r="AA1025" s="736"/>
    </row>
    <row r="1026" spans="1:27" ht="45.75" customHeight="1" thickBot="1">
      <c r="A1026" s="1168"/>
      <c r="B1026" s="1074" t="s">
        <v>1258</v>
      </c>
      <c r="C1026" s="1070" t="s">
        <v>1382</v>
      </c>
      <c r="D1026" s="1071"/>
      <c r="E1026" s="1072"/>
      <c r="F1026" s="1074">
        <v>0.4</v>
      </c>
      <c r="G1026" s="1078"/>
      <c r="H1026" s="1078"/>
      <c r="I1026" s="1078"/>
      <c r="J1026" s="272"/>
      <c r="K1026" s="1078"/>
      <c r="L1026" s="263"/>
      <c r="M1026" s="194"/>
      <c r="N1026" s="1168"/>
      <c r="O1026" s="1070" t="s">
        <v>1382</v>
      </c>
      <c r="P1026" s="1071"/>
      <c r="Q1026" s="540"/>
      <c r="R1026" s="536">
        <f t="shared" si="132"/>
        <v>0</v>
      </c>
      <c r="S1026" s="251">
        <f t="shared" si="130"/>
        <v>0</v>
      </c>
      <c r="T1026" s="286"/>
      <c r="U1026" s="286"/>
      <c r="V1026" s="286"/>
      <c r="W1026" s="286"/>
      <c r="X1026" s="284"/>
      <c r="Y1026" s="284"/>
      <c r="Z1026" s="286"/>
      <c r="AA1026" s="490"/>
    </row>
    <row r="1027" spans="1:27" ht="42" customHeight="1">
      <c r="A1027" s="1210" t="s">
        <v>5765</v>
      </c>
      <c r="B1027" s="1077" t="s">
        <v>1258</v>
      </c>
      <c r="C1027" s="1066" t="s">
        <v>1363</v>
      </c>
      <c r="D1027" s="1067" t="s">
        <v>1362</v>
      </c>
      <c r="E1027" s="1079"/>
      <c r="F1027" s="1061">
        <v>1.2</v>
      </c>
      <c r="G1027" s="1086" t="s">
        <v>1371</v>
      </c>
      <c r="H1027" s="1086" t="s">
        <v>1256</v>
      </c>
      <c r="I1027" s="1086"/>
      <c r="J1027" s="1087" t="s">
        <v>1256</v>
      </c>
      <c r="K1027" s="554"/>
      <c r="L1027" s="1088"/>
      <c r="M1027" s="194"/>
      <c r="N1027" s="1210" t="str">
        <f>A1027</f>
        <v>P82</v>
      </c>
      <c r="O1027" s="1066" t="s">
        <v>1363</v>
      </c>
      <c r="P1027" s="1067" t="s">
        <v>1362</v>
      </c>
      <c r="Q1027" s="888" t="str">
        <f t="shared" si="136"/>
        <v>-----</v>
      </c>
      <c r="R1027" s="815" t="str">
        <f t="shared" si="132"/>
        <v>-----</v>
      </c>
      <c r="S1027" s="803">
        <f t="shared" si="130"/>
        <v>0</v>
      </c>
      <c r="T1027" s="460"/>
      <c r="U1027" s="460"/>
      <c r="V1027" s="460"/>
      <c r="W1027" s="460"/>
      <c r="X1027" s="806"/>
      <c r="Y1027" s="806"/>
      <c r="Z1027" s="460"/>
      <c r="AA1027" s="816"/>
    </row>
    <row r="1028" spans="1:27" ht="45.75" customHeight="1">
      <c r="A1028" s="1167"/>
      <c r="B1028" s="933" t="s">
        <v>1258</v>
      </c>
      <c r="C1028" s="982" t="s">
        <v>1360</v>
      </c>
      <c r="D1028" s="995"/>
      <c r="E1028" s="996"/>
      <c r="F1028" s="933">
        <v>0.5</v>
      </c>
      <c r="G1028" s="952" t="s">
        <v>0</v>
      </c>
      <c r="H1028" s="396" t="s">
        <v>1359</v>
      </c>
      <c r="I1028" s="396"/>
      <c r="J1028" s="232" t="s">
        <v>1358</v>
      </c>
      <c r="K1028" s="313">
        <v>2</v>
      </c>
      <c r="L1028" s="231" t="s">
        <v>5995</v>
      </c>
      <c r="M1028" s="194"/>
      <c r="N1028" s="1167" t="e">
        <f>#REF!</f>
        <v>#REF!</v>
      </c>
      <c r="O1028" s="964" t="s">
        <v>1360</v>
      </c>
      <c r="P1028" s="965"/>
      <c r="Q1028" s="688" t="str">
        <f t="shared" si="136"/>
        <v>SX5-5109040P-L01</v>
      </c>
      <c r="R1028" s="680" t="str">
        <f t="shared" si="132"/>
        <v>کف پایی کاغذی</v>
      </c>
      <c r="S1028" s="586">
        <f t="shared" si="130"/>
        <v>2</v>
      </c>
      <c r="T1028" s="673"/>
      <c r="U1028" s="673"/>
      <c r="V1028" s="673"/>
      <c r="W1028" s="673"/>
      <c r="X1028" s="590"/>
      <c r="Y1028" s="590"/>
      <c r="Z1028" s="673"/>
      <c r="AA1028" s="736"/>
    </row>
    <row r="1029" spans="1:27" ht="39" customHeight="1" thickBot="1">
      <c r="A1029" s="1167"/>
      <c r="B1029" s="925" t="s">
        <v>1258</v>
      </c>
      <c r="C1029" s="926" t="s">
        <v>1357</v>
      </c>
      <c r="D1029" s="927" t="s">
        <v>1356</v>
      </c>
      <c r="E1029" s="981" t="s">
        <v>4973</v>
      </c>
      <c r="F1029" s="925">
        <v>0.87</v>
      </c>
      <c r="G1029" s="975" t="s">
        <v>0</v>
      </c>
      <c r="H1029" s="975" t="s">
        <v>6226</v>
      </c>
      <c r="I1029" s="975">
        <v>40002651</v>
      </c>
      <c r="J1029" s="241" t="s">
        <v>1355</v>
      </c>
      <c r="K1029" s="975">
        <v>18</v>
      </c>
      <c r="L1029" s="261"/>
      <c r="M1029" s="194"/>
      <c r="N1029" s="1167">
        <f t="shared" ref="N1029:N1087" si="137">A1028</f>
        <v>0</v>
      </c>
      <c r="O1029" s="926" t="s">
        <v>1357</v>
      </c>
      <c r="P1029" s="927" t="s">
        <v>1356</v>
      </c>
      <c r="Q1029" s="790" t="str">
        <f t="shared" si="136"/>
        <v>GASOLINE A92</v>
      </c>
      <c r="R1029" s="791" t="str">
        <f t="shared" si="132"/>
        <v>بنزین سوپر  RON # 92</v>
      </c>
      <c r="S1029" s="586">
        <f t="shared" si="130"/>
        <v>18</v>
      </c>
      <c r="T1029" s="412"/>
      <c r="U1029" s="412"/>
      <c r="V1029" s="412"/>
      <c r="W1029" s="412"/>
      <c r="X1029" s="793"/>
      <c r="Y1029" s="793"/>
      <c r="Z1029" s="412"/>
      <c r="AA1029" s="794"/>
    </row>
    <row r="1030" spans="1:27" s="673" customFormat="1" ht="37.5" customHeight="1" thickBot="1">
      <c r="A1030" s="1336"/>
      <c r="B1030" s="913" t="s">
        <v>1258</v>
      </c>
      <c r="C1030" s="795" t="s">
        <v>2629</v>
      </c>
      <c r="D1030" s="796"/>
      <c r="E1030" s="916"/>
      <c r="F1030" s="913">
        <v>0.51282000000000005</v>
      </c>
      <c r="G1030" s="797" t="s">
        <v>0</v>
      </c>
      <c r="H1030" s="798" t="s">
        <v>646</v>
      </c>
      <c r="I1030" s="798"/>
      <c r="J1030" s="799" t="s">
        <v>1640</v>
      </c>
      <c r="K1030" s="941"/>
      <c r="L1030" s="800" t="s">
        <v>6161</v>
      </c>
      <c r="M1030" s="801"/>
      <c r="N1030" s="1336"/>
      <c r="O1030" s="795" t="str">
        <f t="shared" ref="O1030" si="138">C1030</f>
        <v>کورکن محل نصب پلاک</v>
      </c>
      <c r="P1030" s="796" t="s">
        <v>1393</v>
      </c>
      <c r="Q1030" s="593" t="s">
        <v>1393</v>
      </c>
      <c r="R1030" s="605" t="str">
        <f>J1030</f>
        <v>کورکن</v>
      </c>
      <c r="S1030" s="586">
        <f t="shared" si="130"/>
        <v>0</v>
      </c>
      <c r="T1030" s="589"/>
      <c r="U1030" s="589"/>
      <c r="V1030" s="589"/>
      <c r="W1030" s="589"/>
      <c r="X1030" s="590"/>
      <c r="Y1030" s="590"/>
      <c r="Z1030" s="589"/>
      <c r="AA1030" s="589"/>
    </row>
    <row r="1031" spans="1:27" ht="29.25" customHeight="1" thickBot="1">
      <c r="A1031" s="1168"/>
      <c r="B1031" s="756" t="s">
        <v>1258</v>
      </c>
      <c r="C1031" s="889" t="s">
        <v>1354</v>
      </c>
      <c r="D1031" s="890" t="s">
        <v>431</v>
      </c>
      <c r="E1031" s="891" t="s">
        <v>4973</v>
      </c>
      <c r="F1031" s="756">
        <v>0.2</v>
      </c>
      <c r="G1031" s="1008" t="s">
        <v>0</v>
      </c>
      <c r="H1031" s="892" t="s">
        <v>5410</v>
      </c>
      <c r="I1031" s="1008" t="s">
        <v>5092</v>
      </c>
      <c r="J1031" s="262" t="s">
        <v>1353</v>
      </c>
      <c r="K1031" s="893">
        <v>1</v>
      </c>
      <c r="L1031" s="894" t="s">
        <v>5807</v>
      </c>
      <c r="M1031" s="194"/>
      <c r="N1031" s="1168">
        <f>A1029</f>
        <v>0</v>
      </c>
      <c r="O1031" s="889" t="s">
        <v>1354</v>
      </c>
      <c r="P1031" s="890" t="s">
        <v>431</v>
      </c>
      <c r="Q1031" s="895" t="str">
        <f t="shared" si="136"/>
        <v>SX5G-1103010A</v>
      </c>
      <c r="R1031" s="896" t="str">
        <f t="shared" si="132"/>
        <v>درب باک</v>
      </c>
      <c r="S1031" s="586">
        <f t="shared" si="130"/>
        <v>1</v>
      </c>
      <c r="T1031" s="897"/>
      <c r="U1031" s="897"/>
      <c r="V1031" s="897"/>
      <c r="W1031" s="897"/>
      <c r="X1031" s="898"/>
      <c r="Y1031" s="898"/>
      <c r="Z1031" s="897"/>
      <c r="AA1031" s="899"/>
    </row>
    <row r="1032" spans="1:27" ht="35.25" customHeight="1">
      <c r="A1032" s="1176" t="s">
        <v>5776</v>
      </c>
      <c r="B1032" s="1151" t="s">
        <v>5064</v>
      </c>
      <c r="C1032" s="1154" t="s">
        <v>1352</v>
      </c>
      <c r="D1032" s="1121" t="s">
        <v>642</v>
      </c>
      <c r="E1032" s="1126"/>
      <c r="F1032" s="1299">
        <v>0.62</v>
      </c>
      <c r="G1032" s="977" t="s">
        <v>0</v>
      </c>
      <c r="H1032" s="454" t="s">
        <v>634</v>
      </c>
      <c r="I1032" s="454" t="s">
        <v>6209</v>
      </c>
      <c r="J1032" s="298" t="s">
        <v>1350</v>
      </c>
      <c r="K1032" s="977">
        <v>2</v>
      </c>
      <c r="L1032" s="231" t="s">
        <v>5954</v>
      </c>
      <c r="M1032" s="194"/>
      <c r="N1032" s="1167" t="str">
        <f>A1032</f>
        <v>P83</v>
      </c>
      <c r="O1032" s="1116" t="s">
        <v>1352</v>
      </c>
      <c r="P1032" s="1117" t="s">
        <v>642</v>
      </c>
      <c r="Q1032" s="688" t="str">
        <f t="shared" si="136"/>
        <v>SX5G-8263101</v>
      </c>
      <c r="R1032" s="680" t="str">
        <f t="shared" si="132"/>
        <v>کورکن پلاستیکی متوسط</v>
      </c>
      <c r="S1032" s="586">
        <f t="shared" si="130"/>
        <v>2</v>
      </c>
      <c r="T1032" s="673"/>
      <c r="U1032" s="673"/>
      <c r="V1032" s="673"/>
      <c r="W1032" s="673"/>
      <c r="X1032" s="590"/>
      <c r="Y1032" s="590"/>
      <c r="Z1032" s="673"/>
      <c r="AA1032" s="736"/>
    </row>
    <row r="1033" spans="1:27" ht="25.5" customHeight="1">
      <c r="A1033" s="1176"/>
      <c r="B1033" s="1151"/>
      <c r="C1033" s="1154" t="s">
        <v>1248</v>
      </c>
      <c r="D1033" s="1209"/>
      <c r="E1033" s="1126"/>
      <c r="F1033" s="1223"/>
      <c r="G1033" s="952" t="s">
        <v>1</v>
      </c>
      <c r="H1033" s="336" t="s">
        <v>636</v>
      </c>
      <c r="I1033" s="952" t="s">
        <v>644</v>
      </c>
      <c r="J1033" s="230" t="s">
        <v>1349</v>
      </c>
      <c r="K1033" s="952">
        <v>4</v>
      </c>
      <c r="L1033" s="231" t="s">
        <v>5993</v>
      </c>
      <c r="M1033" s="194"/>
      <c r="N1033" s="1167"/>
      <c r="O1033" s="1116" t="s">
        <v>1248</v>
      </c>
      <c r="P1033" s="1117"/>
      <c r="Q1033" s="688" t="str">
        <f t="shared" si="136"/>
        <v>BS3-8263111</v>
      </c>
      <c r="R1033" s="680" t="str">
        <f t="shared" si="132"/>
        <v>درپوش لاستیکی کوچک</v>
      </c>
      <c r="S1033" s="586">
        <f t="shared" si="130"/>
        <v>4</v>
      </c>
      <c r="T1033" s="673"/>
      <c r="U1033" s="673"/>
      <c r="V1033" s="673"/>
      <c r="W1033" s="673"/>
      <c r="X1033" s="590"/>
      <c r="Y1033" s="590"/>
      <c r="Z1033" s="673"/>
      <c r="AA1033" s="736"/>
    </row>
    <row r="1034" spans="1:27" ht="25.5" customHeight="1">
      <c r="A1034" s="1176"/>
      <c r="B1034" s="1151"/>
      <c r="C1034" s="1154" t="s">
        <v>1248</v>
      </c>
      <c r="D1034" s="1209"/>
      <c r="E1034" s="1126"/>
      <c r="F1034" s="1223"/>
      <c r="G1034" s="952" t="s">
        <v>2</v>
      </c>
      <c r="H1034" s="233" t="s">
        <v>5802</v>
      </c>
      <c r="I1034" s="233" t="s">
        <v>643</v>
      </c>
      <c r="J1034" s="230" t="s">
        <v>1348</v>
      </c>
      <c r="K1034" s="952">
        <v>1</v>
      </c>
      <c r="L1034" s="231" t="s">
        <v>5955</v>
      </c>
      <c r="M1034" s="194"/>
      <c r="N1034" s="1167"/>
      <c r="O1034" s="1116" t="s">
        <v>1248</v>
      </c>
      <c r="P1034" s="1117"/>
      <c r="Q1034" s="688" t="str">
        <f t="shared" si="136"/>
        <v>SX5G-8263102A</v>
      </c>
      <c r="R1034" s="680" t="str">
        <f t="shared" si="132"/>
        <v>کورکن پلاستیکی بزرگ</v>
      </c>
      <c r="S1034" s="586">
        <f t="shared" si="130"/>
        <v>1</v>
      </c>
      <c r="T1034" s="673"/>
      <c r="U1034" s="673"/>
      <c r="V1034" s="673"/>
      <c r="W1034" s="673"/>
      <c r="X1034" s="590"/>
      <c r="Y1034" s="590"/>
      <c r="Z1034" s="673"/>
      <c r="AA1034" s="736"/>
    </row>
    <row r="1035" spans="1:27" ht="44.25" customHeight="1">
      <c r="A1035" s="1176"/>
      <c r="B1035" s="1151" t="s">
        <v>5064</v>
      </c>
      <c r="C1035" s="1154" t="s">
        <v>1351</v>
      </c>
      <c r="D1035" s="1209" t="s">
        <v>642</v>
      </c>
      <c r="E1035" s="1126"/>
      <c r="F1035" s="1223">
        <v>0.62</v>
      </c>
      <c r="G1035" s="952" t="s">
        <v>0</v>
      </c>
      <c r="H1035" s="233" t="s">
        <v>634</v>
      </c>
      <c r="I1035" s="233" t="s">
        <v>6209</v>
      </c>
      <c r="J1035" s="230" t="s">
        <v>1350</v>
      </c>
      <c r="K1035" s="952">
        <v>2</v>
      </c>
      <c r="L1035" s="231" t="s">
        <v>5954</v>
      </c>
      <c r="M1035" s="194"/>
      <c r="N1035" s="1167"/>
      <c r="O1035" s="1116" t="s">
        <v>1351</v>
      </c>
      <c r="P1035" s="1117" t="s">
        <v>642</v>
      </c>
      <c r="Q1035" s="688" t="str">
        <f t="shared" si="136"/>
        <v>SX5G-8263101</v>
      </c>
      <c r="R1035" s="680" t="str">
        <f t="shared" si="132"/>
        <v>کورکن پلاستیکی متوسط</v>
      </c>
      <c r="S1035" s="586">
        <f t="shared" ref="S1035:S1098" si="139">K1035</f>
        <v>2</v>
      </c>
      <c r="T1035" s="673"/>
      <c r="U1035" s="673"/>
      <c r="V1035" s="673"/>
      <c r="W1035" s="673"/>
      <c r="X1035" s="590"/>
      <c r="Y1035" s="590"/>
      <c r="Z1035" s="673"/>
      <c r="AA1035" s="736"/>
    </row>
    <row r="1036" spans="1:27" ht="28.5" customHeight="1">
      <c r="A1036" s="1176"/>
      <c r="B1036" s="1151"/>
      <c r="C1036" s="1154" t="s">
        <v>1248</v>
      </c>
      <c r="D1036" s="1209"/>
      <c r="E1036" s="1126"/>
      <c r="F1036" s="1223"/>
      <c r="G1036" s="952" t="s">
        <v>1</v>
      </c>
      <c r="H1036" s="336" t="s">
        <v>636</v>
      </c>
      <c r="I1036" s="952" t="s">
        <v>644</v>
      </c>
      <c r="J1036" s="230" t="s">
        <v>1349</v>
      </c>
      <c r="K1036" s="952">
        <v>4</v>
      </c>
      <c r="L1036" s="231" t="s">
        <v>5993</v>
      </c>
      <c r="M1036" s="194"/>
      <c r="N1036" s="1167"/>
      <c r="O1036" s="1116" t="s">
        <v>1248</v>
      </c>
      <c r="P1036" s="1117"/>
      <c r="Q1036" s="688" t="str">
        <f t="shared" si="136"/>
        <v>BS3-8263111</v>
      </c>
      <c r="R1036" s="680" t="str">
        <f t="shared" si="132"/>
        <v>درپوش لاستیکی کوچک</v>
      </c>
      <c r="S1036" s="586">
        <f t="shared" si="139"/>
        <v>4</v>
      </c>
      <c r="T1036" s="673"/>
      <c r="U1036" s="673"/>
      <c r="V1036" s="673"/>
      <c r="W1036" s="673"/>
      <c r="X1036" s="590"/>
      <c r="Y1036" s="590"/>
      <c r="Z1036" s="673"/>
      <c r="AA1036" s="736"/>
    </row>
    <row r="1037" spans="1:27" ht="28.5" customHeight="1">
      <c r="A1037" s="1176"/>
      <c r="B1037" s="1151"/>
      <c r="C1037" s="1154" t="s">
        <v>1248</v>
      </c>
      <c r="D1037" s="1209"/>
      <c r="E1037" s="1126"/>
      <c r="F1037" s="1223"/>
      <c r="G1037" s="952" t="s">
        <v>2</v>
      </c>
      <c r="H1037" s="233" t="s">
        <v>5802</v>
      </c>
      <c r="I1037" s="233" t="s">
        <v>643</v>
      </c>
      <c r="J1037" s="230" t="s">
        <v>1348</v>
      </c>
      <c r="K1037" s="952">
        <v>1</v>
      </c>
      <c r="L1037" s="231" t="s">
        <v>5955</v>
      </c>
      <c r="M1037" s="194"/>
      <c r="N1037" s="1167"/>
      <c r="O1037" s="1116" t="s">
        <v>1248</v>
      </c>
      <c r="P1037" s="1117"/>
      <c r="Q1037" s="688" t="str">
        <f t="shared" si="136"/>
        <v>SX5G-8263102A</v>
      </c>
      <c r="R1037" s="680" t="str">
        <f t="shared" si="132"/>
        <v>کورکن پلاستیکی بزرگ</v>
      </c>
      <c r="S1037" s="586">
        <f t="shared" si="139"/>
        <v>1</v>
      </c>
      <c r="T1037" s="673"/>
      <c r="U1037" s="673"/>
      <c r="V1037" s="673"/>
      <c r="W1037" s="673"/>
      <c r="X1037" s="590"/>
      <c r="Y1037" s="590"/>
      <c r="Z1037" s="673"/>
      <c r="AA1037" s="736"/>
    </row>
    <row r="1038" spans="1:27" ht="40.5" customHeight="1">
      <c r="A1038" s="1176"/>
      <c r="B1038" s="935" t="s">
        <v>5064</v>
      </c>
      <c r="C1038" s="929" t="s">
        <v>1346</v>
      </c>
      <c r="D1038" s="931" t="s">
        <v>486</v>
      </c>
      <c r="E1038" s="939"/>
      <c r="F1038" s="951">
        <v>0.45</v>
      </c>
      <c r="G1038" s="952" t="s">
        <v>0</v>
      </c>
      <c r="H1038" s="952" t="s">
        <v>1345</v>
      </c>
      <c r="I1038" s="952"/>
      <c r="J1038" s="230" t="s">
        <v>1344</v>
      </c>
      <c r="K1038" s="952">
        <v>1</v>
      </c>
      <c r="L1038" s="231" t="s">
        <v>5807</v>
      </c>
      <c r="M1038" s="194"/>
      <c r="N1038" s="1167"/>
      <c r="O1038" s="914" t="s">
        <v>1346</v>
      </c>
      <c r="P1038" s="915" t="s">
        <v>486</v>
      </c>
      <c r="Q1038" s="688" t="str">
        <f t="shared" si="136"/>
        <v>SX5F-6107070A</v>
      </c>
      <c r="R1038" s="680" t="str">
        <f t="shared" si="132"/>
        <v>نوار گردگیر داخل درب جلو راست</v>
      </c>
      <c r="S1038" s="586">
        <f t="shared" si="139"/>
        <v>1</v>
      </c>
      <c r="T1038" s="673"/>
      <c r="U1038" s="673"/>
      <c r="V1038" s="673"/>
      <c r="W1038" s="673"/>
      <c r="X1038" s="590"/>
      <c r="Y1038" s="590"/>
      <c r="Z1038" s="673"/>
      <c r="AA1038" s="736"/>
    </row>
    <row r="1039" spans="1:27" ht="42.75" customHeight="1">
      <c r="A1039" s="1176"/>
      <c r="B1039" s="935" t="s">
        <v>5064</v>
      </c>
      <c r="C1039" s="929" t="s">
        <v>1343</v>
      </c>
      <c r="D1039" s="931" t="s">
        <v>493</v>
      </c>
      <c r="E1039" s="939"/>
      <c r="F1039" s="951">
        <v>0.47</v>
      </c>
      <c r="G1039" s="952" t="s">
        <v>0</v>
      </c>
      <c r="H1039" s="952" t="s">
        <v>1342</v>
      </c>
      <c r="I1039" s="952"/>
      <c r="J1039" s="230" t="s">
        <v>1341</v>
      </c>
      <c r="K1039" s="952">
        <v>1</v>
      </c>
      <c r="L1039" s="231" t="s">
        <v>5807</v>
      </c>
      <c r="M1039" s="194"/>
      <c r="N1039" s="1167"/>
      <c r="O1039" s="914" t="s">
        <v>1343</v>
      </c>
      <c r="P1039" s="915" t="s">
        <v>493</v>
      </c>
      <c r="Q1039" s="688" t="str">
        <f t="shared" si="136"/>
        <v>SX5F-6207070A</v>
      </c>
      <c r="R1039" s="680" t="str">
        <f t="shared" si="132"/>
        <v>نوار گردگیر داخل درب عقب راست</v>
      </c>
      <c r="S1039" s="586">
        <f t="shared" si="139"/>
        <v>1</v>
      </c>
      <c r="T1039" s="673"/>
      <c r="U1039" s="673"/>
      <c r="V1039" s="673"/>
      <c r="W1039" s="673"/>
      <c r="X1039" s="590"/>
      <c r="Y1039" s="590"/>
      <c r="Z1039" s="673"/>
      <c r="AA1039" s="736"/>
    </row>
    <row r="1040" spans="1:27" ht="48" customHeight="1">
      <c r="A1040" s="1176"/>
      <c r="B1040" s="935" t="s">
        <v>5064</v>
      </c>
      <c r="C1040" s="929" t="s">
        <v>1340</v>
      </c>
      <c r="D1040" s="931" t="s">
        <v>486</v>
      </c>
      <c r="E1040" s="939"/>
      <c r="F1040" s="951">
        <v>0.45</v>
      </c>
      <c r="G1040" s="952" t="s">
        <v>0</v>
      </c>
      <c r="H1040" s="952" t="s">
        <v>1339</v>
      </c>
      <c r="I1040" s="952"/>
      <c r="J1040" s="230" t="s">
        <v>1338</v>
      </c>
      <c r="K1040" s="952">
        <v>1</v>
      </c>
      <c r="L1040" s="231" t="s">
        <v>5807</v>
      </c>
      <c r="M1040" s="194"/>
      <c r="N1040" s="1167"/>
      <c r="O1040" s="914" t="s">
        <v>1340</v>
      </c>
      <c r="P1040" s="915" t="s">
        <v>486</v>
      </c>
      <c r="Q1040" s="688" t="str">
        <f t="shared" si="136"/>
        <v>SX5F-6107071A</v>
      </c>
      <c r="R1040" s="680" t="str">
        <f t="shared" si="132"/>
        <v>نوار گردگیر داخل درب جلو چپ</v>
      </c>
      <c r="S1040" s="586">
        <f t="shared" si="139"/>
        <v>1</v>
      </c>
      <c r="T1040" s="673"/>
      <c r="U1040" s="673"/>
      <c r="V1040" s="673"/>
      <c r="W1040" s="673"/>
      <c r="X1040" s="590"/>
      <c r="Y1040" s="590"/>
      <c r="Z1040" s="673"/>
      <c r="AA1040" s="736"/>
    </row>
    <row r="1041" spans="1:27" ht="48" customHeight="1">
      <c r="A1041" s="1176"/>
      <c r="B1041" s="935" t="s">
        <v>5064</v>
      </c>
      <c r="C1041" s="929" t="s">
        <v>1337</v>
      </c>
      <c r="D1041" s="931" t="s">
        <v>493</v>
      </c>
      <c r="E1041" s="939"/>
      <c r="F1041" s="951">
        <v>0.47</v>
      </c>
      <c r="G1041" s="952" t="s">
        <v>0</v>
      </c>
      <c r="H1041" s="952" t="s">
        <v>1336</v>
      </c>
      <c r="I1041" s="952"/>
      <c r="J1041" s="230" t="s">
        <v>1335</v>
      </c>
      <c r="K1041" s="952">
        <v>1</v>
      </c>
      <c r="L1041" s="231" t="s">
        <v>5807</v>
      </c>
      <c r="M1041" s="194"/>
      <c r="N1041" s="1167"/>
      <c r="O1041" s="914" t="s">
        <v>1337</v>
      </c>
      <c r="P1041" s="915" t="s">
        <v>493</v>
      </c>
      <c r="Q1041" s="688" t="str">
        <f t="shared" si="136"/>
        <v>SX5F-6207071A</v>
      </c>
      <c r="R1041" s="680" t="str">
        <f t="shared" si="132"/>
        <v>نوار گردگیر داخل درب عقب چپ</v>
      </c>
      <c r="S1041" s="586">
        <f t="shared" si="139"/>
        <v>1</v>
      </c>
      <c r="T1041" s="673"/>
      <c r="U1041" s="673"/>
      <c r="V1041" s="673"/>
      <c r="W1041" s="673"/>
      <c r="X1041" s="590"/>
      <c r="Y1041" s="590"/>
      <c r="Z1041" s="673"/>
      <c r="AA1041" s="736"/>
    </row>
    <row r="1042" spans="1:27" ht="32.25" customHeight="1">
      <c r="A1042" s="1176"/>
      <c r="B1042" s="1151" t="s">
        <v>5064</v>
      </c>
      <c r="C1042" s="1154" t="s">
        <v>1334</v>
      </c>
      <c r="D1042" s="1209" t="s">
        <v>1379</v>
      </c>
      <c r="E1042" s="1126"/>
      <c r="F1042" s="1151">
        <v>1.1200000000000001</v>
      </c>
      <c r="G1042" s="952" t="s">
        <v>1</v>
      </c>
      <c r="H1042" s="952" t="s">
        <v>1329</v>
      </c>
      <c r="I1042" s="952"/>
      <c r="J1042" s="230" t="s">
        <v>1328</v>
      </c>
      <c r="K1042" s="952">
        <v>2.5</v>
      </c>
      <c r="L1042" s="231" t="s">
        <v>5999</v>
      </c>
      <c r="M1042" s="194"/>
      <c r="N1042" s="1167"/>
      <c r="O1042" s="1116" t="s">
        <v>1334</v>
      </c>
      <c r="P1042" s="1117" t="s">
        <v>438</v>
      </c>
      <c r="Q1042" s="688" t="str">
        <f t="shared" si="136"/>
        <v>QM-9</v>
      </c>
      <c r="R1042" s="680" t="str">
        <f t="shared" si="132"/>
        <v>نوار بیوتل عرض 1 سانتیمتر</v>
      </c>
      <c r="S1042" s="586">
        <f t="shared" si="139"/>
        <v>2.5</v>
      </c>
      <c r="T1042" s="673"/>
      <c r="U1042" s="673"/>
      <c r="V1042" s="673"/>
      <c r="W1042" s="673"/>
      <c r="X1042" s="590"/>
      <c r="Y1042" s="590"/>
      <c r="Z1042" s="673"/>
      <c r="AA1042" s="736"/>
    </row>
    <row r="1043" spans="1:27" ht="32.25" customHeight="1">
      <c r="A1043" s="1176"/>
      <c r="B1043" s="1151"/>
      <c r="C1043" s="1154"/>
      <c r="D1043" s="1209"/>
      <c r="E1043" s="1126"/>
      <c r="F1043" s="1151"/>
      <c r="G1043" s="233" t="s">
        <v>1</v>
      </c>
      <c r="H1043" s="396" t="s">
        <v>1322</v>
      </c>
      <c r="I1043" s="396"/>
      <c r="J1043" s="232" t="s">
        <v>1321</v>
      </c>
      <c r="K1043" s="385" t="s">
        <v>5164</v>
      </c>
      <c r="L1043" s="231" t="s">
        <v>5992</v>
      </c>
      <c r="M1043" s="194"/>
      <c r="N1043" s="1167"/>
      <c r="O1043" s="1116"/>
      <c r="P1043" s="1117"/>
      <c r="Q1043" s="688" t="str">
        <f t="shared" si="136"/>
        <v>C0811903EH</v>
      </c>
      <c r="R1043" s="680" t="str">
        <f t="shared" si="132"/>
        <v>چربی بر</v>
      </c>
      <c r="S1043" s="586" t="str">
        <f t="shared" si="139"/>
        <v>1.6 ml</v>
      </c>
      <c r="T1043" s="673"/>
      <c r="U1043" s="673"/>
      <c r="V1043" s="673"/>
      <c r="W1043" s="673"/>
      <c r="X1043" s="590"/>
      <c r="Y1043" s="590"/>
      <c r="Z1043" s="673"/>
      <c r="AA1043" s="736"/>
    </row>
    <row r="1044" spans="1:27" ht="32.25" customHeight="1">
      <c r="A1044" s="1176"/>
      <c r="B1044" s="1151" t="s">
        <v>5064</v>
      </c>
      <c r="C1044" s="1154" t="s">
        <v>1333</v>
      </c>
      <c r="D1044" s="1209" t="s">
        <v>440</v>
      </c>
      <c r="E1044" s="1126"/>
      <c r="F1044" s="1220">
        <v>1.24</v>
      </c>
      <c r="G1044" s="952" t="s">
        <v>1</v>
      </c>
      <c r="H1044" s="952" t="s">
        <v>1329</v>
      </c>
      <c r="I1044" s="952"/>
      <c r="J1044" s="230" t="s">
        <v>1328</v>
      </c>
      <c r="K1044" s="952">
        <v>2.5</v>
      </c>
      <c r="L1044" s="231" t="s">
        <v>5999</v>
      </c>
      <c r="M1044" s="194"/>
      <c r="N1044" s="1167"/>
      <c r="O1044" s="1116" t="s">
        <v>1333</v>
      </c>
      <c r="P1044" s="1117" t="s">
        <v>440</v>
      </c>
      <c r="Q1044" s="688" t="str">
        <f t="shared" si="136"/>
        <v>QM-9</v>
      </c>
      <c r="R1044" s="680" t="str">
        <f t="shared" si="132"/>
        <v>نوار بیوتل عرض 1 سانتیمتر</v>
      </c>
      <c r="S1044" s="586">
        <f t="shared" si="139"/>
        <v>2.5</v>
      </c>
      <c r="T1044" s="673"/>
      <c r="U1044" s="673"/>
      <c r="V1044" s="673"/>
      <c r="W1044" s="673"/>
      <c r="X1044" s="590"/>
      <c r="Y1044" s="590"/>
      <c r="Z1044" s="673"/>
      <c r="AA1044" s="736"/>
    </row>
    <row r="1045" spans="1:27" ht="32.25" customHeight="1">
      <c r="A1045" s="1176"/>
      <c r="B1045" s="1151"/>
      <c r="C1045" s="1154"/>
      <c r="D1045" s="1209"/>
      <c r="E1045" s="1126"/>
      <c r="F1045" s="1220"/>
      <c r="G1045" s="233" t="s">
        <v>1</v>
      </c>
      <c r="H1045" s="396" t="s">
        <v>1322</v>
      </c>
      <c r="I1045" s="396"/>
      <c r="J1045" s="232" t="s">
        <v>1321</v>
      </c>
      <c r="K1045" s="385" t="s">
        <v>5164</v>
      </c>
      <c r="L1045" s="231" t="s">
        <v>5992</v>
      </c>
      <c r="M1045" s="194"/>
      <c r="N1045" s="1167"/>
      <c r="O1045" s="1116"/>
      <c r="P1045" s="1117"/>
      <c r="Q1045" s="688" t="str">
        <f t="shared" si="136"/>
        <v>C0811903EH</v>
      </c>
      <c r="R1045" s="680" t="str">
        <f t="shared" si="132"/>
        <v>چربی بر</v>
      </c>
      <c r="S1045" s="586" t="str">
        <f t="shared" si="139"/>
        <v>1.6 ml</v>
      </c>
      <c r="T1045" s="673"/>
      <c r="U1045" s="673"/>
      <c r="V1045" s="673"/>
      <c r="W1045" s="673"/>
      <c r="X1045" s="590"/>
      <c r="Y1045" s="590"/>
      <c r="Z1045" s="673"/>
      <c r="AA1045" s="736"/>
    </row>
    <row r="1046" spans="1:27" ht="32.25" customHeight="1">
      <c r="A1046" s="1176"/>
      <c r="B1046" s="1151" t="s">
        <v>5064</v>
      </c>
      <c r="C1046" s="1154" t="s">
        <v>1332</v>
      </c>
      <c r="D1046" s="1209" t="s">
        <v>438</v>
      </c>
      <c r="E1046" s="1126"/>
      <c r="F1046" s="1151">
        <v>1.1200000000000001</v>
      </c>
      <c r="G1046" s="952" t="s">
        <v>1</v>
      </c>
      <c r="H1046" s="952" t="s">
        <v>1329</v>
      </c>
      <c r="I1046" s="952"/>
      <c r="J1046" s="230" t="s">
        <v>1328</v>
      </c>
      <c r="K1046" s="952">
        <v>2.5</v>
      </c>
      <c r="L1046" s="231" t="s">
        <v>5999</v>
      </c>
      <c r="M1046" s="194"/>
      <c r="N1046" s="1167"/>
      <c r="O1046" s="1116" t="s">
        <v>1332</v>
      </c>
      <c r="P1046" s="1117" t="s">
        <v>438</v>
      </c>
      <c r="Q1046" s="688" t="str">
        <f t="shared" si="136"/>
        <v>QM-9</v>
      </c>
      <c r="R1046" s="680" t="str">
        <f t="shared" si="132"/>
        <v>نوار بیوتل عرض 1 سانتیمتر</v>
      </c>
      <c r="S1046" s="586">
        <f t="shared" si="139"/>
        <v>2.5</v>
      </c>
      <c r="T1046" s="673"/>
      <c r="U1046" s="673"/>
      <c r="V1046" s="673"/>
      <c r="W1046" s="673"/>
      <c r="X1046" s="590"/>
      <c r="Y1046" s="590"/>
      <c r="Z1046" s="673"/>
      <c r="AA1046" s="736"/>
    </row>
    <row r="1047" spans="1:27" ht="32.25" customHeight="1">
      <c r="A1047" s="1176"/>
      <c r="B1047" s="1151"/>
      <c r="C1047" s="1154"/>
      <c r="D1047" s="1209"/>
      <c r="E1047" s="1126"/>
      <c r="F1047" s="1151"/>
      <c r="G1047" s="233" t="s">
        <v>1</v>
      </c>
      <c r="H1047" s="396" t="s">
        <v>1322</v>
      </c>
      <c r="I1047" s="396"/>
      <c r="J1047" s="232" t="s">
        <v>1321</v>
      </c>
      <c r="K1047" s="385" t="s">
        <v>5164</v>
      </c>
      <c r="L1047" s="231" t="s">
        <v>5992</v>
      </c>
      <c r="M1047" s="194"/>
      <c r="N1047" s="1167"/>
      <c r="O1047" s="1116"/>
      <c r="P1047" s="1117"/>
      <c r="Q1047" s="688" t="str">
        <f t="shared" si="136"/>
        <v>C0811903EH</v>
      </c>
      <c r="R1047" s="680" t="str">
        <f t="shared" si="132"/>
        <v>چربی بر</v>
      </c>
      <c r="S1047" s="586" t="str">
        <f t="shared" si="139"/>
        <v>1.6 ml</v>
      </c>
      <c r="T1047" s="673"/>
      <c r="U1047" s="673"/>
      <c r="V1047" s="673"/>
      <c r="W1047" s="673"/>
      <c r="X1047" s="590"/>
      <c r="Y1047" s="590"/>
      <c r="Z1047" s="673"/>
      <c r="AA1047" s="736"/>
    </row>
    <row r="1048" spans="1:27" ht="32.25" customHeight="1">
      <c r="A1048" s="1176"/>
      <c r="B1048" s="1151" t="s">
        <v>5064</v>
      </c>
      <c r="C1048" s="1154" t="s">
        <v>1330</v>
      </c>
      <c r="D1048" s="1209" t="s">
        <v>440</v>
      </c>
      <c r="E1048" s="1126"/>
      <c r="F1048" s="1220">
        <v>1.21</v>
      </c>
      <c r="G1048" s="952" t="s">
        <v>1</v>
      </c>
      <c r="H1048" s="952" t="s">
        <v>1329</v>
      </c>
      <c r="I1048" s="952"/>
      <c r="J1048" s="230" t="s">
        <v>1328</v>
      </c>
      <c r="K1048" s="952">
        <v>2.5</v>
      </c>
      <c r="L1048" s="231" t="s">
        <v>5999</v>
      </c>
      <c r="M1048" s="194"/>
      <c r="N1048" s="1167"/>
      <c r="O1048" s="1116" t="s">
        <v>1330</v>
      </c>
      <c r="P1048" s="1117" t="s">
        <v>440</v>
      </c>
      <c r="Q1048" s="688" t="str">
        <f t="shared" si="136"/>
        <v>QM-9</v>
      </c>
      <c r="R1048" s="680" t="str">
        <f t="shared" si="132"/>
        <v>نوار بیوتل عرض 1 سانتیمتر</v>
      </c>
      <c r="S1048" s="586">
        <f t="shared" si="139"/>
        <v>2.5</v>
      </c>
      <c r="T1048" s="673"/>
      <c r="U1048" s="673"/>
      <c r="V1048" s="673"/>
      <c r="W1048" s="673"/>
      <c r="X1048" s="590"/>
      <c r="Y1048" s="590"/>
      <c r="Z1048" s="673"/>
      <c r="AA1048" s="736"/>
    </row>
    <row r="1049" spans="1:27" ht="32.25" customHeight="1">
      <c r="A1049" s="1176"/>
      <c r="B1049" s="1151"/>
      <c r="C1049" s="1154"/>
      <c r="D1049" s="1209"/>
      <c r="E1049" s="1126"/>
      <c r="F1049" s="1220"/>
      <c r="G1049" s="233" t="s">
        <v>1</v>
      </c>
      <c r="H1049" s="396" t="s">
        <v>1322</v>
      </c>
      <c r="I1049" s="396"/>
      <c r="J1049" s="232" t="s">
        <v>1321</v>
      </c>
      <c r="K1049" s="385" t="s">
        <v>5164</v>
      </c>
      <c r="L1049" s="231" t="s">
        <v>5992</v>
      </c>
      <c r="M1049" s="194"/>
      <c r="N1049" s="1167"/>
      <c r="O1049" s="1116"/>
      <c r="P1049" s="1117"/>
      <c r="Q1049" s="688" t="str">
        <f t="shared" si="136"/>
        <v>C0811903EH</v>
      </c>
      <c r="R1049" s="680" t="str">
        <f t="shared" si="132"/>
        <v>چربی بر</v>
      </c>
      <c r="S1049" s="586" t="str">
        <f t="shared" si="139"/>
        <v>1.6 ml</v>
      </c>
      <c r="T1049" s="673"/>
      <c r="U1049" s="673"/>
      <c r="V1049" s="673"/>
      <c r="W1049" s="673"/>
      <c r="X1049" s="590"/>
      <c r="Y1049" s="590"/>
      <c r="Z1049" s="673"/>
      <c r="AA1049" s="736"/>
    </row>
    <row r="1050" spans="1:27" ht="32.25" customHeight="1">
      <c r="A1050" s="1176"/>
      <c r="B1050" s="1151" t="s">
        <v>5064</v>
      </c>
      <c r="C1050" s="1154" t="s">
        <v>1326</v>
      </c>
      <c r="D1050" s="1209" t="s">
        <v>1325</v>
      </c>
      <c r="E1050" s="1126"/>
      <c r="F1050" s="1220"/>
      <c r="G1050" s="952" t="s">
        <v>0</v>
      </c>
      <c r="H1050" s="568" t="s">
        <v>1324</v>
      </c>
      <c r="I1050" s="952"/>
      <c r="J1050" s="232" t="s">
        <v>1323</v>
      </c>
      <c r="K1050" s="569">
        <v>4</v>
      </c>
      <c r="L1050" s="231" t="s">
        <v>5999</v>
      </c>
      <c r="M1050" s="194"/>
      <c r="N1050" s="1167"/>
      <c r="O1050" s="1116" t="s">
        <v>1326</v>
      </c>
      <c r="P1050" s="1117" t="s">
        <v>1325</v>
      </c>
      <c r="Q1050" s="688" t="str">
        <f t="shared" si="136"/>
        <v>9252044080-PA01</v>
      </c>
      <c r="R1050" s="680" t="str">
        <f t="shared" si="132"/>
        <v>پد ضربه گیر درب های جانبی</v>
      </c>
      <c r="S1050" s="586">
        <f t="shared" si="139"/>
        <v>4</v>
      </c>
      <c r="T1050" s="673"/>
      <c r="U1050" s="673"/>
      <c r="V1050" s="673"/>
      <c r="W1050" s="673"/>
      <c r="X1050" s="590"/>
      <c r="Y1050" s="590"/>
      <c r="Z1050" s="673"/>
      <c r="AA1050" s="736"/>
    </row>
    <row r="1051" spans="1:27" ht="32.25" customHeight="1" thickBot="1">
      <c r="A1051" s="1236"/>
      <c r="B1051" s="1232"/>
      <c r="C1051" s="1186"/>
      <c r="D1051" s="1159"/>
      <c r="E1051" s="1214"/>
      <c r="F1051" s="1239"/>
      <c r="G1051" s="279" t="s">
        <v>1</v>
      </c>
      <c r="H1051" s="373" t="s">
        <v>1322</v>
      </c>
      <c r="I1051" s="373"/>
      <c r="J1051" s="374" t="s">
        <v>1321</v>
      </c>
      <c r="K1051" s="375" t="s">
        <v>5164</v>
      </c>
      <c r="L1051" s="250" t="s">
        <v>5992</v>
      </c>
      <c r="M1051" s="194"/>
      <c r="N1051" s="1168"/>
      <c r="O1051" s="1186"/>
      <c r="P1051" s="1159"/>
      <c r="Q1051" s="540" t="str">
        <f t="shared" si="136"/>
        <v>C0811903EH</v>
      </c>
      <c r="R1051" s="536" t="str">
        <f t="shared" si="132"/>
        <v>چربی بر</v>
      </c>
      <c r="S1051" s="586" t="str">
        <f t="shared" si="139"/>
        <v>1.6 ml</v>
      </c>
      <c r="T1051" s="286"/>
      <c r="U1051" s="286"/>
      <c r="V1051" s="286"/>
      <c r="W1051" s="286"/>
      <c r="X1051" s="284"/>
      <c r="Y1051" s="284"/>
      <c r="Z1051" s="286"/>
      <c r="AA1051" s="490"/>
    </row>
    <row r="1052" spans="1:27" ht="37.5" customHeight="1">
      <c r="A1052" s="1166" t="s">
        <v>6151</v>
      </c>
      <c r="B1052" s="946" t="s">
        <v>5064</v>
      </c>
      <c r="C1052" s="943" t="s">
        <v>1320</v>
      </c>
      <c r="D1052" s="944" t="s">
        <v>438</v>
      </c>
      <c r="E1052" s="945"/>
      <c r="F1052" s="1014">
        <v>1.38</v>
      </c>
      <c r="G1052" s="997" t="s">
        <v>0</v>
      </c>
      <c r="H1052" s="997" t="s">
        <v>439</v>
      </c>
      <c r="I1052" s="997"/>
      <c r="J1052" s="221" t="s">
        <v>1319</v>
      </c>
      <c r="K1052" s="997">
        <v>1</v>
      </c>
      <c r="L1052" s="222" t="s">
        <v>6000</v>
      </c>
      <c r="M1052" s="194"/>
      <c r="N1052" s="1166" t="str">
        <f>A1052</f>
        <v>P84</v>
      </c>
      <c r="O1052" s="943" t="s">
        <v>1320</v>
      </c>
      <c r="P1052" s="944" t="s">
        <v>438</v>
      </c>
      <c r="Q1052" s="524" t="str">
        <f t="shared" si="136"/>
        <v>SX5-6107193</v>
      </c>
      <c r="R1052" s="513" t="str">
        <f t="shared" si="132"/>
        <v>عایق ضد آب رودری جلو چپ</v>
      </c>
      <c r="S1052" s="586">
        <f t="shared" si="139"/>
        <v>1</v>
      </c>
      <c r="T1052" s="469"/>
      <c r="U1052" s="469"/>
      <c r="V1052" s="469"/>
      <c r="W1052" s="469"/>
      <c r="X1052" s="227"/>
      <c r="Y1052" s="227"/>
      <c r="Z1052" s="469"/>
      <c r="AA1052" s="487"/>
    </row>
    <row r="1053" spans="1:27" ht="56.25" customHeight="1">
      <c r="A1053" s="1167"/>
      <c r="B1053" s="935" t="s">
        <v>5064</v>
      </c>
      <c r="C1053" s="929" t="s">
        <v>1318</v>
      </c>
      <c r="D1053" s="931" t="s">
        <v>440</v>
      </c>
      <c r="E1053" s="939"/>
      <c r="F1053" s="951">
        <v>1.38</v>
      </c>
      <c r="G1053" s="952" t="s">
        <v>0</v>
      </c>
      <c r="H1053" s="952" t="s">
        <v>1317</v>
      </c>
      <c r="I1053" s="952"/>
      <c r="J1053" s="230" t="s">
        <v>1316</v>
      </c>
      <c r="K1053" s="952">
        <v>1</v>
      </c>
      <c r="L1053" s="231" t="s">
        <v>6000</v>
      </c>
      <c r="M1053" s="194"/>
      <c r="N1053" s="1167" t="str">
        <f t="shared" si="137"/>
        <v>P84</v>
      </c>
      <c r="O1053" s="914" t="s">
        <v>1318</v>
      </c>
      <c r="P1053" s="915" t="s">
        <v>440</v>
      </c>
      <c r="Q1053" s="688" t="str">
        <f t="shared" si="136"/>
        <v>SX5-6207193</v>
      </c>
      <c r="R1053" s="680" t="str">
        <f t="shared" si="132"/>
        <v>عایق ضد آب رودری عقب چپ</v>
      </c>
      <c r="S1053" s="586">
        <f t="shared" si="139"/>
        <v>1</v>
      </c>
      <c r="T1053" s="673"/>
      <c r="U1053" s="673"/>
      <c r="V1053" s="673"/>
      <c r="W1053" s="673"/>
      <c r="X1053" s="590"/>
      <c r="Y1053" s="590"/>
      <c r="Z1053" s="673"/>
      <c r="AA1053" s="736"/>
    </row>
    <row r="1054" spans="1:27" ht="27" customHeight="1">
      <c r="A1054" s="1167"/>
      <c r="B1054" s="1228" t="s">
        <v>5064</v>
      </c>
      <c r="C1054" s="1154" t="s">
        <v>1315</v>
      </c>
      <c r="D1054" s="1209" t="s">
        <v>524</v>
      </c>
      <c r="E1054" s="1126"/>
      <c r="F1054" s="1223">
        <v>0.55000000000000004</v>
      </c>
      <c r="G1054" s="952" t="s">
        <v>0</v>
      </c>
      <c r="H1054" s="952" t="s">
        <v>85</v>
      </c>
      <c r="I1054" s="952"/>
      <c r="J1054" s="230" t="s">
        <v>1250</v>
      </c>
      <c r="K1054" s="952">
        <v>2</v>
      </c>
      <c r="L1054" s="231" t="s">
        <v>5991</v>
      </c>
      <c r="M1054" s="194"/>
      <c r="N1054" s="1167">
        <f t="shared" si="137"/>
        <v>0</v>
      </c>
      <c r="O1054" s="1116" t="s">
        <v>1315</v>
      </c>
      <c r="P1054" s="1117" t="s">
        <v>524</v>
      </c>
      <c r="Q1054" s="688" t="str">
        <f t="shared" si="136"/>
        <v>BL338</v>
      </c>
      <c r="R1054" s="680" t="str">
        <f t="shared" si="132"/>
        <v>مهره پلاستیکی</v>
      </c>
      <c r="S1054" s="586">
        <f t="shared" si="139"/>
        <v>2</v>
      </c>
      <c r="T1054" s="673"/>
      <c r="U1054" s="673"/>
      <c r="V1054" s="673"/>
      <c r="W1054" s="673"/>
      <c r="X1054" s="590"/>
      <c r="Y1054" s="590"/>
      <c r="Z1054" s="673"/>
      <c r="AA1054" s="736"/>
    </row>
    <row r="1055" spans="1:27" ht="27" customHeight="1">
      <c r="A1055" s="1167"/>
      <c r="B1055" s="1228"/>
      <c r="C1055" s="1154" t="s">
        <v>1248</v>
      </c>
      <c r="D1055" s="1209"/>
      <c r="E1055" s="1126"/>
      <c r="F1055" s="1223"/>
      <c r="G1055" s="952" t="s">
        <v>1</v>
      </c>
      <c r="H1055" s="952" t="s">
        <v>525</v>
      </c>
      <c r="I1055" s="952"/>
      <c r="J1055" s="230" t="s">
        <v>1314</v>
      </c>
      <c r="K1055" s="952">
        <v>1</v>
      </c>
      <c r="L1055" s="231" t="s">
        <v>5991</v>
      </c>
      <c r="M1055" s="194"/>
      <c r="N1055" s="1167">
        <f t="shared" si="137"/>
        <v>0</v>
      </c>
      <c r="O1055" s="1116" t="s">
        <v>1248</v>
      </c>
      <c r="P1055" s="1117"/>
      <c r="Q1055" s="688" t="str">
        <f t="shared" si="136"/>
        <v>SX5F-6202057</v>
      </c>
      <c r="R1055" s="680" t="str">
        <f t="shared" si="132"/>
        <v xml:space="preserve">براکت نگهدارنده دستگیره درب عقب چپ </v>
      </c>
      <c r="S1055" s="586">
        <f t="shared" si="139"/>
        <v>1</v>
      </c>
      <c r="T1055" s="673"/>
      <c r="U1055" s="673"/>
      <c r="V1055" s="673"/>
      <c r="W1055" s="673"/>
      <c r="X1055" s="590"/>
      <c r="Y1055" s="590"/>
      <c r="Z1055" s="673"/>
      <c r="AA1055" s="736"/>
    </row>
    <row r="1056" spans="1:27" ht="27" customHeight="1">
      <c r="A1056" s="1167"/>
      <c r="B1056" s="1228"/>
      <c r="C1056" s="1154" t="s">
        <v>1248</v>
      </c>
      <c r="D1056" s="1209"/>
      <c r="E1056" s="1126"/>
      <c r="F1056" s="1223"/>
      <c r="G1056" s="952" t="s">
        <v>2</v>
      </c>
      <c r="H1056" s="952" t="s">
        <v>527</v>
      </c>
      <c r="I1056" s="952"/>
      <c r="J1056" s="230" t="s">
        <v>1291</v>
      </c>
      <c r="K1056" s="952">
        <v>2</v>
      </c>
      <c r="L1056" s="231" t="s">
        <v>5955</v>
      </c>
      <c r="M1056" s="194"/>
      <c r="N1056" s="1167">
        <f t="shared" si="137"/>
        <v>0</v>
      </c>
      <c r="O1056" s="1116" t="s">
        <v>1248</v>
      </c>
      <c r="P1056" s="1117"/>
      <c r="Q1056" s="688" t="str">
        <f t="shared" si="136"/>
        <v>Q2735516F38</v>
      </c>
      <c r="R1056" s="680" t="str">
        <f t="shared" si="132"/>
        <v>پیچ چهارسو سر عدسی</v>
      </c>
      <c r="S1056" s="586">
        <f t="shared" si="139"/>
        <v>2</v>
      </c>
      <c r="T1056" s="614">
        <v>3</v>
      </c>
      <c r="U1056" s="614">
        <v>4</v>
      </c>
      <c r="V1056" s="614">
        <v>5</v>
      </c>
      <c r="W1056" s="615" t="s">
        <v>5461</v>
      </c>
      <c r="X1056" s="614" t="s">
        <v>5671</v>
      </c>
      <c r="Y1056" s="614" t="s">
        <v>5731</v>
      </c>
      <c r="Z1056" s="673"/>
      <c r="AA1056" s="736"/>
    </row>
    <row r="1057" spans="1:27" ht="27" customHeight="1">
      <c r="A1057" s="1167"/>
      <c r="B1057" s="1228" t="s">
        <v>5064</v>
      </c>
      <c r="C1057" s="1154" t="s">
        <v>1313</v>
      </c>
      <c r="D1057" s="1209" t="s">
        <v>537</v>
      </c>
      <c r="E1057" s="1126"/>
      <c r="F1057" s="1223">
        <v>1.59</v>
      </c>
      <c r="G1057" s="952" t="s">
        <v>0</v>
      </c>
      <c r="H1057" s="952" t="s">
        <v>85</v>
      </c>
      <c r="I1057" s="952"/>
      <c r="J1057" s="230" t="s">
        <v>1250</v>
      </c>
      <c r="K1057" s="952">
        <v>2</v>
      </c>
      <c r="L1057" s="231" t="s">
        <v>5991</v>
      </c>
      <c r="M1057" s="194"/>
      <c r="N1057" s="1167">
        <f t="shared" si="137"/>
        <v>0</v>
      </c>
      <c r="O1057" s="1116" t="s">
        <v>1313</v>
      </c>
      <c r="P1057" s="1117" t="s">
        <v>537</v>
      </c>
      <c r="Q1057" s="688" t="str">
        <f t="shared" si="136"/>
        <v>BL338</v>
      </c>
      <c r="R1057" s="680" t="str">
        <f t="shared" si="132"/>
        <v>مهره پلاستیکی</v>
      </c>
      <c r="S1057" s="586">
        <f t="shared" si="139"/>
        <v>2</v>
      </c>
      <c r="T1057" s="673"/>
      <c r="U1057" s="673"/>
      <c r="V1057" s="673"/>
      <c r="W1057" s="673"/>
      <c r="X1057" s="590"/>
      <c r="Y1057" s="590"/>
      <c r="Z1057" s="673"/>
      <c r="AA1057" s="736"/>
    </row>
    <row r="1058" spans="1:27" ht="27" customHeight="1">
      <c r="A1058" s="1167"/>
      <c r="B1058" s="1228"/>
      <c r="C1058" s="1154" t="s">
        <v>1248</v>
      </c>
      <c r="D1058" s="1209"/>
      <c r="E1058" s="1126"/>
      <c r="F1058" s="1223"/>
      <c r="G1058" s="952" t="s">
        <v>1</v>
      </c>
      <c r="H1058" s="933" t="s">
        <v>5217</v>
      </c>
      <c r="I1058" s="933"/>
      <c r="J1058" s="230" t="s">
        <v>1312</v>
      </c>
      <c r="K1058" s="952">
        <v>1</v>
      </c>
      <c r="L1058" s="231" t="s">
        <v>6001</v>
      </c>
      <c r="M1058" s="194"/>
      <c r="N1058" s="1167">
        <f t="shared" si="137"/>
        <v>0</v>
      </c>
      <c r="O1058" s="1116" t="s">
        <v>1248</v>
      </c>
      <c r="P1058" s="1117"/>
      <c r="Q1058" s="688" t="str">
        <f t="shared" si="136"/>
        <v>SX5K-6102-0027A1</v>
      </c>
      <c r="R1058" s="680" t="str">
        <f t="shared" si="132"/>
        <v>رودری درب جلو چپ</v>
      </c>
      <c r="S1058" s="586">
        <f t="shared" si="139"/>
        <v>1</v>
      </c>
      <c r="T1058" s="673"/>
      <c r="U1058" s="673"/>
      <c r="V1058" s="673"/>
      <c r="W1058" s="673"/>
      <c r="X1058" s="590"/>
      <c r="Y1058" s="590"/>
      <c r="Z1058" s="673"/>
      <c r="AA1058" s="736"/>
    </row>
    <row r="1059" spans="1:27" ht="27" customHeight="1">
      <c r="A1059" s="1167"/>
      <c r="B1059" s="1228"/>
      <c r="C1059" s="1154" t="s">
        <v>1248</v>
      </c>
      <c r="D1059" s="1209"/>
      <c r="E1059" s="1126"/>
      <c r="F1059" s="1223"/>
      <c r="G1059" s="952" t="s">
        <v>2</v>
      </c>
      <c r="H1059" s="952" t="s">
        <v>19</v>
      </c>
      <c r="I1059" s="952"/>
      <c r="J1059" s="230" t="s">
        <v>1279</v>
      </c>
      <c r="K1059" s="952">
        <v>2</v>
      </c>
      <c r="L1059" s="231" t="s">
        <v>5991</v>
      </c>
      <c r="M1059" s="194"/>
      <c r="N1059" s="1167">
        <f t="shared" si="137"/>
        <v>0</v>
      </c>
      <c r="O1059" s="1116" t="s">
        <v>1248</v>
      </c>
      <c r="P1059" s="1117"/>
      <c r="Q1059" s="688" t="str">
        <f t="shared" si="136"/>
        <v>Q230B0616F38</v>
      </c>
      <c r="R1059" s="680" t="str">
        <f t="shared" si="132"/>
        <v>پیچ چهارسو سر گرد</v>
      </c>
      <c r="S1059" s="586">
        <f t="shared" si="139"/>
        <v>2</v>
      </c>
      <c r="T1059" s="614">
        <v>3</v>
      </c>
      <c r="U1059" s="614">
        <v>4</v>
      </c>
      <c r="V1059" s="614">
        <v>5</v>
      </c>
      <c r="W1059" s="615" t="s">
        <v>5461</v>
      </c>
      <c r="X1059" s="614" t="s">
        <v>5671</v>
      </c>
      <c r="Y1059" s="614" t="s">
        <v>5731</v>
      </c>
      <c r="Z1059" s="673"/>
      <c r="AA1059" s="736"/>
    </row>
    <row r="1060" spans="1:27" ht="27" customHeight="1">
      <c r="A1060" s="1167"/>
      <c r="B1060" s="1228"/>
      <c r="C1060" s="1154" t="s">
        <v>1248</v>
      </c>
      <c r="D1060" s="1209"/>
      <c r="E1060" s="1126"/>
      <c r="F1060" s="1223"/>
      <c r="G1060" s="952" t="s">
        <v>7</v>
      </c>
      <c r="H1060" s="952" t="s">
        <v>527</v>
      </c>
      <c r="I1060" s="952"/>
      <c r="J1060" s="230" t="s">
        <v>1291</v>
      </c>
      <c r="K1060" s="952">
        <v>2</v>
      </c>
      <c r="L1060" s="231" t="s">
        <v>5955</v>
      </c>
      <c r="M1060" s="194"/>
      <c r="N1060" s="1167">
        <f t="shared" si="137"/>
        <v>0</v>
      </c>
      <c r="O1060" s="1116" t="s">
        <v>1248</v>
      </c>
      <c r="P1060" s="1117"/>
      <c r="Q1060" s="688" t="str">
        <f t="shared" si="136"/>
        <v>Q2735516F38</v>
      </c>
      <c r="R1060" s="680" t="str">
        <f t="shared" si="132"/>
        <v>پیچ چهارسو سر عدسی</v>
      </c>
      <c r="S1060" s="586">
        <f t="shared" si="139"/>
        <v>2</v>
      </c>
      <c r="T1060" s="614">
        <v>3</v>
      </c>
      <c r="U1060" s="614">
        <v>4</v>
      </c>
      <c r="V1060" s="614">
        <v>5</v>
      </c>
      <c r="W1060" s="615" t="s">
        <v>5461</v>
      </c>
      <c r="X1060" s="614" t="s">
        <v>5671</v>
      </c>
      <c r="Y1060" s="614" t="s">
        <v>5731</v>
      </c>
      <c r="Z1060" s="673"/>
      <c r="AA1060" s="736"/>
    </row>
    <row r="1061" spans="1:27" ht="27" customHeight="1">
      <c r="A1061" s="1167"/>
      <c r="B1061" s="1228"/>
      <c r="C1061" s="1154" t="s">
        <v>1248</v>
      </c>
      <c r="D1061" s="1209"/>
      <c r="E1061" s="1126"/>
      <c r="F1061" s="1223"/>
      <c r="G1061" s="952" t="s">
        <v>9</v>
      </c>
      <c r="H1061" s="952" t="s">
        <v>5085</v>
      </c>
      <c r="I1061" s="952"/>
      <c r="J1061" s="230" t="s">
        <v>1285</v>
      </c>
      <c r="K1061" s="952">
        <v>1</v>
      </c>
      <c r="L1061" s="231" t="s">
        <v>5991</v>
      </c>
      <c r="M1061" s="194"/>
      <c r="N1061" s="1167">
        <f t="shared" si="137"/>
        <v>0</v>
      </c>
      <c r="O1061" s="1116" t="s">
        <v>1248</v>
      </c>
      <c r="P1061" s="1117"/>
      <c r="Q1061" s="688" t="str">
        <f t="shared" si="136"/>
        <v>SX5F-6102051-Y1</v>
      </c>
      <c r="R1061" s="680" t="str">
        <f t="shared" si="132"/>
        <v>کاور تزئینی درب جلو</v>
      </c>
      <c r="S1061" s="586">
        <f t="shared" si="139"/>
        <v>1</v>
      </c>
      <c r="T1061" s="673"/>
      <c r="U1061" s="673"/>
      <c r="V1061" s="673"/>
      <c r="W1061" s="673"/>
      <c r="X1061" s="590"/>
      <c r="Y1061" s="590"/>
      <c r="Z1061" s="673"/>
      <c r="AA1061" s="736"/>
    </row>
    <row r="1062" spans="1:27" ht="56.25" customHeight="1">
      <c r="A1062" s="1167"/>
      <c r="B1062" s="933" t="s">
        <v>5064</v>
      </c>
      <c r="C1062" s="929" t="s">
        <v>1311</v>
      </c>
      <c r="D1062" s="931" t="s">
        <v>522</v>
      </c>
      <c r="E1062" s="939"/>
      <c r="F1062" s="951">
        <v>0.31</v>
      </c>
      <c r="G1062" s="952" t="s">
        <v>0</v>
      </c>
      <c r="H1062" s="952" t="s">
        <v>589</v>
      </c>
      <c r="I1062" s="952"/>
      <c r="J1062" s="230" t="s">
        <v>1310</v>
      </c>
      <c r="K1062" s="952">
        <v>1</v>
      </c>
      <c r="L1062" s="231" t="s">
        <v>5999</v>
      </c>
      <c r="M1062" s="194"/>
      <c r="N1062" s="1167">
        <f t="shared" si="137"/>
        <v>0</v>
      </c>
      <c r="O1062" s="914" t="s">
        <v>1311</v>
      </c>
      <c r="P1062" s="915" t="s">
        <v>522</v>
      </c>
      <c r="Q1062" s="688" t="str">
        <f t="shared" si="136"/>
        <v>SX5F-6102510-Y1</v>
      </c>
      <c r="R1062" s="680" t="str">
        <f t="shared" si="132"/>
        <v xml:space="preserve"> قاب مثلثی پشت آینه درب جلو چپ</v>
      </c>
      <c r="S1062" s="586">
        <f t="shared" si="139"/>
        <v>1</v>
      </c>
      <c r="T1062" s="673"/>
      <c r="U1062" s="673"/>
      <c r="V1062" s="673"/>
      <c r="W1062" s="673"/>
      <c r="X1062" s="590"/>
      <c r="Y1062" s="590"/>
      <c r="Z1062" s="673"/>
      <c r="AA1062" s="736"/>
    </row>
    <row r="1063" spans="1:27" ht="26.25" customHeight="1">
      <c r="A1063" s="1167"/>
      <c r="B1063" s="1228" t="s">
        <v>5064</v>
      </c>
      <c r="C1063" s="1154" t="s">
        <v>1309</v>
      </c>
      <c r="D1063" s="1209" t="s">
        <v>537</v>
      </c>
      <c r="E1063" s="1126"/>
      <c r="F1063" s="1223">
        <v>1.39</v>
      </c>
      <c r="G1063" s="952" t="s">
        <v>0</v>
      </c>
      <c r="H1063" s="952" t="s">
        <v>85</v>
      </c>
      <c r="I1063" s="952"/>
      <c r="J1063" s="230" t="s">
        <v>1250</v>
      </c>
      <c r="K1063" s="952">
        <v>1</v>
      </c>
      <c r="L1063" s="231" t="s">
        <v>5991</v>
      </c>
      <c r="M1063" s="194"/>
      <c r="N1063" s="1167">
        <f t="shared" si="137"/>
        <v>0</v>
      </c>
      <c r="O1063" s="1116" t="s">
        <v>1309</v>
      </c>
      <c r="P1063" s="1117" t="s">
        <v>537</v>
      </c>
      <c r="Q1063" s="688" t="str">
        <f t="shared" si="136"/>
        <v>BL338</v>
      </c>
      <c r="R1063" s="680" t="str">
        <f t="shared" si="132"/>
        <v>مهره پلاستیکی</v>
      </c>
      <c r="S1063" s="586">
        <f t="shared" si="139"/>
        <v>1</v>
      </c>
      <c r="T1063" s="673"/>
      <c r="U1063" s="673"/>
      <c r="V1063" s="673"/>
      <c r="W1063" s="673"/>
      <c r="X1063" s="590"/>
      <c r="Y1063" s="590"/>
      <c r="Z1063" s="673"/>
      <c r="AA1063" s="736"/>
    </row>
    <row r="1064" spans="1:27" ht="26.25" customHeight="1">
      <c r="A1064" s="1167"/>
      <c r="B1064" s="1228"/>
      <c r="C1064" s="1154" t="s">
        <v>1248</v>
      </c>
      <c r="D1064" s="1209"/>
      <c r="E1064" s="1126"/>
      <c r="F1064" s="1223"/>
      <c r="G1064" s="952" t="s">
        <v>1</v>
      </c>
      <c r="H1064" s="933" t="s">
        <v>5219</v>
      </c>
      <c r="I1064" s="933"/>
      <c r="J1064" s="230" t="s">
        <v>1308</v>
      </c>
      <c r="K1064" s="952">
        <v>1</v>
      </c>
      <c r="L1064" s="231" t="s">
        <v>6001</v>
      </c>
      <c r="M1064" s="194"/>
      <c r="N1064" s="1167">
        <f t="shared" si="137"/>
        <v>0</v>
      </c>
      <c r="O1064" s="1116" t="s">
        <v>1248</v>
      </c>
      <c r="P1064" s="1117"/>
      <c r="Q1064" s="688" t="str">
        <f t="shared" si="136"/>
        <v>SX5K-6202-0023A1</v>
      </c>
      <c r="R1064" s="680" t="str">
        <f t="shared" si="132"/>
        <v>رودری درب عقب چپ</v>
      </c>
      <c r="S1064" s="586">
        <f t="shared" si="139"/>
        <v>1</v>
      </c>
      <c r="T1064" s="673"/>
      <c r="U1064" s="673"/>
      <c r="V1064" s="673"/>
      <c r="W1064" s="673"/>
      <c r="X1064" s="590"/>
      <c r="Y1064" s="590"/>
      <c r="Z1064" s="673"/>
      <c r="AA1064" s="736"/>
    </row>
    <row r="1065" spans="1:27" ht="26.25" customHeight="1">
      <c r="A1065" s="1167"/>
      <c r="B1065" s="1228"/>
      <c r="C1065" s="1154" t="s">
        <v>1248</v>
      </c>
      <c r="D1065" s="1209"/>
      <c r="E1065" s="1126"/>
      <c r="F1065" s="1223"/>
      <c r="G1065" s="952" t="s">
        <v>2</v>
      </c>
      <c r="H1065" s="952" t="s">
        <v>19</v>
      </c>
      <c r="I1065" s="952"/>
      <c r="J1065" s="230" t="s">
        <v>1279</v>
      </c>
      <c r="K1065" s="952">
        <v>2</v>
      </c>
      <c r="L1065" s="231" t="s">
        <v>5971</v>
      </c>
      <c r="M1065" s="194"/>
      <c r="N1065" s="1167">
        <f t="shared" si="137"/>
        <v>0</v>
      </c>
      <c r="O1065" s="1116" t="s">
        <v>1248</v>
      </c>
      <c r="P1065" s="1117"/>
      <c r="Q1065" s="688" t="str">
        <f>H1065</f>
        <v>Q230B0616F38</v>
      </c>
      <c r="R1065" s="680" t="str">
        <f t="shared" si="132"/>
        <v>پیچ چهارسو سر گرد</v>
      </c>
      <c r="S1065" s="586">
        <f t="shared" si="139"/>
        <v>2</v>
      </c>
      <c r="T1065" s="614">
        <v>3</v>
      </c>
      <c r="U1065" s="614">
        <v>4</v>
      </c>
      <c r="V1065" s="614">
        <v>5</v>
      </c>
      <c r="W1065" s="615" t="s">
        <v>5461</v>
      </c>
      <c r="X1065" s="614" t="s">
        <v>5671</v>
      </c>
      <c r="Y1065" s="614" t="s">
        <v>5731</v>
      </c>
      <c r="Z1065" s="673"/>
      <c r="AA1065" s="736"/>
    </row>
    <row r="1066" spans="1:27" ht="26.25" customHeight="1">
      <c r="A1066" s="1167"/>
      <c r="B1066" s="1228"/>
      <c r="C1066" s="1154" t="s">
        <v>1248</v>
      </c>
      <c r="D1066" s="1209"/>
      <c r="E1066" s="1126"/>
      <c r="F1066" s="1223"/>
      <c r="G1066" s="952" t="s">
        <v>7</v>
      </c>
      <c r="H1066" s="952" t="s">
        <v>807</v>
      </c>
      <c r="I1066" s="952" t="s">
        <v>5397</v>
      </c>
      <c r="J1066" s="230" t="s">
        <v>1252</v>
      </c>
      <c r="K1066" s="952">
        <v>1</v>
      </c>
      <c r="L1066" s="231" t="s">
        <v>5971</v>
      </c>
      <c r="M1066" s="194"/>
      <c r="N1066" s="1167">
        <f t="shared" si="137"/>
        <v>0</v>
      </c>
      <c r="O1066" s="1116" t="s">
        <v>1248</v>
      </c>
      <c r="P1066" s="1117"/>
      <c r="Q1066" s="688" t="str">
        <f>H1066</f>
        <v>Q2734816F38</v>
      </c>
      <c r="R1066" s="680" t="str">
        <f t="shared" si="132"/>
        <v xml:space="preserve">پیچ خودکار چهارسو </v>
      </c>
      <c r="S1066" s="586">
        <f t="shared" si="139"/>
        <v>1</v>
      </c>
      <c r="T1066" s="614">
        <v>3</v>
      </c>
      <c r="U1066" s="614">
        <v>4</v>
      </c>
      <c r="V1066" s="614">
        <v>5</v>
      </c>
      <c r="W1066" s="615" t="s">
        <v>5461</v>
      </c>
      <c r="X1066" s="614" t="s">
        <v>5671</v>
      </c>
      <c r="Y1066" s="614" t="s">
        <v>5731</v>
      </c>
      <c r="Z1066" s="673"/>
      <c r="AA1066" s="736"/>
    </row>
    <row r="1067" spans="1:27" ht="26.25" customHeight="1">
      <c r="A1067" s="1167"/>
      <c r="B1067" s="1228"/>
      <c r="C1067" s="1154" t="s">
        <v>1248</v>
      </c>
      <c r="D1067" s="1209"/>
      <c r="E1067" s="1126"/>
      <c r="F1067" s="1223"/>
      <c r="G1067" s="952" t="s">
        <v>9</v>
      </c>
      <c r="H1067" s="952" t="s">
        <v>1307</v>
      </c>
      <c r="I1067" s="952"/>
      <c r="J1067" s="230" t="s">
        <v>1306</v>
      </c>
      <c r="K1067" s="952">
        <v>1</v>
      </c>
      <c r="L1067" s="231" t="s">
        <v>5991</v>
      </c>
      <c r="M1067" s="194"/>
      <c r="N1067" s="1167">
        <f t="shared" si="137"/>
        <v>0</v>
      </c>
      <c r="O1067" s="1116" t="s">
        <v>1248</v>
      </c>
      <c r="P1067" s="1117"/>
      <c r="Q1067" s="688" t="str">
        <f t="shared" si="136"/>
        <v>SX5F-6202051-Y1</v>
      </c>
      <c r="R1067" s="680" t="str">
        <f t="shared" si="132"/>
        <v xml:space="preserve">کاور تزئینی روی پیچ درب عقب چپ </v>
      </c>
      <c r="S1067" s="586">
        <f t="shared" si="139"/>
        <v>1</v>
      </c>
      <c r="T1067" s="673"/>
      <c r="U1067" s="673"/>
      <c r="V1067" s="673"/>
      <c r="W1067" s="673"/>
      <c r="X1067" s="590"/>
      <c r="Y1067" s="590"/>
      <c r="Z1067" s="673"/>
      <c r="AA1067" s="736"/>
    </row>
    <row r="1068" spans="1:27" ht="26.25" customHeight="1">
      <c r="A1068" s="1167"/>
      <c r="B1068" s="1228" t="s">
        <v>5064</v>
      </c>
      <c r="C1068" s="1154" t="s">
        <v>1304</v>
      </c>
      <c r="D1068" s="1209" t="s">
        <v>515</v>
      </c>
      <c r="E1068" s="1126"/>
      <c r="F1068" s="1223">
        <v>1.01</v>
      </c>
      <c r="G1068" s="952" t="s">
        <v>0</v>
      </c>
      <c r="H1068" s="952" t="s">
        <v>1303</v>
      </c>
      <c r="I1068" s="952"/>
      <c r="J1068" s="230" t="s">
        <v>1302</v>
      </c>
      <c r="K1068" s="952">
        <v>1</v>
      </c>
      <c r="L1068" s="231" t="s">
        <v>6002</v>
      </c>
      <c r="M1068" s="194"/>
      <c r="N1068" s="1167">
        <f t="shared" si="137"/>
        <v>0</v>
      </c>
      <c r="O1068" s="1116" t="s">
        <v>1304</v>
      </c>
      <c r="P1068" s="1117" t="s">
        <v>515</v>
      </c>
      <c r="Q1068" s="688" t="str">
        <f t="shared" si="136"/>
        <v>SX5F-6102630-Y1</v>
      </c>
      <c r="R1068" s="680" t="str">
        <f t="shared" si="132"/>
        <v>کاور دستگیره درب جلو چپ</v>
      </c>
      <c r="S1068" s="586">
        <f t="shared" si="139"/>
        <v>1</v>
      </c>
      <c r="T1068" s="673"/>
      <c r="U1068" s="673"/>
      <c r="V1068" s="673"/>
      <c r="W1068" s="673"/>
      <c r="X1068" s="590"/>
      <c r="Y1068" s="590"/>
      <c r="Z1068" s="673"/>
      <c r="AA1068" s="736"/>
    </row>
    <row r="1069" spans="1:27" ht="26.25" customHeight="1" thickBot="1">
      <c r="A1069" s="1168"/>
      <c r="B1069" s="1237"/>
      <c r="C1069" s="1186" t="s">
        <v>1248</v>
      </c>
      <c r="D1069" s="1159"/>
      <c r="E1069" s="1214"/>
      <c r="F1069" s="1337"/>
      <c r="G1069" s="953" t="s">
        <v>0</v>
      </c>
      <c r="H1069" s="953" t="s">
        <v>1301</v>
      </c>
      <c r="I1069" s="953"/>
      <c r="J1069" s="272" t="s">
        <v>1300</v>
      </c>
      <c r="K1069" s="953">
        <v>1</v>
      </c>
      <c r="L1069" s="250" t="s">
        <v>6002</v>
      </c>
      <c r="M1069" s="194"/>
      <c r="N1069" s="1168">
        <f t="shared" si="137"/>
        <v>0</v>
      </c>
      <c r="O1069" s="1186" t="s">
        <v>1248</v>
      </c>
      <c r="P1069" s="1159"/>
      <c r="Q1069" s="540" t="str">
        <f t="shared" si="136"/>
        <v>SX5F-6202630-Y1</v>
      </c>
      <c r="R1069" s="536" t="str">
        <f t="shared" si="132"/>
        <v>کاور دستگیره درب عقب چپ</v>
      </c>
      <c r="S1069" s="586">
        <f t="shared" si="139"/>
        <v>1</v>
      </c>
      <c r="T1069" s="286"/>
      <c r="U1069" s="286"/>
      <c r="V1069" s="286"/>
      <c r="W1069" s="286"/>
      <c r="X1069" s="284"/>
      <c r="Y1069" s="284"/>
      <c r="Z1069" s="286"/>
      <c r="AA1069" s="490"/>
    </row>
    <row r="1070" spans="1:27" ht="41.25" customHeight="1">
      <c r="A1070" s="1166" t="s">
        <v>6152</v>
      </c>
      <c r="B1070" s="946" t="s">
        <v>5064</v>
      </c>
      <c r="C1070" s="943" t="s">
        <v>1299</v>
      </c>
      <c r="D1070" s="944" t="s">
        <v>438</v>
      </c>
      <c r="E1070" s="945"/>
      <c r="F1070" s="1014">
        <v>1.38</v>
      </c>
      <c r="G1070" s="997" t="s">
        <v>0</v>
      </c>
      <c r="H1070" s="997" t="s">
        <v>1298</v>
      </c>
      <c r="I1070" s="997"/>
      <c r="J1070" s="221" t="s">
        <v>1297</v>
      </c>
      <c r="K1070" s="997">
        <v>1</v>
      </c>
      <c r="L1070" s="222" t="s">
        <v>6000</v>
      </c>
      <c r="M1070" s="194"/>
      <c r="N1070" s="1166" t="str">
        <f>A1070</f>
        <v>P85</v>
      </c>
      <c r="O1070" s="943" t="s">
        <v>1299</v>
      </c>
      <c r="P1070" s="944" t="s">
        <v>438</v>
      </c>
      <c r="Q1070" s="524" t="str">
        <f t="shared" si="136"/>
        <v>SX5-6107194</v>
      </c>
      <c r="R1070" s="513" t="str">
        <f t="shared" ref="R1070:R1107" si="140">J1070</f>
        <v>عایق ضد آب رودری جلو راست</v>
      </c>
      <c r="S1070" s="586">
        <f t="shared" si="139"/>
        <v>1</v>
      </c>
      <c r="T1070" s="469"/>
      <c r="U1070" s="469"/>
      <c r="V1070" s="469"/>
      <c r="W1070" s="469"/>
      <c r="X1070" s="227"/>
      <c r="Y1070" s="227"/>
      <c r="Z1070" s="469"/>
      <c r="AA1070" s="487"/>
    </row>
    <row r="1071" spans="1:27" ht="41.25" customHeight="1">
      <c r="A1071" s="1167"/>
      <c r="B1071" s="935" t="s">
        <v>5064</v>
      </c>
      <c r="C1071" s="929" t="s">
        <v>1296</v>
      </c>
      <c r="D1071" s="931" t="s">
        <v>440</v>
      </c>
      <c r="E1071" s="939"/>
      <c r="F1071" s="951">
        <v>1.38</v>
      </c>
      <c r="G1071" s="952" t="s">
        <v>0</v>
      </c>
      <c r="H1071" s="952" t="s">
        <v>1295</v>
      </c>
      <c r="I1071" s="952"/>
      <c r="J1071" s="230" t="s">
        <v>1294</v>
      </c>
      <c r="K1071" s="952">
        <v>1</v>
      </c>
      <c r="L1071" s="231" t="s">
        <v>6000</v>
      </c>
      <c r="M1071" s="194"/>
      <c r="N1071" s="1167" t="str">
        <f t="shared" si="137"/>
        <v>P85</v>
      </c>
      <c r="O1071" s="914" t="s">
        <v>1296</v>
      </c>
      <c r="P1071" s="915" t="s">
        <v>440</v>
      </c>
      <c r="Q1071" s="688" t="str">
        <f t="shared" si="136"/>
        <v>SX5-6207194</v>
      </c>
      <c r="R1071" s="680" t="str">
        <f t="shared" si="140"/>
        <v>عایق ضد آب رودری عقب راست</v>
      </c>
      <c r="S1071" s="586">
        <f t="shared" si="139"/>
        <v>1</v>
      </c>
      <c r="T1071" s="673"/>
      <c r="U1071" s="673"/>
      <c r="V1071" s="673"/>
      <c r="W1071" s="673"/>
      <c r="X1071" s="590"/>
      <c r="Y1071" s="590"/>
      <c r="Z1071" s="673"/>
      <c r="AA1071" s="736"/>
    </row>
    <row r="1072" spans="1:27" ht="27" customHeight="1">
      <c r="A1072" s="1167"/>
      <c r="B1072" s="1228" t="s">
        <v>5064</v>
      </c>
      <c r="C1072" s="1154" t="s">
        <v>1293</v>
      </c>
      <c r="D1072" s="1209" t="s">
        <v>524</v>
      </c>
      <c r="E1072" s="1126"/>
      <c r="F1072" s="1223">
        <v>0.55000000000000004</v>
      </c>
      <c r="G1072" s="952" t="s">
        <v>0</v>
      </c>
      <c r="H1072" s="952" t="s">
        <v>85</v>
      </c>
      <c r="I1072" s="952"/>
      <c r="J1072" s="230" t="s">
        <v>1250</v>
      </c>
      <c r="K1072" s="952">
        <v>2</v>
      </c>
      <c r="L1072" s="231" t="s">
        <v>5991</v>
      </c>
      <c r="M1072" s="194"/>
      <c r="N1072" s="1167">
        <f t="shared" si="137"/>
        <v>0</v>
      </c>
      <c r="O1072" s="1116" t="s">
        <v>1293</v>
      </c>
      <c r="P1072" s="1117" t="s">
        <v>524</v>
      </c>
      <c r="Q1072" s="688" t="str">
        <f t="shared" si="136"/>
        <v>BL338</v>
      </c>
      <c r="R1072" s="680" t="str">
        <f t="shared" si="140"/>
        <v>مهره پلاستیکی</v>
      </c>
      <c r="S1072" s="586">
        <f t="shared" si="139"/>
        <v>2</v>
      </c>
      <c r="T1072" s="673"/>
      <c r="U1072" s="673"/>
      <c r="V1072" s="673"/>
      <c r="W1072" s="673"/>
      <c r="X1072" s="590"/>
      <c r="Y1072" s="590"/>
      <c r="Z1072" s="673"/>
      <c r="AA1072" s="736"/>
    </row>
    <row r="1073" spans="1:27" ht="27" customHeight="1">
      <c r="A1073" s="1167"/>
      <c r="B1073" s="1228"/>
      <c r="C1073" s="1154" t="s">
        <v>1248</v>
      </c>
      <c r="D1073" s="1209"/>
      <c r="E1073" s="1126"/>
      <c r="F1073" s="1223"/>
      <c r="G1073" s="952" t="s">
        <v>1</v>
      </c>
      <c r="H1073" s="952" t="s">
        <v>526</v>
      </c>
      <c r="I1073" s="952"/>
      <c r="J1073" s="230" t="s">
        <v>1292</v>
      </c>
      <c r="K1073" s="952">
        <v>1</v>
      </c>
      <c r="L1073" s="231" t="s">
        <v>5991</v>
      </c>
      <c r="M1073" s="194"/>
      <c r="N1073" s="1167">
        <f t="shared" si="137"/>
        <v>0</v>
      </c>
      <c r="O1073" s="1116" t="s">
        <v>1248</v>
      </c>
      <c r="P1073" s="1117"/>
      <c r="Q1073" s="688" t="str">
        <f t="shared" si="136"/>
        <v>SX5F-6202058</v>
      </c>
      <c r="R1073" s="680" t="str">
        <f t="shared" si="140"/>
        <v xml:space="preserve">براکت نگهدارنده دستگیره درب عقب راست </v>
      </c>
      <c r="S1073" s="586">
        <f t="shared" si="139"/>
        <v>1</v>
      </c>
      <c r="T1073" s="673"/>
      <c r="U1073" s="673"/>
      <c r="V1073" s="673"/>
      <c r="W1073" s="673"/>
      <c r="X1073" s="590"/>
      <c r="Y1073" s="590"/>
      <c r="Z1073" s="673"/>
      <c r="AA1073" s="736"/>
    </row>
    <row r="1074" spans="1:27" ht="27" customHeight="1">
      <c r="A1074" s="1167"/>
      <c r="B1074" s="1228"/>
      <c r="C1074" s="1154" t="s">
        <v>1248</v>
      </c>
      <c r="D1074" s="1209"/>
      <c r="E1074" s="1126"/>
      <c r="F1074" s="1223"/>
      <c r="G1074" s="952" t="s">
        <v>2</v>
      </c>
      <c r="H1074" s="952" t="s">
        <v>527</v>
      </c>
      <c r="I1074" s="952"/>
      <c r="J1074" s="230" t="s">
        <v>1291</v>
      </c>
      <c r="K1074" s="952">
        <v>2</v>
      </c>
      <c r="L1074" s="231" t="s">
        <v>5955</v>
      </c>
      <c r="M1074" s="194"/>
      <c r="N1074" s="1167">
        <f t="shared" si="137"/>
        <v>0</v>
      </c>
      <c r="O1074" s="1116" t="s">
        <v>1248</v>
      </c>
      <c r="P1074" s="1117"/>
      <c r="Q1074" s="688" t="str">
        <f t="shared" si="136"/>
        <v>Q2735516F38</v>
      </c>
      <c r="R1074" s="680" t="str">
        <f t="shared" si="140"/>
        <v>پیچ چهارسو سر عدسی</v>
      </c>
      <c r="S1074" s="586">
        <f t="shared" si="139"/>
        <v>2</v>
      </c>
      <c r="T1074" s="614">
        <v>3</v>
      </c>
      <c r="U1074" s="614">
        <v>4</v>
      </c>
      <c r="V1074" s="614">
        <v>5</v>
      </c>
      <c r="W1074" s="615" t="s">
        <v>5461</v>
      </c>
      <c r="X1074" s="614" t="s">
        <v>5671</v>
      </c>
      <c r="Y1074" s="614" t="s">
        <v>5732</v>
      </c>
      <c r="Z1074" s="673"/>
      <c r="AA1074" s="736"/>
    </row>
    <row r="1075" spans="1:27" ht="27" customHeight="1">
      <c r="A1075" s="1167"/>
      <c r="B1075" s="1228" t="s">
        <v>5064</v>
      </c>
      <c r="C1075" s="1154" t="s">
        <v>1290</v>
      </c>
      <c r="D1075" s="1209" t="s">
        <v>1289</v>
      </c>
      <c r="E1075" s="1126"/>
      <c r="F1075" s="1223">
        <v>1.59</v>
      </c>
      <c r="G1075" s="952" t="s">
        <v>0</v>
      </c>
      <c r="H1075" s="952" t="s">
        <v>85</v>
      </c>
      <c r="I1075" s="952"/>
      <c r="J1075" s="230" t="s">
        <v>1250</v>
      </c>
      <c r="K1075" s="952">
        <v>2</v>
      </c>
      <c r="L1075" s="231" t="s">
        <v>5991</v>
      </c>
      <c r="M1075" s="194"/>
      <c r="N1075" s="1167">
        <f t="shared" si="137"/>
        <v>0</v>
      </c>
      <c r="O1075" s="1116" t="s">
        <v>1290</v>
      </c>
      <c r="P1075" s="1117" t="s">
        <v>1289</v>
      </c>
      <c r="Q1075" s="688" t="str">
        <f t="shared" si="136"/>
        <v>BL338</v>
      </c>
      <c r="R1075" s="680" t="str">
        <f t="shared" si="140"/>
        <v>مهره پلاستیکی</v>
      </c>
      <c r="S1075" s="586">
        <f t="shared" si="139"/>
        <v>2</v>
      </c>
      <c r="T1075" s="673"/>
      <c r="U1075" s="673"/>
      <c r="V1075" s="673"/>
      <c r="W1075" s="673"/>
      <c r="X1075" s="590"/>
      <c r="Y1075" s="590"/>
      <c r="Z1075" s="673"/>
      <c r="AA1075" s="736"/>
    </row>
    <row r="1076" spans="1:27" ht="27" customHeight="1">
      <c r="A1076" s="1167"/>
      <c r="B1076" s="1228"/>
      <c r="C1076" s="1154" t="s">
        <v>1248</v>
      </c>
      <c r="D1076" s="1209"/>
      <c r="E1076" s="1126"/>
      <c r="F1076" s="1223"/>
      <c r="G1076" s="952" t="s">
        <v>1</v>
      </c>
      <c r="H1076" s="933" t="s">
        <v>5218</v>
      </c>
      <c r="I1076" s="935"/>
      <c r="J1076" s="230" t="s">
        <v>1288</v>
      </c>
      <c r="K1076" s="952">
        <v>1</v>
      </c>
      <c r="L1076" s="231" t="s">
        <v>6001</v>
      </c>
      <c r="M1076" s="194"/>
      <c r="N1076" s="1167">
        <f t="shared" si="137"/>
        <v>0</v>
      </c>
      <c r="O1076" s="1116" t="s">
        <v>1248</v>
      </c>
      <c r="P1076" s="1117"/>
      <c r="Q1076" s="688" t="str">
        <f t="shared" si="136"/>
        <v>SX5K-6102-0028A1</v>
      </c>
      <c r="R1076" s="680" t="str">
        <f t="shared" si="140"/>
        <v>رودری درب جلو راست</v>
      </c>
      <c r="S1076" s="586">
        <f t="shared" si="139"/>
        <v>1</v>
      </c>
      <c r="T1076" s="673"/>
      <c r="U1076" s="673"/>
      <c r="V1076" s="673"/>
      <c r="W1076" s="673"/>
      <c r="X1076" s="590"/>
      <c r="Y1076" s="590"/>
      <c r="Z1076" s="673"/>
      <c r="AA1076" s="736"/>
    </row>
    <row r="1077" spans="1:27" ht="27" customHeight="1">
      <c r="A1077" s="1167"/>
      <c r="B1077" s="1228"/>
      <c r="C1077" s="1154" t="s">
        <v>1248</v>
      </c>
      <c r="D1077" s="1209"/>
      <c r="E1077" s="1126"/>
      <c r="F1077" s="1223"/>
      <c r="G1077" s="952" t="s">
        <v>2</v>
      </c>
      <c r="H1077" s="952" t="s">
        <v>19</v>
      </c>
      <c r="I1077" s="952"/>
      <c r="J1077" s="230" t="s">
        <v>1279</v>
      </c>
      <c r="K1077" s="952">
        <v>2</v>
      </c>
      <c r="L1077" s="231" t="s">
        <v>5991</v>
      </c>
      <c r="M1077" s="194"/>
      <c r="N1077" s="1167">
        <f t="shared" si="137"/>
        <v>0</v>
      </c>
      <c r="O1077" s="1116" t="s">
        <v>1248</v>
      </c>
      <c r="P1077" s="1117"/>
      <c r="Q1077" s="688" t="str">
        <f t="shared" si="136"/>
        <v>Q230B0616F38</v>
      </c>
      <c r="R1077" s="680" t="str">
        <f t="shared" si="140"/>
        <v>پیچ چهارسو سر گرد</v>
      </c>
      <c r="S1077" s="586">
        <f t="shared" si="139"/>
        <v>2</v>
      </c>
      <c r="T1077" s="614">
        <v>3</v>
      </c>
      <c r="U1077" s="614">
        <v>4</v>
      </c>
      <c r="V1077" s="614">
        <v>5</v>
      </c>
      <c r="W1077" s="615" t="s">
        <v>5461</v>
      </c>
      <c r="X1077" s="614" t="s">
        <v>5671</v>
      </c>
      <c r="Y1077" s="614" t="s">
        <v>5732</v>
      </c>
      <c r="Z1077" s="673"/>
      <c r="AA1077" s="736"/>
    </row>
    <row r="1078" spans="1:27" ht="27" customHeight="1">
      <c r="A1078" s="1167"/>
      <c r="B1078" s="1228"/>
      <c r="C1078" s="1154" t="s">
        <v>1248</v>
      </c>
      <c r="D1078" s="1209"/>
      <c r="E1078" s="1126"/>
      <c r="F1078" s="1223"/>
      <c r="G1078" s="952" t="s">
        <v>7</v>
      </c>
      <c r="H1078" s="952" t="s">
        <v>527</v>
      </c>
      <c r="I1078" s="952"/>
      <c r="J1078" s="230" t="s">
        <v>1287</v>
      </c>
      <c r="K1078" s="952">
        <v>2</v>
      </c>
      <c r="L1078" s="231" t="s">
        <v>5955</v>
      </c>
      <c r="M1078" s="194"/>
      <c r="N1078" s="1167">
        <f t="shared" si="137"/>
        <v>0</v>
      </c>
      <c r="O1078" s="1116" t="s">
        <v>1248</v>
      </c>
      <c r="P1078" s="1117"/>
      <c r="Q1078" s="688" t="str">
        <f t="shared" si="136"/>
        <v>Q2735516F38</v>
      </c>
      <c r="R1078" s="680" t="str">
        <f t="shared" si="140"/>
        <v xml:space="preserve">پیچ چهارسو </v>
      </c>
      <c r="S1078" s="586">
        <f t="shared" si="139"/>
        <v>2</v>
      </c>
      <c r="T1078" s="614">
        <v>3</v>
      </c>
      <c r="U1078" s="614">
        <v>4</v>
      </c>
      <c r="V1078" s="614">
        <v>5</v>
      </c>
      <c r="W1078" s="615" t="s">
        <v>5461</v>
      </c>
      <c r="X1078" s="614" t="s">
        <v>5671</v>
      </c>
      <c r="Y1078" s="614" t="s">
        <v>5732</v>
      </c>
      <c r="Z1078" s="673"/>
      <c r="AA1078" s="736"/>
    </row>
    <row r="1079" spans="1:27" ht="27" customHeight="1">
      <c r="A1079" s="1167"/>
      <c r="B1079" s="1228"/>
      <c r="C1079" s="1154" t="s">
        <v>1248</v>
      </c>
      <c r="D1079" s="1209"/>
      <c r="E1079" s="1126"/>
      <c r="F1079" s="1223"/>
      <c r="G1079" s="952" t="s">
        <v>9</v>
      </c>
      <c r="H1079" s="952" t="s">
        <v>1286</v>
      </c>
      <c r="I1079" s="952"/>
      <c r="J1079" s="230" t="s">
        <v>1285</v>
      </c>
      <c r="K1079" s="952">
        <v>1</v>
      </c>
      <c r="L1079" s="231" t="s">
        <v>5991</v>
      </c>
      <c r="M1079" s="194"/>
      <c r="N1079" s="1167">
        <f t="shared" si="137"/>
        <v>0</v>
      </c>
      <c r="O1079" s="1116" t="s">
        <v>1248</v>
      </c>
      <c r="P1079" s="1117"/>
      <c r="Q1079" s="688" t="str">
        <f t="shared" si="136"/>
        <v>SX5F-6102051-Y1</v>
      </c>
      <c r="R1079" s="680" t="str">
        <f t="shared" si="140"/>
        <v>کاور تزئینی درب جلو</v>
      </c>
      <c r="S1079" s="586">
        <f t="shared" si="139"/>
        <v>1</v>
      </c>
      <c r="T1079" s="673"/>
      <c r="U1079" s="673"/>
      <c r="V1079" s="673"/>
      <c r="W1079" s="673"/>
      <c r="X1079" s="590"/>
      <c r="Y1079" s="590"/>
      <c r="Z1079" s="673"/>
      <c r="AA1079" s="736"/>
    </row>
    <row r="1080" spans="1:27" ht="37.5" customHeight="1">
      <c r="A1080" s="1167"/>
      <c r="B1080" s="933" t="s">
        <v>5064</v>
      </c>
      <c r="C1080" s="929" t="s">
        <v>1284</v>
      </c>
      <c r="D1080" s="931" t="s">
        <v>522</v>
      </c>
      <c r="E1080" s="939"/>
      <c r="F1080" s="951">
        <v>0.31</v>
      </c>
      <c r="G1080" s="952" t="s">
        <v>0</v>
      </c>
      <c r="H1080" s="952" t="s">
        <v>523</v>
      </c>
      <c r="I1080" s="952"/>
      <c r="J1080" s="230" t="s">
        <v>1283</v>
      </c>
      <c r="K1080" s="952">
        <v>1</v>
      </c>
      <c r="L1080" s="231" t="s">
        <v>5999</v>
      </c>
      <c r="M1080" s="194"/>
      <c r="N1080" s="1167">
        <f t="shared" si="137"/>
        <v>0</v>
      </c>
      <c r="O1080" s="914" t="s">
        <v>1284</v>
      </c>
      <c r="P1080" s="915" t="s">
        <v>522</v>
      </c>
      <c r="Q1080" s="688" t="str">
        <f t="shared" ref="Q1080:Q1108" si="141">H1080</f>
        <v>SX5F-6102520-Y1</v>
      </c>
      <c r="R1080" s="680" t="str">
        <f t="shared" si="140"/>
        <v xml:space="preserve"> قاب مثلثی پشت آینه درب جلو راست</v>
      </c>
      <c r="S1080" s="586">
        <f t="shared" si="139"/>
        <v>1</v>
      </c>
      <c r="T1080" s="673"/>
      <c r="U1080" s="673"/>
      <c r="V1080" s="673"/>
      <c r="W1080" s="673"/>
      <c r="X1080" s="590"/>
      <c r="Y1080" s="590"/>
      <c r="Z1080" s="673"/>
      <c r="AA1080" s="736"/>
    </row>
    <row r="1081" spans="1:27" ht="18.75" customHeight="1">
      <c r="A1081" s="1167"/>
      <c r="B1081" s="1228" t="s">
        <v>5064</v>
      </c>
      <c r="C1081" s="1154" t="s">
        <v>1282</v>
      </c>
      <c r="D1081" s="1209" t="s">
        <v>1281</v>
      </c>
      <c r="E1081" s="1126"/>
      <c r="F1081" s="1223">
        <v>1.39</v>
      </c>
      <c r="G1081" s="952" t="s">
        <v>0</v>
      </c>
      <c r="H1081" s="952" t="s">
        <v>85</v>
      </c>
      <c r="I1081" s="952"/>
      <c r="J1081" s="230" t="s">
        <v>1250</v>
      </c>
      <c r="K1081" s="952">
        <v>1</v>
      </c>
      <c r="L1081" s="231" t="s">
        <v>5991</v>
      </c>
      <c r="M1081" s="194"/>
      <c r="N1081" s="1167">
        <f t="shared" si="137"/>
        <v>0</v>
      </c>
      <c r="O1081" s="1116" t="s">
        <v>1282</v>
      </c>
      <c r="P1081" s="1117" t="s">
        <v>1281</v>
      </c>
      <c r="Q1081" s="688" t="str">
        <f t="shared" si="141"/>
        <v>BL338</v>
      </c>
      <c r="R1081" s="680" t="str">
        <f t="shared" si="140"/>
        <v>مهره پلاستیکی</v>
      </c>
      <c r="S1081" s="586">
        <f t="shared" si="139"/>
        <v>1</v>
      </c>
      <c r="T1081" s="673"/>
      <c r="U1081" s="673"/>
      <c r="V1081" s="673"/>
      <c r="W1081" s="673"/>
      <c r="X1081" s="590"/>
      <c r="Y1081" s="590"/>
      <c r="Z1081" s="673"/>
      <c r="AA1081" s="736"/>
    </row>
    <row r="1082" spans="1:27" ht="27.75" customHeight="1">
      <c r="A1082" s="1167"/>
      <c r="B1082" s="1228"/>
      <c r="C1082" s="1154" t="s">
        <v>1248</v>
      </c>
      <c r="D1082" s="1209"/>
      <c r="E1082" s="1126"/>
      <c r="F1082" s="1223"/>
      <c r="G1082" s="952" t="s">
        <v>1</v>
      </c>
      <c r="H1082" s="933" t="s">
        <v>5220</v>
      </c>
      <c r="I1082" s="933"/>
      <c r="J1082" s="230" t="s">
        <v>1280</v>
      </c>
      <c r="K1082" s="952">
        <v>1</v>
      </c>
      <c r="L1082" s="231" t="s">
        <v>6001</v>
      </c>
      <c r="M1082" s="194"/>
      <c r="N1082" s="1167">
        <f t="shared" si="137"/>
        <v>0</v>
      </c>
      <c r="O1082" s="1116" t="s">
        <v>1248</v>
      </c>
      <c r="P1082" s="1117"/>
      <c r="Q1082" s="688" t="str">
        <f t="shared" si="141"/>
        <v>SX5K-6202-0024A1</v>
      </c>
      <c r="R1082" s="680" t="str">
        <f t="shared" si="140"/>
        <v>رودری درب عقب راست</v>
      </c>
      <c r="S1082" s="586">
        <f t="shared" si="139"/>
        <v>1</v>
      </c>
      <c r="T1082" s="673"/>
      <c r="U1082" s="673"/>
      <c r="V1082" s="673"/>
      <c r="W1082" s="673"/>
      <c r="X1082" s="590"/>
      <c r="Y1082" s="590"/>
      <c r="Z1082" s="673"/>
      <c r="AA1082" s="736"/>
    </row>
    <row r="1083" spans="1:27" ht="27.75" customHeight="1">
      <c r="A1083" s="1167"/>
      <c r="B1083" s="1228"/>
      <c r="C1083" s="1154" t="s">
        <v>1248</v>
      </c>
      <c r="D1083" s="1209"/>
      <c r="E1083" s="1126"/>
      <c r="F1083" s="1223"/>
      <c r="G1083" s="952" t="s">
        <v>2</v>
      </c>
      <c r="H1083" s="952" t="s">
        <v>19</v>
      </c>
      <c r="I1083" s="952"/>
      <c r="J1083" s="230" t="s">
        <v>1279</v>
      </c>
      <c r="K1083" s="952">
        <v>2</v>
      </c>
      <c r="L1083" s="231" t="s">
        <v>5991</v>
      </c>
      <c r="M1083" s="194"/>
      <c r="N1083" s="1167">
        <f t="shared" si="137"/>
        <v>0</v>
      </c>
      <c r="O1083" s="1116" t="s">
        <v>1248</v>
      </c>
      <c r="P1083" s="1117"/>
      <c r="Q1083" s="688" t="str">
        <f t="shared" si="141"/>
        <v>Q230B0616F38</v>
      </c>
      <c r="R1083" s="680" t="str">
        <f t="shared" si="140"/>
        <v>پیچ چهارسو سر گرد</v>
      </c>
      <c r="S1083" s="586">
        <f t="shared" si="139"/>
        <v>2</v>
      </c>
      <c r="T1083" s="614">
        <v>3</v>
      </c>
      <c r="U1083" s="614">
        <v>4</v>
      </c>
      <c r="V1083" s="614">
        <v>5</v>
      </c>
      <c r="W1083" s="615" t="s">
        <v>5461</v>
      </c>
      <c r="X1083" s="614" t="s">
        <v>5671</v>
      </c>
      <c r="Y1083" s="614" t="s">
        <v>5732</v>
      </c>
      <c r="Z1083" s="673"/>
      <c r="AA1083" s="736"/>
    </row>
    <row r="1084" spans="1:27" ht="27.75" customHeight="1">
      <c r="A1084" s="1167"/>
      <c r="B1084" s="1228"/>
      <c r="C1084" s="1154" t="s">
        <v>1248</v>
      </c>
      <c r="D1084" s="1209"/>
      <c r="E1084" s="1126"/>
      <c r="F1084" s="1223"/>
      <c r="G1084" s="952" t="s">
        <v>7</v>
      </c>
      <c r="H1084" s="952" t="s">
        <v>807</v>
      </c>
      <c r="I1084" s="952" t="s">
        <v>5397</v>
      </c>
      <c r="J1084" s="230" t="s">
        <v>1252</v>
      </c>
      <c r="K1084" s="952">
        <v>1</v>
      </c>
      <c r="L1084" s="231" t="s">
        <v>5991</v>
      </c>
      <c r="M1084" s="194"/>
      <c r="N1084" s="1167">
        <f t="shared" si="137"/>
        <v>0</v>
      </c>
      <c r="O1084" s="1116" t="s">
        <v>1248</v>
      </c>
      <c r="P1084" s="1117"/>
      <c r="Q1084" s="688" t="str">
        <f t="shared" si="141"/>
        <v>Q2734816F38</v>
      </c>
      <c r="R1084" s="680" t="str">
        <f t="shared" si="140"/>
        <v xml:space="preserve">پیچ خودکار چهارسو </v>
      </c>
      <c r="S1084" s="586">
        <f t="shared" si="139"/>
        <v>1</v>
      </c>
      <c r="T1084" s="614">
        <v>3</v>
      </c>
      <c r="U1084" s="614">
        <v>4</v>
      </c>
      <c r="V1084" s="614">
        <v>5</v>
      </c>
      <c r="W1084" s="615" t="s">
        <v>5461</v>
      </c>
      <c r="X1084" s="614" t="s">
        <v>5671</v>
      </c>
      <c r="Y1084" s="614" t="s">
        <v>5732</v>
      </c>
      <c r="Z1084" s="673"/>
      <c r="AA1084" s="736"/>
    </row>
    <row r="1085" spans="1:27" ht="27.75" customHeight="1">
      <c r="A1085" s="1167"/>
      <c r="B1085" s="1228"/>
      <c r="C1085" s="1154" t="s">
        <v>1248</v>
      </c>
      <c r="D1085" s="1209"/>
      <c r="E1085" s="1126"/>
      <c r="F1085" s="1223"/>
      <c r="G1085" s="952" t="s">
        <v>9</v>
      </c>
      <c r="H1085" s="952" t="s">
        <v>1278</v>
      </c>
      <c r="I1085" s="952"/>
      <c r="J1085" s="230" t="s">
        <v>1277</v>
      </c>
      <c r="K1085" s="952">
        <v>1</v>
      </c>
      <c r="L1085" s="231" t="s">
        <v>5991</v>
      </c>
      <c r="M1085" s="194"/>
      <c r="N1085" s="1167">
        <f t="shared" si="137"/>
        <v>0</v>
      </c>
      <c r="O1085" s="1116" t="s">
        <v>1248</v>
      </c>
      <c r="P1085" s="1117"/>
      <c r="Q1085" s="688" t="str">
        <f t="shared" si="141"/>
        <v>SX5F-6202052-Y1</v>
      </c>
      <c r="R1085" s="680" t="str">
        <f t="shared" si="140"/>
        <v>کاور تزئینی روی پیچ درب عقب راست</v>
      </c>
      <c r="S1085" s="586">
        <f t="shared" si="139"/>
        <v>1</v>
      </c>
      <c r="T1085" s="673"/>
      <c r="U1085" s="673"/>
      <c r="V1085" s="673"/>
      <c r="W1085" s="673"/>
      <c r="X1085" s="590"/>
      <c r="Y1085" s="590"/>
      <c r="Z1085" s="673"/>
      <c r="AA1085" s="736"/>
    </row>
    <row r="1086" spans="1:27" ht="27.75" customHeight="1">
      <c r="A1086" s="1167"/>
      <c r="B1086" s="1228" t="s">
        <v>5064</v>
      </c>
      <c r="C1086" s="1154" t="s">
        <v>1275</v>
      </c>
      <c r="D1086" s="1209" t="s">
        <v>515</v>
      </c>
      <c r="E1086" s="1126"/>
      <c r="F1086" s="1223">
        <v>1.01</v>
      </c>
      <c r="G1086" s="952" t="s">
        <v>0</v>
      </c>
      <c r="H1086" s="952" t="s">
        <v>1274</v>
      </c>
      <c r="I1086" s="952"/>
      <c r="J1086" s="230" t="s">
        <v>1273</v>
      </c>
      <c r="K1086" s="952">
        <v>1</v>
      </c>
      <c r="L1086" s="231" t="s">
        <v>6002</v>
      </c>
      <c r="M1086" s="194"/>
      <c r="N1086" s="1167">
        <f t="shared" si="137"/>
        <v>0</v>
      </c>
      <c r="O1086" s="1116" t="s">
        <v>1275</v>
      </c>
      <c r="P1086" s="1117" t="s">
        <v>515</v>
      </c>
      <c r="Q1086" s="688" t="str">
        <f t="shared" si="141"/>
        <v>SX5F-6102640-Y1</v>
      </c>
      <c r="R1086" s="680" t="str">
        <f t="shared" si="140"/>
        <v>کاور دستگیره درب جلو راست</v>
      </c>
      <c r="S1086" s="586">
        <f t="shared" si="139"/>
        <v>1</v>
      </c>
      <c r="T1086" s="673"/>
      <c r="U1086" s="673"/>
      <c r="V1086" s="673"/>
      <c r="W1086" s="673"/>
      <c r="X1086" s="590"/>
      <c r="Y1086" s="590"/>
      <c r="Z1086" s="673"/>
      <c r="AA1086" s="736"/>
    </row>
    <row r="1087" spans="1:27" ht="27.75" customHeight="1" thickBot="1">
      <c r="A1087" s="1168"/>
      <c r="B1087" s="1237"/>
      <c r="C1087" s="1186" t="s">
        <v>1248</v>
      </c>
      <c r="D1087" s="1159"/>
      <c r="E1087" s="1214"/>
      <c r="F1087" s="1337"/>
      <c r="G1087" s="953" t="s">
        <v>0</v>
      </c>
      <c r="H1087" s="953" t="s">
        <v>1272</v>
      </c>
      <c r="I1087" s="953"/>
      <c r="J1087" s="272" t="s">
        <v>1271</v>
      </c>
      <c r="K1087" s="953">
        <v>1</v>
      </c>
      <c r="L1087" s="250" t="s">
        <v>6002</v>
      </c>
      <c r="M1087" s="194"/>
      <c r="N1087" s="1168">
        <f t="shared" si="137"/>
        <v>0</v>
      </c>
      <c r="O1087" s="1186" t="s">
        <v>1248</v>
      </c>
      <c r="P1087" s="1159"/>
      <c r="Q1087" s="540" t="str">
        <f t="shared" si="141"/>
        <v>SX5F-6202640-Y1</v>
      </c>
      <c r="R1087" s="536" t="str">
        <f t="shared" si="140"/>
        <v>کاور دستگیره درب عقب راست</v>
      </c>
      <c r="S1087" s="586">
        <f t="shared" si="139"/>
        <v>1</v>
      </c>
      <c r="T1087" s="286"/>
      <c r="U1087" s="286"/>
      <c r="V1087" s="286"/>
      <c r="W1087" s="286"/>
      <c r="X1087" s="284"/>
      <c r="Y1087" s="284"/>
      <c r="Z1087" s="286"/>
      <c r="AA1087" s="490"/>
    </row>
    <row r="1088" spans="1:27" ht="45.75" customHeight="1">
      <c r="A1088" s="1175" t="s">
        <v>1270</v>
      </c>
      <c r="B1088" s="1270" t="s">
        <v>1270</v>
      </c>
      <c r="C1088" s="966" t="s">
        <v>1269</v>
      </c>
      <c r="D1088" s="967" t="s">
        <v>1268</v>
      </c>
      <c r="E1088" s="1000" t="s">
        <v>4973</v>
      </c>
      <c r="F1088" s="946"/>
      <c r="G1088" s="559" t="s">
        <v>1371</v>
      </c>
      <c r="H1088" s="570"/>
      <c r="I1088" s="570"/>
      <c r="J1088" s="571"/>
      <c r="K1088" s="526"/>
      <c r="L1088" s="567"/>
      <c r="M1088" s="194"/>
      <c r="N1088" s="1175" t="str">
        <f>A1088</f>
        <v>EOL</v>
      </c>
      <c r="O1088" s="966" t="s">
        <v>1269</v>
      </c>
      <c r="P1088" s="967" t="s">
        <v>1268</v>
      </c>
      <c r="Q1088" s="524">
        <f t="shared" si="141"/>
        <v>0</v>
      </c>
      <c r="R1088" s="513">
        <f t="shared" si="140"/>
        <v>0</v>
      </c>
      <c r="S1088" s="586">
        <f t="shared" si="139"/>
        <v>0</v>
      </c>
      <c r="T1088" s="393" t="s">
        <v>5733</v>
      </c>
      <c r="U1088" s="393">
        <v>12</v>
      </c>
      <c r="V1088" s="393">
        <v>15</v>
      </c>
      <c r="W1088" s="394" t="s">
        <v>1371</v>
      </c>
      <c r="X1088" s="393" t="s">
        <v>5734</v>
      </c>
      <c r="Y1088" s="227"/>
      <c r="Z1088" s="469"/>
      <c r="AA1088" s="487"/>
    </row>
    <row r="1089" spans="1:34" ht="45.75" customHeight="1">
      <c r="A1089" s="1176"/>
      <c r="B1089" s="1268"/>
      <c r="C1089" s="964" t="s">
        <v>1267</v>
      </c>
      <c r="D1089" s="965" t="s">
        <v>1266</v>
      </c>
      <c r="E1089" s="838" t="s">
        <v>4973</v>
      </c>
      <c r="F1089" s="913"/>
      <c r="G1089" s="839" t="s">
        <v>1371</v>
      </c>
      <c r="H1089" s="840"/>
      <c r="I1089" s="840"/>
      <c r="J1089" s="841"/>
      <c r="K1089" s="941"/>
      <c r="L1089" s="829"/>
      <c r="M1089" s="194"/>
      <c r="N1089" s="1176"/>
      <c r="O1089" s="964" t="s">
        <v>1267</v>
      </c>
      <c r="P1089" s="965" t="s">
        <v>1266</v>
      </c>
      <c r="Q1089" s="688">
        <f t="shared" si="141"/>
        <v>0</v>
      </c>
      <c r="R1089" s="680">
        <f t="shared" si="140"/>
        <v>0</v>
      </c>
      <c r="S1089" s="586">
        <f t="shared" si="139"/>
        <v>0</v>
      </c>
      <c r="T1089" s="639">
        <v>90</v>
      </c>
      <c r="U1089" s="639">
        <v>100</v>
      </c>
      <c r="V1089" s="639">
        <v>110</v>
      </c>
      <c r="W1089" s="591" t="s">
        <v>1371</v>
      </c>
      <c r="X1089" s="639" t="s">
        <v>5735</v>
      </c>
      <c r="Y1089" s="639" t="s">
        <v>5736</v>
      </c>
      <c r="Z1089" s="673"/>
      <c r="AA1089" s="736"/>
    </row>
    <row r="1090" spans="1:34" ht="45.75" customHeight="1">
      <c r="A1090" s="1176"/>
      <c r="B1090" s="1268"/>
      <c r="C1090" s="964" t="s">
        <v>1265</v>
      </c>
      <c r="D1090" s="965" t="s">
        <v>1264</v>
      </c>
      <c r="E1090" s="838" t="s">
        <v>4973</v>
      </c>
      <c r="F1090" s="913"/>
      <c r="G1090" s="839" t="s">
        <v>1371</v>
      </c>
      <c r="H1090" s="840"/>
      <c r="I1090" s="840"/>
      <c r="J1090" s="841"/>
      <c r="K1090" s="941"/>
      <c r="L1090" s="829"/>
      <c r="M1090" s="194"/>
      <c r="N1090" s="1176"/>
      <c r="O1090" s="964" t="s">
        <v>1265</v>
      </c>
      <c r="P1090" s="965" t="s">
        <v>1264</v>
      </c>
      <c r="Q1090" s="688">
        <f t="shared" si="141"/>
        <v>0</v>
      </c>
      <c r="R1090" s="680">
        <f t="shared" si="140"/>
        <v>0</v>
      </c>
      <c r="S1090" s="586">
        <f t="shared" si="139"/>
        <v>0</v>
      </c>
      <c r="T1090" s="639">
        <v>140</v>
      </c>
      <c r="U1090" s="639">
        <v>150</v>
      </c>
      <c r="V1090" s="639">
        <v>160</v>
      </c>
      <c r="W1090" s="591" t="s">
        <v>1371</v>
      </c>
      <c r="X1090" s="639" t="s">
        <v>5650</v>
      </c>
      <c r="Y1090" s="639" t="s">
        <v>5737</v>
      </c>
      <c r="Z1090" s="673"/>
      <c r="AA1090" s="736"/>
    </row>
    <row r="1091" spans="1:34" ht="45.75" customHeight="1">
      <c r="A1091" s="1176"/>
      <c r="B1091" s="1268"/>
      <c r="C1091" s="914" t="s">
        <v>1263</v>
      </c>
      <c r="D1091" s="915" t="s">
        <v>545</v>
      </c>
      <c r="E1091" s="838" t="s">
        <v>4973</v>
      </c>
      <c r="F1091" s="913"/>
      <c r="G1091" s="839" t="s">
        <v>1371</v>
      </c>
      <c r="H1091" s="840"/>
      <c r="I1091" s="840"/>
      <c r="J1091" s="841"/>
      <c r="K1091" s="941"/>
      <c r="L1091" s="829"/>
      <c r="M1091" s="194"/>
      <c r="N1091" s="1176"/>
      <c r="O1091" s="914" t="s">
        <v>1263</v>
      </c>
      <c r="P1091" s="915" t="s">
        <v>545</v>
      </c>
      <c r="Q1091" s="688">
        <f t="shared" si="141"/>
        <v>0</v>
      </c>
      <c r="R1091" s="680">
        <f t="shared" si="140"/>
        <v>0</v>
      </c>
      <c r="S1091" s="586">
        <f t="shared" si="139"/>
        <v>0</v>
      </c>
      <c r="T1091" s="590">
        <v>32</v>
      </c>
      <c r="U1091" s="590">
        <v>35</v>
      </c>
      <c r="V1091" s="590">
        <v>38</v>
      </c>
      <c r="W1091" s="673"/>
      <c r="X1091" s="590" t="s">
        <v>6116</v>
      </c>
      <c r="Y1091" s="590" t="s">
        <v>6115</v>
      </c>
      <c r="Z1091" s="673"/>
      <c r="AA1091" s="736"/>
    </row>
    <row r="1092" spans="1:34" ht="45.75" customHeight="1">
      <c r="A1092" s="1176"/>
      <c r="B1092" s="1268"/>
      <c r="C1092" s="914" t="s">
        <v>1262</v>
      </c>
      <c r="D1092" s="915" t="s">
        <v>545</v>
      </c>
      <c r="E1092" s="916" t="s">
        <v>4973</v>
      </c>
      <c r="F1092" s="913"/>
      <c r="G1092" s="941" t="s">
        <v>0</v>
      </c>
      <c r="H1092" s="941" t="s">
        <v>5090</v>
      </c>
      <c r="I1092" s="941"/>
      <c r="J1092" s="647" t="s">
        <v>1261</v>
      </c>
      <c r="K1092" s="941">
        <v>1</v>
      </c>
      <c r="L1092" s="802" t="s">
        <v>5807</v>
      </c>
      <c r="M1092" s="194"/>
      <c r="N1092" s="1176"/>
      <c r="O1092" s="914" t="s">
        <v>1262</v>
      </c>
      <c r="P1092" s="915" t="s">
        <v>545</v>
      </c>
      <c r="Q1092" s="688" t="str">
        <f t="shared" si="141"/>
        <v>M4-5820010C</v>
      </c>
      <c r="R1092" s="680" t="str">
        <f t="shared" si="140"/>
        <v>ایربگ راننده</v>
      </c>
      <c r="S1092" s="586">
        <f t="shared" si="139"/>
        <v>1</v>
      </c>
      <c r="T1092" s="673"/>
      <c r="U1092" s="673"/>
      <c r="V1092" s="673"/>
      <c r="W1092" s="673"/>
      <c r="X1092" s="590"/>
      <c r="Y1092" s="590"/>
      <c r="Z1092" s="673"/>
      <c r="AA1092" s="736"/>
    </row>
    <row r="1093" spans="1:34" ht="45.75" customHeight="1">
      <c r="A1093" s="1176"/>
      <c r="B1093" s="1268"/>
      <c r="C1093" s="914" t="s">
        <v>1260</v>
      </c>
      <c r="D1093" s="915" t="s">
        <v>1259</v>
      </c>
      <c r="E1093" s="916" t="s">
        <v>4973</v>
      </c>
      <c r="F1093" s="913"/>
      <c r="G1093" s="842" t="s">
        <v>1371</v>
      </c>
      <c r="H1093" s="941"/>
      <c r="I1093" s="941"/>
      <c r="J1093" s="647"/>
      <c r="K1093" s="941"/>
      <c r="L1093" s="829"/>
      <c r="M1093" s="194"/>
      <c r="N1093" s="1176"/>
      <c r="O1093" s="914" t="s">
        <v>1260</v>
      </c>
      <c r="P1093" s="915" t="s">
        <v>1259</v>
      </c>
      <c r="Q1093" s="688">
        <f t="shared" si="141"/>
        <v>0</v>
      </c>
      <c r="R1093" s="680">
        <f t="shared" si="140"/>
        <v>0</v>
      </c>
      <c r="S1093" s="586">
        <f t="shared" si="139"/>
        <v>0</v>
      </c>
      <c r="T1093" s="673"/>
      <c r="U1093" s="673"/>
      <c r="V1093" s="673"/>
      <c r="W1093" s="673"/>
      <c r="X1093" s="590"/>
      <c r="Y1093" s="590"/>
      <c r="Z1093" s="673"/>
      <c r="AA1093" s="736"/>
    </row>
    <row r="1094" spans="1:34" ht="45.75" customHeight="1">
      <c r="A1094" s="1176"/>
      <c r="B1094" s="993" t="s">
        <v>1270</v>
      </c>
      <c r="C1094" s="964" t="s">
        <v>1257</v>
      </c>
      <c r="D1094" s="965" t="s">
        <v>6044</v>
      </c>
      <c r="E1094" s="838" t="s">
        <v>37</v>
      </c>
      <c r="F1094" s="913">
        <v>1.3</v>
      </c>
      <c r="G1094" s="839" t="s">
        <v>1371</v>
      </c>
      <c r="H1094" s="839" t="s">
        <v>1256</v>
      </c>
      <c r="I1094" s="839"/>
      <c r="J1094" s="843" t="s">
        <v>1256</v>
      </c>
      <c r="K1094" s="844"/>
      <c r="L1094" s="845"/>
      <c r="M1094" s="194"/>
      <c r="N1094" s="1176"/>
      <c r="O1094" s="964" t="s">
        <v>1257</v>
      </c>
      <c r="P1094" s="965" t="s">
        <v>6044</v>
      </c>
      <c r="Q1094" s="688" t="str">
        <f t="shared" si="141"/>
        <v>-----</v>
      </c>
      <c r="R1094" s="680" t="str">
        <f t="shared" si="140"/>
        <v>-----</v>
      </c>
      <c r="S1094" s="586">
        <f t="shared" si="139"/>
        <v>0</v>
      </c>
      <c r="T1094" s="673"/>
      <c r="U1094" s="673"/>
      <c r="V1094" s="673"/>
      <c r="W1094" s="673"/>
      <c r="X1094" s="590"/>
      <c r="Y1094" s="590"/>
      <c r="Z1094" s="673"/>
      <c r="AA1094" s="736"/>
    </row>
    <row r="1095" spans="1:34" ht="42" customHeight="1">
      <c r="A1095" s="1176"/>
      <c r="B1095" s="993" t="s">
        <v>1258</v>
      </c>
      <c r="C1095" s="788" t="s">
        <v>6124</v>
      </c>
      <c r="D1095" s="963" t="s">
        <v>6011</v>
      </c>
      <c r="E1095" s="978"/>
      <c r="F1095" s="925"/>
      <c r="G1095" s="563"/>
      <c r="H1095" s="563"/>
      <c r="I1095" s="563"/>
      <c r="J1095" s="564"/>
      <c r="K1095" s="565"/>
      <c r="L1095" s="566"/>
      <c r="M1095" s="194"/>
      <c r="N1095" s="1176"/>
      <c r="O1095" s="788" t="s">
        <v>6124</v>
      </c>
      <c r="P1095" s="963" t="s">
        <v>6011</v>
      </c>
      <c r="Q1095" s="688"/>
      <c r="R1095" s="680"/>
      <c r="S1095" s="586">
        <f t="shared" si="139"/>
        <v>0</v>
      </c>
      <c r="T1095" s="673"/>
      <c r="U1095" s="673"/>
      <c r="V1095" s="673"/>
      <c r="W1095" s="673"/>
      <c r="X1095" s="590"/>
      <c r="Y1095" s="590"/>
      <c r="Z1095" s="673"/>
      <c r="AA1095" s="736"/>
    </row>
    <row r="1096" spans="1:34" ht="42" customHeight="1">
      <c r="A1096" s="1176"/>
      <c r="B1096" s="993" t="s">
        <v>1258</v>
      </c>
      <c r="C1096" s="962" t="s">
        <v>6125</v>
      </c>
      <c r="D1096" s="963" t="s">
        <v>6012</v>
      </c>
      <c r="E1096" s="978"/>
      <c r="F1096" s="925"/>
      <c r="G1096" s="563"/>
      <c r="H1096" s="563"/>
      <c r="I1096" s="563"/>
      <c r="J1096" s="564"/>
      <c r="K1096" s="565"/>
      <c r="L1096" s="845"/>
      <c r="M1096" s="194"/>
      <c r="N1096" s="1176"/>
      <c r="O1096" s="962" t="s">
        <v>6125</v>
      </c>
      <c r="P1096" s="963" t="s">
        <v>6012</v>
      </c>
      <c r="Q1096" s="688"/>
      <c r="R1096" s="680"/>
      <c r="S1096" s="586">
        <f t="shared" si="139"/>
        <v>0</v>
      </c>
      <c r="T1096" s="673"/>
      <c r="U1096" s="673"/>
      <c r="V1096" s="673"/>
      <c r="W1096" s="673"/>
      <c r="X1096" s="590"/>
      <c r="Y1096" s="590"/>
      <c r="Z1096" s="673"/>
      <c r="AA1096" s="736"/>
    </row>
    <row r="1097" spans="1:34" ht="45.75" customHeight="1">
      <c r="A1097" s="1176"/>
      <c r="B1097" s="993" t="s">
        <v>1270</v>
      </c>
      <c r="C1097" s="964" t="s">
        <v>5803</v>
      </c>
      <c r="D1097" s="965" t="s">
        <v>5804</v>
      </c>
      <c r="E1097" s="838"/>
      <c r="F1097" s="913"/>
      <c r="G1097" s="839"/>
      <c r="H1097" s="839"/>
      <c r="I1097" s="839"/>
      <c r="J1097" s="843"/>
      <c r="K1097" s="844"/>
      <c r="L1097" s="572"/>
      <c r="M1097" s="194"/>
      <c r="N1097" s="1176"/>
      <c r="O1097" s="964" t="s">
        <v>5803</v>
      </c>
      <c r="P1097" s="965" t="s">
        <v>5804</v>
      </c>
      <c r="Q1097" s="688"/>
      <c r="R1097" s="680"/>
      <c r="S1097" s="586">
        <f t="shared" si="139"/>
        <v>0</v>
      </c>
      <c r="T1097" s="673"/>
      <c r="U1097" s="673"/>
      <c r="V1097" s="673"/>
      <c r="W1097" s="673"/>
      <c r="X1097" s="590"/>
      <c r="Y1097" s="590"/>
      <c r="Z1097" s="673"/>
      <c r="AA1097" s="736"/>
    </row>
    <row r="1098" spans="1:34" ht="30.75" customHeight="1">
      <c r="A1098" s="1176"/>
      <c r="B1098" s="1268" t="s">
        <v>1270</v>
      </c>
      <c r="C1098" s="1116" t="s">
        <v>1255</v>
      </c>
      <c r="D1098" s="1117" t="s">
        <v>1254</v>
      </c>
      <c r="E1098" s="1118"/>
      <c r="F1098" s="1115"/>
      <c r="G1098" s="941" t="s">
        <v>0</v>
      </c>
      <c r="H1098" s="846" t="s">
        <v>196</v>
      </c>
      <c r="I1098" s="846"/>
      <c r="J1098" s="647" t="s">
        <v>1250</v>
      </c>
      <c r="K1098" s="941">
        <v>2</v>
      </c>
      <c r="L1098" s="802" t="s">
        <v>5954</v>
      </c>
      <c r="M1098" s="194"/>
      <c r="N1098" s="1176"/>
      <c r="O1098" s="1116" t="s">
        <v>1255</v>
      </c>
      <c r="P1098" s="1117" t="s">
        <v>1254</v>
      </c>
      <c r="Q1098" s="688" t="str">
        <f t="shared" si="141"/>
        <v>BL338A</v>
      </c>
      <c r="R1098" s="680" t="str">
        <f t="shared" si="140"/>
        <v>مهره پلاستیکی</v>
      </c>
      <c r="S1098" s="586">
        <f t="shared" si="139"/>
        <v>2</v>
      </c>
      <c r="T1098" s="673"/>
      <c r="U1098" s="673"/>
      <c r="V1098" s="673"/>
      <c r="W1098" s="673"/>
      <c r="X1098" s="590"/>
      <c r="Y1098" s="590"/>
      <c r="Z1098" s="673"/>
      <c r="AA1098" s="736"/>
    </row>
    <row r="1099" spans="1:34" ht="42.75" customHeight="1" thickBot="1">
      <c r="A1099" s="1176"/>
      <c r="B1099" s="1138"/>
      <c r="C1099" s="1152" t="s">
        <v>1248</v>
      </c>
      <c r="D1099" s="1120"/>
      <c r="E1099" s="1122"/>
      <c r="F1099" s="1160"/>
      <c r="G1099" s="975" t="s">
        <v>1</v>
      </c>
      <c r="H1099" s="956" t="s">
        <v>198</v>
      </c>
      <c r="I1099" s="975" t="s">
        <v>5801</v>
      </c>
      <c r="J1099" s="241" t="s">
        <v>1253</v>
      </c>
      <c r="K1099" s="975">
        <v>12</v>
      </c>
      <c r="L1099" s="785" t="s">
        <v>5955</v>
      </c>
      <c r="M1099" s="194"/>
      <c r="N1099" s="1176"/>
      <c r="O1099" s="1152" t="s">
        <v>1248</v>
      </c>
      <c r="P1099" s="1120"/>
      <c r="Q1099" s="790" t="str">
        <f t="shared" si="141"/>
        <v>LQ2734816F38A1</v>
      </c>
      <c r="R1099" s="791" t="str">
        <f t="shared" si="140"/>
        <v>پیچ چهار سو</v>
      </c>
      <c r="S1099" s="586">
        <f t="shared" ref="S1099:S1108" si="142">K1099</f>
        <v>12</v>
      </c>
      <c r="T1099" s="793">
        <v>3</v>
      </c>
      <c r="U1099" s="793">
        <v>4</v>
      </c>
      <c r="V1099" s="793">
        <v>5</v>
      </c>
      <c r="W1099" s="412"/>
      <c r="X1099" s="793"/>
      <c r="Y1099" s="793"/>
      <c r="Z1099" s="412"/>
      <c r="AA1099" s="794"/>
    </row>
    <row r="1100" spans="1:34" ht="36" customHeight="1">
      <c r="A1100" s="1166" t="s">
        <v>6171</v>
      </c>
      <c r="B1100" s="1172" t="s">
        <v>6180</v>
      </c>
      <c r="C1100" s="1191" t="s">
        <v>4985</v>
      </c>
      <c r="D1100" s="1193" t="s">
        <v>4984</v>
      </c>
      <c r="E1100" s="1345"/>
      <c r="F1100" s="1222"/>
      <c r="G1100" s="255" t="s">
        <v>0</v>
      </c>
      <c r="H1100" s="997" t="s">
        <v>4958</v>
      </c>
      <c r="I1100" s="255"/>
      <c r="J1100" s="256" t="s">
        <v>4986</v>
      </c>
      <c r="K1100" s="255">
        <v>1</v>
      </c>
      <c r="L1100" s="222"/>
      <c r="M1100" s="194"/>
      <c r="N1100" s="1166" t="str">
        <f>A1100</f>
        <v>P86</v>
      </c>
      <c r="O1100" s="1191" t="s">
        <v>4985</v>
      </c>
      <c r="P1100" s="1193" t="s">
        <v>4984</v>
      </c>
      <c r="Q1100" s="524" t="str">
        <f t="shared" si="141"/>
        <v>SX7G-5317110S</v>
      </c>
      <c r="R1100" s="513" t="str">
        <f t="shared" si="140"/>
        <v>قاب محفظه سمت چپ</v>
      </c>
      <c r="S1100" s="586">
        <f t="shared" si="142"/>
        <v>1</v>
      </c>
      <c r="T1100" s="393"/>
      <c r="U1100" s="393"/>
      <c r="V1100" s="393"/>
      <c r="W1100" s="394"/>
      <c r="X1100" s="393"/>
      <c r="Y1100" s="393"/>
      <c r="Z1100" s="469"/>
      <c r="AA1100" s="487"/>
    </row>
    <row r="1101" spans="1:34" ht="36" customHeight="1">
      <c r="A1101" s="1167"/>
      <c r="B1101" s="1173"/>
      <c r="C1101" s="1192"/>
      <c r="D1101" s="1194"/>
      <c r="E1101" s="1341"/>
      <c r="F1101" s="1115"/>
      <c r="G1101" s="842" t="s">
        <v>1</v>
      </c>
      <c r="H1101" s="941" t="s">
        <v>5060</v>
      </c>
      <c r="I1101" s="842"/>
      <c r="J1101" s="830" t="s">
        <v>4987</v>
      </c>
      <c r="K1101" s="842">
        <v>6</v>
      </c>
      <c r="L1101" s="802"/>
      <c r="M1101" s="194"/>
      <c r="N1101" s="1167"/>
      <c r="O1101" s="1192"/>
      <c r="P1101" s="1194"/>
      <c r="Q1101" s="688" t="str">
        <f t="shared" si="141"/>
        <v>FX.572394003</v>
      </c>
      <c r="R1101" s="680" t="str">
        <f t="shared" si="140"/>
        <v xml:space="preserve">پین فشاری </v>
      </c>
      <c r="S1101" s="586">
        <f t="shared" si="142"/>
        <v>6</v>
      </c>
      <c r="T1101" s="639"/>
      <c r="U1101" s="639"/>
      <c r="V1101" s="639"/>
      <c r="W1101" s="591"/>
      <c r="X1101" s="639"/>
      <c r="Y1101" s="639"/>
      <c r="Z1101" s="673"/>
      <c r="AA1101" s="736"/>
    </row>
    <row r="1102" spans="1:34" s="293" customFormat="1" ht="36" customHeight="1">
      <c r="A1102" s="1167"/>
      <c r="B1102" s="1173"/>
      <c r="C1102" s="1192"/>
      <c r="D1102" s="1194"/>
      <c r="E1102" s="1341"/>
      <c r="F1102" s="1115"/>
      <c r="G1102" s="842" t="s">
        <v>2</v>
      </c>
      <c r="H1102" s="842" t="s">
        <v>598</v>
      </c>
      <c r="I1102" s="842"/>
      <c r="J1102" s="830" t="s">
        <v>1819</v>
      </c>
      <c r="K1102" s="842">
        <v>1</v>
      </c>
      <c r="L1102" s="802"/>
      <c r="M1102" s="194"/>
      <c r="N1102" s="1167"/>
      <c r="O1102" s="1192"/>
      <c r="P1102" s="1194"/>
      <c r="Q1102" s="688" t="str">
        <f t="shared" si="141"/>
        <v>Q1840610F38</v>
      </c>
      <c r="R1102" s="680" t="str">
        <f t="shared" si="140"/>
        <v>پیچ سر شش گوش فلنجی</v>
      </c>
      <c r="S1102" s="586">
        <f t="shared" si="142"/>
        <v>1</v>
      </c>
      <c r="T1102" s="639">
        <v>2</v>
      </c>
      <c r="U1102" s="639">
        <v>3</v>
      </c>
      <c r="V1102" s="639">
        <v>4</v>
      </c>
      <c r="W1102" s="591" t="s">
        <v>5586</v>
      </c>
      <c r="X1102" s="639" t="s">
        <v>5671</v>
      </c>
      <c r="Y1102" s="639" t="s">
        <v>6172</v>
      </c>
      <c r="Z1102" s="673"/>
      <c r="AA1102" s="736"/>
      <c r="AB1102" s="194"/>
      <c r="AC1102" s="194"/>
      <c r="AD1102" s="194"/>
      <c r="AE1102" s="194"/>
      <c r="AF1102" s="194"/>
      <c r="AG1102" s="194"/>
      <c r="AH1102" s="194"/>
    </row>
    <row r="1103" spans="1:34" ht="36" customHeight="1">
      <c r="A1103" s="1167"/>
      <c r="B1103" s="1173"/>
      <c r="C1103" s="1192" t="s">
        <v>4989</v>
      </c>
      <c r="D1103" s="1194" t="s">
        <v>4988</v>
      </c>
      <c r="E1103" s="1341"/>
      <c r="F1103" s="1115"/>
      <c r="G1103" s="842" t="s">
        <v>0</v>
      </c>
      <c r="H1103" s="941" t="s">
        <v>6032</v>
      </c>
      <c r="I1103" s="842"/>
      <c r="J1103" s="830" t="s">
        <v>4990</v>
      </c>
      <c r="K1103" s="842">
        <v>1</v>
      </c>
      <c r="L1103" s="802"/>
      <c r="M1103" s="194"/>
      <c r="N1103" s="1167"/>
      <c r="O1103" s="1192" t="s">
        <v>4989</v>
      </c>
      <c r="P1103" s="1194" t="s">
        <v>4988</v>
      </c>
      <c r="Q1103" s="688" t="str">
        <f t="shared" si="141"/>
        <v>SX7G-5317120S</v>
      </c>
      <c r="R1103" s="680" t="str">
        <f t="shared" si="140"/>
        <v>قاب محفظه سمت راست</v>
      </c>
      <c r="S1103" s="586">
        <f t="shared" si="142"/>
        <v>1</v>
      </c>
      <c r="T1103" s="639"/>
      <c r="U1103" s="639"/>
      <c r="V1103" s="639"/>
      <c r="W1103" s="591"/>
      <c r="X1103" s="639"/>
      <c r="Y1103" s="639"/>
      <c r="Z1103" s="673"/>
      <c r="AA1103" s="736"/>
    </row>
    <row r="1104" spans="1:34" ht="36" customHeight="1">
      <c r="A1104" s="1167"/>
      <c r="B1104" s="1173"/>
      <c r="C1104" s="1192"/>
      <c r="D1104" s="1194"/>
      <c r="E1104" s="1341"/>
      <c r="F1104" s="1115"/>
      <c r="G1104" s="842" t="s">
        <v>1</v>
      </c>
      <c r="H1104" s="941" t="s">
        <v>4959</v>
      </c>
      <c r="I1104" s="842"/>
      <c r="J1104" s="830" t="s">
        <v>4987</v>
      </c>
      <c r="K1104" s="842">
        <v>4</v>
      </c>
      <c r="L1104" s="802"/>
      <c r="M1104" s="194"/>
      <c r="N1104" s="1167"/>
      <c r="O1104" s="1192"/>
      <c r="P1104" s="1194"/>
      <c r="Q1104" s="688" t="str">
        <f t="shared" si="141"/>
        <v>FX.572394003</v>
      </c>
      <c r="R1104" s="680" t="str">
        <f t="shared" si="140"/>
        <v xml:space="preserve">پین فشاری </v>
      </c>
      <c r="S1104" s="586">
        <f t="shared" si="142"/>
        <v>4</v>
      </c>
      <c r="T1104" s="639"/>
      <c r="U1104" s="639"/>
      <c r="V1104" s="639"/>
      <c r="W1104" s="591"/>
      <c r="X1104" s="639"/>
      <c r="Y1104" s="639"/>
      <c r="Z1104" s="673"/>
      <c r="AA1104" s="736"/>
    </row>
    <row r="1105" spans="1:27" ht="36" customHeight="1">
      <c r="A1105" s="1167"/>
      <c r="B1105" s="1173"/>
      <c r="C1105" s="1192"/>
      <c r="D1105" s="1194"/>
      <c r="E1105" s="1341"/>
      <c r="F1105" s="1115"/>
      <c r="G1105" s="842" t="s">
        <v>2</v>
      </c>
      <c r="H1105" s="941" t="s">
        <v>598</v>
      </c>
      <c r="I1105" s="842"/>
      <c r="J1105" s="830" t="s">
        <v>1819</v>
      </c>
      <c r="K1105" s="842">
        <v>1</v>
      </c>
      <c r="L1105" s="802"/>
      <c r="M1105" s="194"/>
      <c r="N1105" s="1167"/>
      <c r="O1105" s="1192"/>
      <c r="P1105" s="1194"/>
      <c r="Q1105" s="688" t="str">
        <f t="shared" si="141"/>
        <v>Q1840610F38</v>
      </c>
      <c r="R1105" s="680" t="str">
        <f t="shared" si="140"/>
        <v>پیچ سر شش گوش فلنجی</v>
      </c>
      <c r="S1105" s="586">
        <f t="shared" si="142"/>
        <v>1</v>
      </c>
      <c r="T1105" s="639">
        <v>2</v>
      </c>
      <c r="U1105" s="639">
        <v>3</v>
      </c>
      <c r="V1105" s="639">
        <v>4</v>
      </c>
      <c r="W1105" s="591" t="s">
        <v>5586</v>
      </c>
      <c r="X1105" s="639" t="s">
        <v>5671</v>
      </c>
      <c r="Y1105" s="639" t="s">
        <v>6172</v>
      </c>
      <c r="Z1105" s="673"/>
      <c r="AA1105" s="736"/>
    </row>
    <row r="1106" spans="1:27" ht="36" customHeight="1">
      <c r="A1106" s="1167"/>
      <c r="B1106" s="1173"/>
      <c r="C1106" s="1192" t="s">
        <v>4992</v>
      </c>
      <c r="D1106" s="1194" t="s">
        <v>4991</v>
      </c>
      <c r="E1106" s="1341"/>
      <c r="F1106" s="1115"/>
      <c r="G1106" s="842" t="s">
        <v>0</v>
      </c>
      <c r="H1106" s="941" t="s">
        <v>6033</v>
      </c>
      <c r="I1106" s="842"/>
      <c r="J1106" s="830" t="s">
        <v>4993</v>
      </c>
      <c r="K1106" s="842">
        <v>1</v>
      </c>
      <c r="L1106" s="802"/>
      <c r="M1106" s="194"/>
      <c r="N1106" s="1167"/>
      <c r="O1106" s="1192" t="s">
        <v>4992</v>
      </c>
      <c r="P1106" s="1194" t="s">
        <v>4991</v>
      </c>
      <c r="Q1106" s="688" t="str">
        <f t="shared" si="141"/>
        <v>SX7G-5317130S</v>
      </c>
      <c r="R1106" s="680" t="str">
        <f t="shared" si="140"/>
        <v xml:space="preserve">قاب محفظه موتور </v>
      </c>
      <c r="S1106" s="586">
        <f t="shared" si="142"/>
        <v>1</v>
      </c>
      <c r="T1106" s="639"/>
      <c r="U1106" s="639"/>
      <c r="V1106" s="639"/>
      <c r="W1106" s="591"/>
      <c r="X1106" s="639"/>
      <c r="Y1106" s="639"/>
      <c r="Z1106" s="673"/>
      <c r="AA1106" s="736"/>
    </row>
    <row r="1107" spans="1:27" ht="36" customHeight="1">
      <c r="A1107" s="1167"/>
      <c r="B1107" s="1173"/>
      <c r="C1107" s="1192"/>
      <c r="D1107" s="1194"/>
      <c r="E1107" s="1341"/>
      <c r="F1107" s="1115"/>
      <c r="G1107" s="842" t="s">
        <v>1</v>
      </c>
      <c r="H1107" s="941" t="s">
        <v>5060</v>
      </c>
      <c r="I1107" s="842"/>
      <c r="J1107" s="830" t="s">
        <v>4994</v>
      </c>
      <c r="K1107" s="842">
        <v>13</v>
      </c>
      <c r="L1107" s="802"/>
      <c r="M1107" s="194"/>
      <c r="N1107" s="1167"/>
      <c r="O1107" s="1192"/>
      <c r="P1107" s="1194"/>
      <c r="Q1107" s="688" t="str">
        <f t="shared" si="141"/>
        <v>FX.572394003</v>
      </c>
      <c r="R1107" s="680" t="str">
        <f t="shared" si="140"/>
        <v xml:space="preserve">خار پلاستیکی </v>
      </c>
      <c r="S1107" s="586">
        <f t="shared" si="142"/>
        <v>13</v>
      </c>
      <c r="T1107" s="639"/>
      <c r="U1107" s="639"/>
      <c r="V1107" s="639"/>
      <c r="W1107" s="591"/>
      <c r="X1107" s="639"/>
      <c r="Y1107" s="639"/>
      <c r="Z1107" s="673"/>
      <c r="AA1107" s="736"/>
    </row>
    <row r="1108" spans="1:27" s="300" customFormat="1" ht="28.5" customHeight="1" thickBot="1">
      <c r="A1108" s="1168"/>
      <c r="B1108" s="1174"/>
      <c r="C1108" s="854" t="s">
        <v>6181</v>
      </c>
      <c r="D1108" s="855"/>
      <c r="E1108" s="855"/>
      <c r="F1108" s="855"/>
      <c r="G1108" s="854" t="s">
        <v>0</v>
      </c>
      <c r="H1108" s="854" t="s">
        <v>1361</v>
      </c>
      <c r="I1108" s="854"/>
      <c r="J1108" s="854" t="s">
        <v>6178</v>
      </c>
      <c r="K1108" s="855">
        <v>1</v>
      </c>
      <c r="L1108" s="856"/>
      <c r="M1108" s="857"/>
      <c r="N1108" s="1168"/>
      <c r="O1108" s="855" t="str">
        <f>C1108</f>
        <v>قرار دادن مجموعه کف پوش سه بعدی جلو و عقب</v>
      </c>
      <c r="P1108" s="855"/>
      <c r="Q1108" s="855" t="str">
        <f t="shared" si="141"/>
        <v>T5-51090103D-L1</v>
      </c>
      <c r="R1108" s="855" t="str">
        <f>J1108</f>
        <v xml:space="preserve"> مجموعه کف پوش سه بعدی جلو و عقب</v>
      </c>
      <c r="S1108" s="586">
        <f t="shared" si="142"/>
        <v>1</v>
      </c>
      <c r="T1108" s="855"/>
      <c r="U1108" s="855"/>
      <c r="V1108" s="855"/>
      <c r="W1108" s="855"/>
      <c r="X1108" s="855"/>
      <c r="Y1108" s="855"/>
      <c r="Z1108" s="855"/>
      <c r="AA1108" s="856"/>
    </row>
    <row r="1109" spans="1:27" s="577" customFormat="1" ht="28.5" customHeight="1">
      <c r="A1109" s="852"/>
      <c r="B1109" s="853"/>
      <c r="C1109" s="853"/>
      <c r="D1109" s="853"/>
      <c r="E1109" s="853"/>
      <c r="F1109" s="853"/>
      <c r="G1109" s="853"/>
      <c r="H1109" s="853"/>
      <c r="I1109" s="853"/>
      <c r="J1109" s="853"/>
      <c r="K1109" s="853"/>
      <c r="L1109" s="853"/>
      <c r="M1109" s="853"/>
      <c r="N1109" s="853"/>
      <c r="O1109" s="853"/>
      <c r="P1109" s="853"/>
      <c r="Q1109" s="853"/>
      <c r="R1109" s="853"/>
      <c r="S1109" s="853"/>
      <c r="T1109" s="853"/>
      <c r="U1109" s="853"/>
      <c r="V1109" s="853"/>
      <c r="W1109" s="853"/>
      <c r="X1109" s="853"/>
      <c r="Y1109" s="853"/>
      <c r="Z1109" s="853"/>
      <c r="AA1109" s="853"/>
    </row>
    <row r="1110" spans="1:27" s="577" customFormat="1" ht="28.5" customHeight="1">
      <c r="A1110" s="852"/>
      <c r="B1110" s="853"/>
      <c r="C1110" s="853"/>
      <c r="D1110" s="853"/>
      <c r="E1110" s="853"/>
      <c r="F1110" s="853"/>
      <c r="G1110" s="853"/>
      <c r="H1110" s="853"/>
      <c r="I1110" s="853"/>
      <c r="J1110" s="853"/>
      <c r="K1110" s="853"/>
      <c r="L1110" s="853"/>
      <c r="M1110" s="853"/>
      <c r="N1110" s="853"/>
      <c r="O1110" s="853"/>
      <c r="P1110" s="853"/>
      <c r="Q1110" s="853"/>
      <c r="R1110" s="853"/>
      <c r="S1110" s="853"/>
      <c r="T1110" s="853"/>
      <c r="U1110" s="853"/>
      <c r="V1110" s="853"/>
      <c r="W1110" s="853"/>
      <c r="X1110" s="853"/>
      <c r="Y1110" s="853"/>
      <c r="Z1110" s="853"/>
      <c r="AA1110" s="853"/>
    </row>
    <row r="1111" spans="1:27" s="577" customFormat="1" ht="28.5" customHeight="1">
      <c r="A1111" s="852"/>
      <c r="B1111" s="853"/>
      <c r="C1111" s="853"/>
      <c r="D1111" s="853"/>
      <c r="E1111" s="853"/>
      <c r="F1111" s="853"/>
      <c r="G1111" s="853"/>
      <c r="H1111" s="853"/>
      <c r="I1111" s="853"/>
      <c r="J1111" s="853"/>
      <c r="K1111" s="853"/>
      <c r="L1111" s="853"/>
      <c r="M1111" s="853"/>
      <c r="N1111" s="853"/>
      <c r="O1111" s="853"/>
      <c r="P1111" s="853"/>
      <c r="Q1111" s="853"/>
      <c r="R1111" s="853"/>
      <c r="S1111" s="853"/>
      <c r="T1111" s="853"/>
      <c r="U1111" s="853"/>
      <c r="V1111" s="853"/>
      <c r="W1111" s="853"/>
      <c r="X1111" s="853"/>
      <c r="Y1111" s="853"/>
      <c r="Z1111" s="853"/>
      <c r="AA1111" s="853"/>
    </row>
    <row r="1112" spans="1:27" s="577" customFormat="1" ht="28.5" customHeight="1">
      <c r="A1112" s="852"/>
      <c r="B1112" s="853"/>
      <c r="C1112" s="853"/>
      <c r="D1112" s="853"/>
      <c r="E1112" s="853"/>
      <c r="F1112" s="853"/>
      <c r="G1112" s="853"/>
      <c r="H1112" s="853"/>
      <c r="I1112" s="853"/>
      <c r="J1112" s="853"/>
      <c r="K1112" s="853"/>
      <c r="L1112" s="853"/>
      <c r="M1112" s="853"/>
      <c r="N1112" s="853"/>
      <c r="O1112" s="853"/>
      <c r="P1112" s="853"/>
      <c r="Q1112" s="853"/>
      <c r="R1112" s="853"/>
      <c r="S1112" s="853"/>
      <c r="T1112" s="853"/>
      <c r="U1112" s="853"/>
      <c r="V1112" s="853"/>
      <c r="W1112" s="853"/>
      <c r="X1112" s="853"/>
      <c r="Y1112" s="853"/>
      <c r="Z1112" s="853"/>
      <c r="AA1112" s="853"/>
    </row>
    <row r="1113" spans="1:27" s="577" customFormat="1" ht="28.5" customHeight="1">
      <c r="A1113" s="852"/>
      <c r="B1113" s="853"/>
      <c r="C1113" s="853"/>
      <c r="D1113" s="853"/>
      <c r="E1113" s="853"/>
      <c r="F1113" s="853"/>
      <c r="G1113" s="853"/>
      <c r="H1113" s="853"/>
      <c r="I1113" s="853"/>
      <c r="J1113" s="853"/>
      <c r="K1113" s="853"/>
      <c r="L1113" s="853"/>
      <c r="M1113" s="853"/>
      <c r="N1113" s="853"/>
      <c r="O1113" s="853"/>
      <c r="P1113" s="853"/>
      <c r="Q1113" s="853"/>
      <c r="R1113" s="853"/>
      <c r="S1113" s="853"/>
      <c r="T1113" s="853"/>
      <c r="U1113" s="853"/>
      <c r="V1113" s="853"/>
      <c r="W1113" s="853"/>
      <c r="X1113" s="853"/>
      <c r="Y1113" s="853"/>
      <c r="Z1113" s="853"/>
      <c r="AA1113" s="853"/>
    </row>
    <row r="1114" spans="1:27" s="577" customFormat="1" ht="28.5" customHeight="1">
      <c r="A1114" s="852"/>
      <c r="B1114" s="853"/>
      <c r="C1114" s="853"/>
      <c r="D1114" s="853"/>
      <c r="E1114" s="853"/>
      <c r="F1114" s="853"/>
      <c r="G1114" s="853"/>
      <c r="H1114" s="853"/>
      <c r="I1114" s="853"/>
      <c r="J1114" s="853"/>
      <c r="K1114" s="853"/>
      <c r="L1114" s="853"/>
      <c r="M1114" s="853"/>
      <c r="N1114" s="853"/>
      <c r="O1114" s="853"/>
      <c r="P1114" s="853"/>
      <c r="Q1114" s="853"/>
      <c r="R1114" s="853"/>
      <c r="S1114" s="853"/>
      <c r="T1114" s="853"/>
      <c r="U1114" s="853"/>
      <c r="V1114" s="853"/>
      <c r="W1114" s="853"/>
      <c r="X1114" s="853"/>
      <c r="Y1114" s="853"/>
      <c r="Z1114" s="853"/>
      <c r="AA1114" s="853"/>
    </row>
    <row r="1115" spans="1:27" s="577" customFormat="1" ht="28.5" customHeight="1">
      <c r="A1115" s="852"/>
      <c r="B1115" s="853"/>
      <c r="C1115" s="853"/>
      <c r="D1115" s="853"/>
      <c r="E1115" s="853"/>
      <c r="F1115" s="853"/>
      <c r="G1115" s="853"/>
      <c r="H1115" s="853"/>
      <c r="I1115" s="853"/>
      <c r="J1115" s="853"/>
      <c r="K1115" s="853"/>
      <c r="L1115" s="853"/>
      <c r="M1115" s="853"/>
      <c r="N1115" s="853"/>
      <c r="O1115" s="853"/>
      <c r="P1115" s="853"/>
      <c r="Q1115" s="853"/>
      <c r="R1115" s="853"/>
      <c r="S1115" s="853"/>
      <c r="T1115" s="853"/>
      <c r="U1115" s="853"/>
      <c r="V1115" s="853"/>
      <c r="W1115" s="853"/>
      <c r="X1115" s="853"/>
      <c r="Y1115" s="853"/>
      <c r="Z1115" s="853"/>
      <c r="AA1115" s="853"/>
    </row>
    <row r="1116" spans="1:27" s="577" customFormat="1" ht="28.5" customHeight="1">
      <c r="A1116" s="852"/>
      <c r="B1116" s="853"/>
      <c r="C1116" s="853"/>
      <c r="D1116" s="853"/>
      <c r="E1116" s="853"/>
      <c r="F1116" s="853"/>
      <c r="G1116" s="853"/>
      <c r="H1116" s="853"/>
      <c r="I1116" s="853"/>
      <c r="J1116" s="853"/>
      <c r="K1116" s="853"/>
      <c r="L1116" s="853"/>
      <c r="M1116" s="853"/>
      <c r="N1116" s="853"/>
      <c r="O1116" s="853"/>
      <c r="P1116" s="853"/>
      <c r="Q1116" s="853"/>
      <c r="R1116" s="853"/>
      <c r="S1116" s="853"/>
      <c r="T1116" s="853"/>
      <c r="U1116" s="853"/>
      <c r="V1116" s="853"/>
      <c r="W1116" s="853"/>
      <c r="X1116" s="853"/>
      <c r="Y1116" s="853"/>
      <c r="Z1116" s="853"/>
      <c r="AA1116" s="853"/>
    </row>
    <row r="1117" spans="1:27" s="577" customFormat="1" ht="28.5" customHeight="1">
      <c r="A1117" s="852"/>
      <c r="B1117" s="853"/>
      <c r="C1117" s="853"/>
      <c r="D1117" s="853"/>
      <c r="E1117" s="853"/>
      <c r="F1117" s="853"/>
      <c r="G1117" s="853"/>
      <c r="H1117" s="853"/>
      <c r="I1117" s="853"/>
      <c r="J1117" s="853"/>
      <c r="K1117" s="853"/>
      <c r="L1117" s="853"/>
      <c r="M1117" s="853"/>
      <c r="N1117" s="853"/>
      <c r="O1117" s="853"/>
      <c r="P1117" s="853"/>
      <c r="Q1117" s="853"/>
      <c r="R1117" s="853"/>
      <c r="S1117" s="853"/>
      <c r="T1117" s="853"/>
      <c r="U1117" s="853"/>
      <c r="V1117" s="853"/>
      <c r="W1117" s="853"/>
      <c r="X1117" s="853"/>
      <c r="Y1117" s="853"/>
      <c r="Z1117" s="853"/>
      <c r="AA1117" s="853"/>
    </row>
    <row r="1118" spans="1:27" s="577" customFormat="1" ht="28.5" customHeight="1">
      <c r="A1118" s="852"/>
      <c r="B1118" s="853"/>
      <c r="C1118" s="853"/>
      <c r="D1118" s="853"/>
      <c r="E1118" s="853"/>
      <c r="F1118" s="853"/>
      <c r="G1118" s="853"/>
      <c r="H1118" s="853"/>
      <c r="I1118" s="853"/>
      <c r="J1118" s="853"/>
      <c r="K1118" s="853"/>
      <c r="L1118" s="853"/>
      <c r="M1118" s="853"/>
      <c r="N1118" s="853"/>
      <c r="O1118" s="853"/>
      <c r="P1118" s="853"/>
      <c r="Q1118" s="853"/>
      <c r="R1118" s="853"/>
      <c r="S1118" s="853"/>
      <c r="T1118" s="853"/>
      <c r="U1118" s="853"/>
      <c r="V1118" s="853"/>
      <c r="W1118" s="853"/>
      <c r="X1118" s="853"/>
      <c r="Y1118" s="853"/>
      <c r="Z1118" s="853"/>
      <c r="AA1118" s="853"/>
    </row>
    <row r="1119" spans="1:27" s="577" customFormat="1" ht="28.5" customHeight="1">
      <c r="A1119" s="852"/>
      <c r="B1119" s="853"/>
      <c r="C1119" s="853"/>
      <c r="D1119" s="853"/>
      <c r="E1119" s="853"/>
      <c r="F1119" s="853"/>
      <c r="G1119" s="853"/>
      <c r="H1119" s="853"/>
      <c r="I1119" s="853"/>
      <c r="J1119" s="853"/>
      <c r="K1119" s="853"/>
      <c r="L1119" s="853"/>
      <c r="M1119" s="853"/>
      <c r="N1119" s="853"/>
      <c r="O1119" s="853"/>
      <c r="P1119" s="853"/>
      <c r="Q1119" s="853"/>
      <c r="R1119" s="853"/>
      <c r="S1119" s="853"/>
      <c r="T1119" s="853"/>
      <c r="U1119" s="853"/>
      <c r="V1119" s="853"/>
      <c r="W1119" s="853"/>
      <c r="X1119" s="853"/>
      <c r="Y1119" s="853"/>
      <c r="Z1119" s="853"/>
      <c r="AA1119" s="853"/>
    </row>
    <row r="1120" spans="1:27" s="577" customFormat="1" ht="28.5" customHeight="1">
      <c r="A1120" s="852"/>
      <c r="B1120" s="853"/>
      <c r="C1120" s="853"/>
      <c r="D1120" s="853"/>
      <c r="E1120" s="853"/>
      <c r="F1120" s="853"/>
      <c r="G1120" s="853"/>
      <c r="H1120" s="853"/>
      <c r="I1120" s="853"/>
      <c r="J1120" s="853"/>
      <c r="K1120" s="853"/>
      <c r="L1120" s="853"/>
      <c r="M1120" s="853"/>
      <c r="N1120" s="853"/>
      <c r="O1120" s="853"/>
      <c r="P1120" s="853"/>
      <c r="Q1120" s="853"/>
      <c r="R1120" s="853"/>
      <c r="S1120" s="853"/>
      <c r="T1120" s="853"/>
      <c r="U1120" s="853"/>
      <c r="V1120" s="853"/>
      <c r="W1120" s="853"/>
      <c r="X1120" s="853"/>
      <c r="Y1120" s="853"/>
      <c r="Z1120" s="853"/>
      <c r="AA1120" s="853"/>
    </row>
    <row r="1121" spans="1:27" s="577" customFormat="1" ht="28.5" customHeight="1">
      <c r="A1121" s="852"/>
      <c r="B1121" s="853"/>
      <c r="C1121" s="853"/>
      <c r="D1121" s="853"/>
      <c r="E1121" s="853"/>
      <c r="F1121" s="853"/>
      <c r="G1121" s="853"/>
      <c r="H1121" s="853"/>
      <c r="I1121" s="853"/>
      <c r="J1121" s="853"/>
      <c r="K1121" s="853"/>
      <c r="L1121" s="853"/>
      <c r="M1121" s="853"/>
      <c r="N1121" s="853"/>
      <c r="O1121" s="853"/>
      <c r="P1121" s="853"/>
      <c r="Q1121" s="853"/>
      <c r="R1121" s="853"/>
      <c r="S1121" s="853"/>
      <c r="T1121" s="853"/>
      <c r="U1121" s="853"/>
      <c r="V1121" s="853"/>
      <c r="W1121" s="853"/>
      <c r="X1121" s="853"/>
      <c r="Y1121" s="853"/>
      <c r="Z1121" s="853"/>
      <c r="AA1121" s="853"/>
    </row>
    <row r="1122" spans="1:27" s="577" customFormat="1" ht="28.5" customHeight="1">
      <c r="A1122" s="852"/>
      <c r="B1122" s="853"/>
      <c r="C1122" s="853"/>
      <c r="D1122" s="853"/>
      <c r="E1122" s="853"/>
      <c r="F1122" s="853"/>
      <c r="G1122" s="853"/>
      <c r="H1122" s="853"/>
      <c r="I1122" s="853"/>
      <c r="J1122" s="853"/>
      <c r="K1122" s="853"/>
      <c r="L1122" s="853"/>
      <c r="M1122" s="853"/>
      <c r="N1122" s="853"/>
      <c r="O1122" s="853"/>
      <c r="P1122" s="853"/>
      <c r="Q1122" s="853"/>
      <c r="R1122" s="853"/>
      <c r="S1122" s="853"/>
      <c r="T1122" s="853"/>
      <c r="U1122" s="853"/>
      <c r="V1122" s="853"/>
      <c r="W1122" s="853"/>
      <c r="X1122" s="853"/>
      <c r="Y1122" s="853"/>
      <c r="Z1122" s="853"/>
      <c r="AA1122" s="853"/>
    </row>
    <row r="1123" spans="1:27" s="577" customFormat="1" ht="28.5" customHeight="1">
      <c r="A1123" s="852"/>
      <c r="B1123" s="853"/>
      <c r="C1123" s="853"/>
      <c r="D1123" s="853"/>
      <c r="E1123" s="853"/>
      <c r="F1123" s="853"/>
      <c r="G1123" s="853"/>
      <c r="H1123" s="853"/>
      <c r="I1123" s="853"/>
      <c r="J1123" s="853"/>
      <c r="K1123" s="853"/>
      <c r="L1123" s="853"/>
      <c r="M1123" s="853"/>
      <c r="N1123" s="853"/>
      <c r="O1123" s="853"/>
      <c r="P1123" s="853"/>
      <c r="Q1123" s="853"/>
      <c r="R1123" s="853"/>
      <c r="S1123" s="853"/>
      <c r="T1123" s="853"/>
      <c r="U1123" s="853"/>
      <c r="V1123" s="853"/>
      <c r="W1123" s="853"/>
      <c r="X1123" s="853"/>
      <c r="Y1123" s="853"/>
      <c r="Z1123" s="853"/>
      <c r="AA1123" s="853"/>
    </row>
    <row r="1124" spans="1:27" s="577" customFormat="1" ht="28.5" customHeight="1">
      <c r="A1124" s="852"/>
      <c r="B1124" s="853"/>
      <c r="C1124" s="853"/>
      <c r="D1124" s="853"/>
      <c r="E1124" s="853"/>
      <c r="F1124" s="853"/>
      <c r="G1124" s="853"/>
      <c r="H1124" s="853"/>
      <c r="I1124" s="853"/>
      <c r="J1124" s="853"/>
      <c r="K1124" s="853"/>
      <c r="L1124" s="853"/>
      <c r="M1124" s="853"/>
      <c r="N1124" s="853"/>
      <c r="O1124" s="853"/>
      <c r="P1124" s="853"/>
      <c r="Q1124" s="853"/>
      <c r="R1124" s="853"/>
      <c r="S1124" s="853"/>
      <c r="T1124" s="853"/>
      <c r="U1124" s="853"/>
      <c r="V1124" s="853"/>
      <c r="W1124" s="853"/>
      <c r="X1124" s="853"/>
      <c r="Y1124" s="853"/>
      <c r="Z1124" s="853"/>
      <c r="AA1124" s="853"/>
    </row>
    <row r="1125" spans="1:27" s="577" customFormat="1" ht="28.5" customHeight="1">
      <c r="A1125" s="852"/>
      <c r="B1125" s="853"/>
      <c r="C1125" s="853"/>
      <c r="D1125" s="853"/>
      <c r="E1125" s="853"/>
      <c r="F1125" s="853"/>
      <c r="G1125" s="853"/>
      <c r="H1125" s="853"/>
      <c r="I1125" s="853"/>
      <c r="J1125" s="853"/>
      <c r="K1125" s="853"/>
      <c r="L1125" s="853"/>
      <c r="M1125" s="853"/>
      <c r="N1125" s="853"/>
      <c r="O1125" s="853"/>
      <c r="P1125" s="853"/>
      <c r="Q1125" s="853"/>
      <c r="R1125" s="853"/>
      <c r="S1125" s="853"/>
      <c r="T1125" s="853"/>
      <c r="U1125" s="853"/>
      <c r="V1125" s="853"/>
      <c r="W1125" s="853"/>
      <c r="X1125" s="853"/>
      <c r="Y1125" s="853"/>
      <c r="Z1125" s="853"/>
      <c r="AA1125" s="853"/>
    </row>
    <row r="1126" spans="1:27" s="577" customFormat="1" ht="28.5" customHeight="1">
      <c r="A1126" s="852"/>
      <c r="B1126" s="853"/>
      <c r="C1126" s="853"/>
      <c r="D1126" s="853"/>
      <c r="E1126" s="853"/>
      <c r="F1126" s="853"/>
      <c r="G1126" s="853"/>
      <c r="H1126" s="853"/>
      <c r="I1126" s="853"/>
      <c r="J1126" s="853"/>
      <c r="K1126" s="853"/>
      <c r="L1126" s="853"/>
      <c r="M1126" s="853"/>
      <c r="N1126" s="853"/>
      <c r="O1126" s="853"/>
      <c r="P1126" s="853"/>
      <c r="Q1126" s="853"/>
      <c r="R1126" s="853"/>
      <c r="S1126" s="853"/>
      <c r="T1126" s="853"/>
      <c r="U1126" s="853"/>
      <c r="V1126" s="853"/>
      <c r="W1126" s="853"/>
      <c r="X1126" s="853"/>
      <c r="Y1126" s="853"/>
      <c r="Z1126" s="853"/>
      <c r="AA1126" s="853"/>
    </row>
    <row r="1127" spans="1:27" s="577" customFormat="1" ht="28.5" customHeight="1">
      <c r="A1127" s="852"/>
      <c r="B1127" s="853"/>
      <c r="C1127" s="853"/>
      <c r="D1127" s="853"/>
      <c r="E1127" s="853"/>
      <c r="F1127" s="853"/>
      <c r="G1127" s="853"/>
      <c r="H1127" s="853"/>
      <c r="I1127" s="853"/>
      <c r="J1127" s="853"/>
      <c r="K1127" s="853"/>
      <c r="L1127" s="853"/>
      <c r="M1127" s="853"/>
      <c r="N1127" s="853"/>
      <c r="O1127" s="853"/>
      <c r="P1127" s="853"/>
      <c r="Q1127" s="853"/>
      <c r="R1127" s="853"/>
      <c r="S1127" s="853"/>
      <c r="T1127" s="853"/>
      <c r="U1127" s="853"/>
      <c r="V1127" s="853"/>
      <c r="W1127" s="853"/>
      <c r="X1127" s="853"/>
      <c r="Y1127" s="853"/>
      <c r="Z1127" s="853"/>
      <c r="AA1127" s="853"/>
    </row>
    <row r="1128" spans="1:27" s="577" customFormat="1" ht="28.5" customHeight="1">
      <c r="A1128" s="852"/>
      <c r="B1128" s="853"/>
      <c r="C1128" s="853"/>
      <c r="D1128" s="853"/>
      <c r="E1128" s="853"/>
      <c r="F1128" s="853"/>
      <c r="G1128" s="853"/>
      <c r="H1128" s="853"/>
      <c r="I1128" s="853"/>
      <c r="J1128" s="853"/>
      <c r="K1128" s="853"/>
      <c r="L1128" s="853"/>
      <c r="M1128" s="853"/>
      <c r="N1128" s="853"/>
      <c r="O1128" s="853"/>
      <c r="P1128" s="853"/>
      <c r="Q1128" s="853"/>
      <c r="R1128" s="853"/>
      <c r="S1128" s="853"/>
      <c r="T1128" s="853"/>
      <c r="U1128" s="853"/>
      <c r="V1128" s="853"/>
      <c r="W1128" s="853"/>
      <c r="X1128" s="853"/>
      <c r="Y1128" s="853"/>
      <c r="Z1128" s="853"/>
      <c r="AA1128" s="853"/>
    </row>
    <row r="1129" spans="1:27" s="577" customFormat="1" ht="28.5" customHeight="1">
      <c r="A1129" s="852"/>
      <c r="B1129" s="853"/>
      <c r="C1129" s="853"/>
      <c r="D1129" s="853"/>
      <c r="E1129" s="853"/>
      <c r="F1129" s="853"/>
      <c r="G1129" s="853"/>
      <c r="H1129" s="853"/>
      <c r="I1129" s="853"/>
      <c r="J1129" s="853"/>
      <c r="K1129" s="853"/>
      <c r="L1129" s="853"/>
      <c r="M1129" s="853"/>
      <c r="N1129" s="853"/>
      <c r="O1129" s="853"/>
      <c r="P1129" s="853"/>
      <c r="Q1129" s="853"/>
      <c r="R1129" s="853"/>
      <c r="S1129" s="853"/>
      <c r="T1129" s="853"/>
      <c r="U1129" s="853"/>
      <c r="V1129" s="853"/>
      <c r="W1129" s="853"/>
      <c r="X1129" s="853"/>
      <c r="Y1129" s="853"/>
      <c r="Z1129" s="853"/>
      <c r="AA1129" s="853"/>
    </row>
    <row r="1130" spans="1:27" s="577" customFormat="1" ht="28.5" customHeight="1">
      <c r="A1130" s="852"/>
      <c r="B1130" s="853"/>
      <c r="C1130" s="853"/>
      <c r="D1130" s="853"/>
      <c r="E1130" s="853"/>
      <c r="F1130" s="853"/>
      <c r="G1130" s="853"/>
      <c r="H1130" s="853"/>
      <c r="I1130" s="853"/>
      <c r="J1130" s="853"/>
      <c r="K1130" s="853"/>
      <c r="L1130" s="853"/>
      <c r="M1130" s="853"/>
      <c r="N1130" s="853"/>
      <c r="O1130" s="853"/>
      <c r="P1130" s="853"/>
      <c r="Q1130" s="853"/>
      <c r="R1130" s="853"/>
      <c r="S1130" s="853"/>
      <c r="T1130" s="853"/>
      <c r="U1130" s="853"/>
      <c r="V1130" s="853"/>
      <c r="W1130" s="853"/>
      <c r="X1130" s="853"/>
      <c r="Y1130" s="853"/>
      <c r="Z1130" s="853"/>
      <c r="AA1130" s="853"/>
    </row>
    <row r="1131" spans="1:27" s="577" customFormat="1" ht="28.5" customHeight="1">
      <c r="A1131" s="852"/>
      <c r="B1131" s="853"/>
      <c r="C1131" s="853"/>
      <c r="D1131" s="853"/>
      <c r="E1131" s="853"/>
      <c r="F1131" s="853"/>
      <c r="G1131" s="853"/>
      <c r="H1131" s="853"/>
      <c r="I1131" s="853"/>
      <c r="J1131" s="853"/>
      <c r="K1131" s="853"/>
      <c r="L1131" s="853"/>
      <c r="M1131" s="853"/>
      <c r="N1131" s="853"/>
      <c r="O1131" s="853"/>
      <c r="P1131" s="853"/>
      <c r="Q1131" s="853"/>
      <c r="R1131" s="853"/>
      <c r="S1131" s="853"/>
      <c r="T1131" s="853"/>
      <c r="U1131" s="853"/>
      <c r="V1131" s="853"/>
      <c r="W1131" s="853"/>
      <c r="X1131" s="853"/>
      <c r="Y1131" s="853"/>
      <c r="Z1131" s="853"/>
      <c r="AA1131" s="853"/>
    </row>
    <row r="1132" spans="1:27" s="577" customFormat="1" ht="28.5" customHeight="1">
      <c r="A1132" s="758"/>
      <c r="B1132" s="1338"/>
      <c r="C1132" s="1339"/>
      <c r="D1132" s="1340"/>
      <c r="E1132" s="575"/>
      <c r="F1132" s="575"/>
      <c r="G1132" s="575"/>
      <c r="H1132" s="573"/>
      <c r="I1132" s="575"/>
      <c r="J1132" s="574"/>
      <c r="K1132" s="578"/>
      <c r="L1132" s="300"/>
      <c r="M1132" s="194"/>
    </row>
    <row r="1133" spans="1:27" s="577" customFormat="1" ht="28.5" customHeight="1">
      <c r="A1133" s="758"/>
      <c r="B1133" s="1338"/>
      <c r="C1133" s="1339"/>
      <c r="D1133" s="1340"/>
      <c r="E1133" s="575"/>
      <c r="F1133" s="575"/>
      <c r="G1133" s="575"/>
      <c r="H1133" s="573"/>
      <c r="I1133" s="575"/>
      <c r="J1133" s="574"/>
      <c r="K1133" s="300"/>
      <c r="L1133" s="300"/>
      <c r="M1133" s="194"/>
    </row>
    <row r="1134" spans="1:27" s="577" customFormat="1" ht="28.5" customHeight="1">
      <c r="A1134" s="758"/>
      <c r="B1134" s="1338"/>
      <c r="C1134" s="1339"/>
      <c r="D1134" s="1340"/>
      <c r="E1134" s="575"/>
      <c r="F1134" s="575"/>
      <c r="G1134" s="575"/>
      <c r="H1134" s="573"/>
      <c r="I1134" s="575"/>
      <c r="J1134" s="574"/>
      <c r="K1134" s="300"/>
      <c r="L1134" s="300"/>
      <c r="M1134" s="194"/>
    </row>
    <row r="1135" spans="1:27" s="577" customFormat="1" ht="28.5" customHeight="1">
      <c r="A1135" s="758"/>
      <c r="B1135" s="1338"/>
      <c r="C1135" s="1339"/>
      <c r="D1135" s="1340"/>
      <c r="E1135" s="575"/>
      <c r="F1135" s="575"/>
      <c r="G1135" s="575"/>
      <c r="H1135" s="573"/>
      <c r="I1135" s="575"/>
      <c r="J1135" s="574"/>
      <c r="K1135" s="300"/>
      <c r="L1135" s="300"/>
      <c r="M1135" s="194"/>
    </row>
    <row r="1136" spans="1:27" s="577" customFormat="1" ht="28.5" customHeight="1">
      <c r="A1136" s="758"/>
      <c r="B1136" s="1338"/>
      <c r="C1136" s="1339"/>
      <c r="D1136" s="1340"/>
      <c r="E1136" s="575"/>
      <c r="F1136" s="575"/>
      <c r="G1136" s="575"/>
      <c r="H1136" s="573"/>
      <c r="I1136" s="575"/>
      <c r="J1136" s="574"/>
      <c r="K1136" s="300"/>
      <c r="L1136" s="300"/>
      <c r="M1136" s="194"/>
    </row>
    <row r="1137" spans="1:13" s="577" customFormat="1" ht="28.5" customHeight="1">
      <c r="A1137" s="758"/>
      <c r="B1137" s="1338"/>
      <c r="C1137" s="1339"/>
      <c r="D1137" s="1340"/>
      <c r="E1137" s="575"/>
      <c r="F1137" s="575"/>
      <c r="G1137" s="575"/>
      <c r="H1137" s="573"/>
      <c r="I1137" s="575"/>
      <c r="J1137" s="574"/>
      <c r="K1137" s="300"/>
      <c r="L1137" s="300"/>
      <c r="M1137" s="194"/>
    </row>
    <row r="1138" spans="1:13" s="577" customFormat="1" ht="28.5" customHeight="1">
      <c r="A1138" s="758"/>
      <c r="B1138" s="1338"/>
      <c r="C1138" s="1339"/>
      <c r="D1138" s="1340"/>
      <c r="E1138" s="575"/>
      <c r="F1138" s="575"/>
      <c r="G1138" s="575"/>
      <c r="H1138" s="573"/>
      <c r="I1138" s="575"/>
      <c r="J1138" s="574"/>
      <c r="K1138" s="300"/>
      <c r="L1138" s="300"/>
      <c r="M1138" s="194"/>
    </row>
    <row r="1139" spans="1:13" s="577" customFormat="1" ht="28.5" customHeight="1">
      <c r="A1139" s="758"/>
      <c r="B1139" s="1338"/>
      <c r="C1139" s="1339"/>
      <c r="D1139" s="1340"/>
      <c r="E1139" s="575"/>
      <c r="F1139" s="575"/>
      <c r="G1139" s="575"/>
      <c r="H1139" s="573"/>
      <c r="I1139" s="575"/>
      <c r="J1139" s="574"/>
      <c r="K1139" s="300"/>
      <c r="L1139" s="300"/>
      <c r="M1139" s="194"/>
    </row>
    <row r="1140" spans="1:13" s="577" customFormat="1" ht="28.5" customHeight="1">
      <c r="A1140" s="758"/>
      <c r="B1140" s="1338"/>
      <c r="C1140" s="1339"/>
      <c r="D1140" s="1340"/>
      <c r="E1140" s="575"/>
      <c r="F1140" s="575"/>
      <c r="G1140" s="575"/>
      <c r="H1140" s="573"/>
      <c r="I1140" s="575"/>
      <c r="J1140" s="574"/>
      <c r="K1140" s="300"/>
      <c r="L1140" s="300"/>
      <c r="M1140" s="194"/>
    </row>
    <row r="1141" spans="1:13" s="577" customFormat="1" ht="28.5" customHeight="1">
      <c r="A1141" s="758"/>
      <c r="B1141" s="1338"/>
      <c r="C1141" s="1339"/>
      <c r="D1141" s="1340"/>
      <c r="E1141" s="575"/>
      <c r="F1141" s="575"/>
      <c r="G1141" s="575"/>
      <c r="H1141" s="573"/>
      <c r="I1141" s="575"/>
      <c r="J1141" s="574"/>
      <c r="K1141" s="300"/>
      <c r="L1141" s="300"/>
      <c r="M1141" s="194"/>
    </row>
    <row r="1142" spans="1:13" s="577" customFormat="1" ht="28.5" customHeight="1">
      <c r="A1142" s="758"/>
      <c r="B1142" s="1338"/>
      <c r="C1142" s="1339"/>
      <c r="D1142" s="1340"/>
      <c r="E1142" s="575"/>
      <c r="F1142" s="575"/>
      <c r="G1142" s="575"/>
      <c r="H1142" s="573"/>
      <c r="I1142" s="575"/>
      <c r="J1142" s="574"/>
      <c r="K1142" s="300"/>
      <c r="L1142" s="300"/>
      <c r="M1142" s="194"/>
    </row>
    <row r="1143" spans="1:13" s="577" customFormat="1" ht="28.5" customHeight="1">
      <c r="A1143" s="758"/>
      <c r="B1143" s="1338"/>
      <c r="C1143" s="1339"/>
      <c r="D1143" s="1340"/>
      <c r="E1143" s="575"/>
      <c r="F1143" s="575"/>
      <c r="G1143" s="575"/>
      <c r="H1143" s="573"/>
      <c r="I1143" s="575"/>
      <c r="J1143" s="574"/>
      <c r="K1143" s="300"/>
      <c r="L1143" s="300"/>
      <c r="M1143" s="194"/>
    </row>
    <row r="1144" spans="1:13" s="577" customFormat="1" ht="28.5" customHeight="1">
      <c r="A1144" s="758"/>
      <c r="B1144" s="1338"/>
      <c r="C1144" s="1339"/>
      <c r="D1144" s="1340"/>
      <c r="E1144" s="575"/>
      <c r="F1144" s="575"/>
      <c r="G1144" s="575"/>
      <c r="H1144" s="573"/>
      <c r="I1144" s="575"/>
      <c r="J1144" s="574"/>
      <c r="K1144" s="300"/>
      <c r="L1144" s="300"/>
      <c r="M1144" s="194"/>
    </row>
    <row r="1145" spans="1:13" s="577" customFormat="1" ht="28.5" customHeight="1">
      <c r="A1145" s="758"/>
      <c r="B1145" s="1338"/>
      <c r="C1145" s="1339"/>
      <c r="D1145" s="1340"/>
      <c r="E1145" s="575"/>
      <c r="F1145" s="575"/>
      <c r="G1145" s="575"/>
      <c r="H1145" s="573"/>
      <c r="I1145" s="575"/>
      <c r="J1145" s="574"/>
      <c r="K1145" s="300"/>
      <c r="L1145" s="300"/>
      <c r="M1145" s="194"/>
    </row>
    <row r="1146" spans="1:13" s="577" customFormat="1" ht="28.5" customHeight="1">
      <c r="A1146" s="758"/>
      <c r="B1146" s="1338"/>
      <c r="C1146" s="1339"/>
      <c r="D1146" s="1340"/>
      <c r="E1146" s="575"/>
      <c r="F1146" s="575"/>
      <c r="G1146" s="575"/>
      <c r="H1146" s="573"/>
      <c r="I1146" s="575"/>
      <c r="J1146" s="574"/>
      <c r="K1146" s="300"/>
      <c r="L1146" s="300"/>
      <c r="M1146" s="194"/>
    </row>
    <row r="1147" spans="1:13" s="577" customFormat="1" ht="28.5" customHeight="1">
      <c r="A1147" s="758"/>
      <c r="B1147" s="1338"/>
      <c r="C1147" s="1339"/>
      <c r="D1147" s="1340"/>
      <c r="E1147" s="575"/>
      <c r="F1147" s="575"/>
      <c r="G1147" s="575"/>
      <c r="H1147" s="573"/>
      <c r="I1147" s="575"/>
      <c r="J1147" s="574"/>
      <c r="K1147" s="300"/>
      <c r="L1147" s="300"/>
      <c r="M1147" s="194"/>
    </row>
    <row r="1148" spans="1:13" s="577" customFormat="1" ht="28.5" customHeight="1">
      <c r="A1148" s="758"/>
      <c r="B1148" s="1338"/>
      <c r="C1148" s="1339"/>
      <c r="D1148" s="1340"/>
      <c r="E1148" s="575"/>
      <c r="F1148" s="575"/>
      <c r="G1148" s="575"/>
      <c r="H1148" s="573"/>
      <c r="I1148" s="575"/>
      <c r="J1148" s="574"/>
      <c r="K1148" s="300"/>
      <c r="L1148" s="300"/>
      <c r="M1148" s="194"/>
    </row>
    <row r="1149" spans="1:13" s="577" customFormat="1" ht="28.5" customHeight="1">
      <c r="A1149" s="758"/>
      <c r="B1149" s="1338"/>
      <c r="C1149" s="1339"/>
      <c r="D1149" s="1340"/>
      <c r="E1149" s="575"/>
      <c r="F1149" s="575"/>
      <c r="G1149" s="575"/>
      <c r="H1149" s="573"/>
      <c r="I1149" s="575"/>
      <c r="J1149" s="574"/>
      <c r="K1149" s="300"/>
      <c r="L1149" s="300"/>
      <c r="M1149" s="194"/>
    </row>
    <row r="1150" spans="1:13" s="577" customFormat="1" ht="28.5" customHeight="1">
      <c r="A1150" s="758"/>
      <c r="B1150" s="1338"/>
      <c r="C1150" s="1339"/>
      <c r="D1150" s="1340"/>
      <c r="E1150" s="575"/>
      <c r="F1150" s="575"/>
      <c r="G1150" s="575"/>
      <c r="H1150" s="573"/>
      <c r="I1150" s="575"/>
      <c r="J1150" s="574"/>
      <c r="K1150" s="300"/>
      <c r="L1150" s="300"/>
      <c r="M1150" s="194"/>
    </row>
    <row r="1151" spans="1:13" s="577" customFormat="1" ht="28.5" customHeight="1">
      <c r="A1151" s="758"/>
      <c r="B1151" s="1338"/>
      <c r="C1151" s="1339"/>
      <c r="D1151" s="1340"/>
      <c r="E1151" s="575"/>
      <c r="F1151" s="575"/>
      <c r="G1151" s="575"/>
      <c r="H1151" s="573"/>
      <c r="I1151" s="575"/>
      <c r="J1151" s="574"/>
      <c r="K1151" s="300"/>
      <c r="L1151" s="300"/>
      <c r="M1151" s="194"/>
    </row>
    <row r="1152" spans="1:13" s="577" customFormat="1" ht="28.5" customHeight="1">
      <c r="A1152" s="758"/>
      <c r="B1152" s="1338"/>
      <c r="C1152" s="1339"/>
      <c r="D1152" s="1340"/>
      <c r="E1152" s="575"/>
      <c r="F1152" s="575"/>
      <c r="G1152" s="575"/>
      <c r="H1152" s="573"/>
      <c r="I1152" s="575"/>
      <c r="J1152" s="574"/>
      <c r="K1152" s="300"/>
      <c r="L1152" s="300"/>
      <c r="M1152" s="194"/>
    </row>
    <row r="1153" spans="1:13" s="577" customFormat="1" ht="28.5" customHeight="1">
      <c r="A1153" s="758"/>
      <c r="B1153" s="1338"/>
      <c r="C1153" s="1339"/>
      <c r="D1153" s="1340"/>
      <c r="E1153" s="575"/>
      <c r="F1153" s="575"/>
      <c r="G1153" s="575"/>
      <c r="H1153" s="573"/>
      <c r="I1153" s="575"/>
      <c r="J1153" s="574"/>
      <c r="K1153" s="578"/>
      <c r="L1153" s="300"/>
      <c r="M1153" s="194"/>
    </row>
    <row r="1154" spans="1:13" s="577" customFormat="1" ht="28.5" customHeight="1">
      <c r="A1154" s="758"/>
      <c r="B1154" s="1338"/>
      <c r="C1154" s="1339"/>
      <c r="D1154" s="1340"/>
      <c r="E1154" s="575"/>
      <c r="F1154" s="575"/>
      <c r="G1154" s="575"/>
      <c r="H1154" s="573"/>
      <c r="I1154" s="266"/>
      <c r="J1154" s="574"/>
      <c r="K1154" s="579"/>
      <c r="L1154" s="300"/>
      <c r="M1154" s="194"/>
    </row>
    <row r="1155" spans="1:13" s="577" customFormat="1" ht="28.5" customHeight="1">
      <c r="A1155" s="758"/>
      <c r="B1155" s="1338"/>
      <c r="C1155" s="1339"/>
      <c r="D1155" s="1340"/>
      <c r="E1155" s="575"/>
      <c r="F1155" s="575"/>
      <c r="G1155" s="575"/>
      <c r="H1155" s="573"/>
      <c r="I1155" s="266"/>
      <c r="J1155" s="574"/>
      <c r="K1155" s="579"/>
      <c r="L1155" s="300"/>
      <c r="M1155" s="194"/>
    </row>
    <row r="1156" spans="1:13" s="577" customFormat="1" ht="28.5" customHeight="1">
      <c r="A1156" s="758"/>
      <c r="B1156" s="1338"/>
      <c r="C1156" s="1339"/>
      <c r="D1156" s="1340"/>
      <c r="E1156" s="576"/>
      <c r="F1156" s="575"/>
      <c r="G1156" s="575"/>
      <c r="H1156" s="573"/>
      <c r="I1156" s="575"/>
      <c r="J1156" s="574"/>
      <c r="K1156" s="576"/>
      <c r="L1156" s="300"/>
      <c r="M1156" s="194"/>
    </row>
    <row r="1157" spans="1:13" s="577" customFormat="1" ht="28.5" customHeight="1">
      <c r="A1157" s="758"/>
      <c r="B1157" s="1338"/>
      <c r="C1157" s="1339"/>
      <c r="D1157" s="1340"/>
      <c r="E1157" s="576"/>
      <c r="F1157" s="575"/>
      <c r="G1157" s="575"/>
      <c r="H1157" s="573"/>
      <c r="I1157" s="575"/>
      <c r="J1157" s="574"/>
      <c r="K1157" s="576"/>
      <c r="L1157" s="300"/>
      <c r="M1157" s="194"/>
    </row>
    <row r="1158" spans="1:13" s="577" customFormat="1" ht="28.5" customHeight="1">
      <c r="A1158" s="758"/>
      <c r="B1158" s="1338"/>
      <c r="C1158" s="1339"/>
      <c r="D1158" s="1340"/>
      <c r="E1158" s="576"/>
      <c r="F1158" s="575"/>
      <c r="G1158" s="575"/>
      <c r="H1158" s="573"/>
      <c r="I1158" s="575"/>
      <c r="J1158" s="574"/>
      <c r="K1158" s="576"/>
      <c r="L1158" s="300"/>
      <c r="M1158" s="194"/>
    </row>
    <row r="1159" spans="1:13" s="577" customFormat="1" ht="28.5" customHeight="1">
      <c r="A1159" s="758"/>
      <c r="B1159" s="1338"/>
      <c r="C1159" s="1339"/>
      <c r="D1159" s="1340"/>
      <c r="E1159" s="576"/>
      <c r="F1159" s="575"/>
      <c r="G1159" s="575"/>
      <c r="H1159" s="573"/>
      <c r="I1159" s="575"/>
      <c r="J1159" s="574"/>
      <c r="K1159" s="576"/>
      <c r="L1159" s="300"/>
      <c r="M1159" s="194"/>
    </row>
    <row r="1160" spans="1:13" s="577" customFormat="1" ht="28.5" customHeight="1">
      <c r="A1160" s="758"/>
      <c r="B1160" s="1338"/>
      <c r="C1160" s="1339"/>
      <c r="D1160" s="1340"/>
      <c r="E1160" s="576"/>
      <c r="F1160" s="575"/>
      <c r="G1160" s="575"/>
      <c r="H1160" s="573"/>
      <c r="I1160" s="575"/>
      <c r="J1160" s="574"/>
      <c r="K1160" s="576"/>
      <c r="L1160" s="300"/>
      <c r="M1160" s="194"/>
    </row>
    <row r="1161" spans="1:13" s="577" customFormat="1" ht="28.5" customHeight="1">
      <c r="A1161" s="758"/>
      <c r="B1161" s="1338"/>
      <c r="C1161" s="1339"/>
      <c r="D1161" s="1340"/>
      <c r="E1161" s="576"/>
      <c r="F1161" s="575"/>
      <c r="G1161" s="575"/>
      <c r="H1161" s="573"/>
      <c r="I1161" s="575"/>
      <c r="J1161" s="574"/>
      <c r="K1161" s="576"/>
      <c r="L1161" s="300"/>
      <c r="M1161" s="194"/>
    </row>
    <row r="1162" spans="1:13" s="577" customFormat="1" ht="28.5" customHeight="1">
      <c r="A1162" s="758"/>
      <c r="B1162" s="1338"/>
      <c r="C1162" s="1339"/>
      <c r="D1162" s="1340"/>
      <c r="E1162" s="576"/>
      <c r="F1162" s="575"/>
      <c r="G1162" s="575"/>
      <c r="H1162" s="573"/>
      <c r="I1162" s="575"/>
      <c r="J1162" s="574"/>
      <c r="K1162" s="576"/>
      <c r="L1162" s="300"/>
      <c r="M1162" s="194"/>
    </row>
    <row r="1163" spans="1:13" s="577" customFormat="1" ht="28.5" customHeight="1">
      <c r="A1163" s="758"/>
      <c r="B1163" s="1338"/>
      <c r="C1163" s="1339"/>
      <c r="D1163" s="1340"/>
      <c r="E1163" s="576"/>
      <c r="F1163" s="575"/>
      <c r="G1163" s="575"/>
      <c r="H1163" s="573"/>
      <c r="I1163" s="575"/>
      <c r="J1163" s="574"/>
      <c r="K1163" s="576"/>
      <c r="L1163" s="300"/>
      <c r="M1163" s="194"/>
    </row>
    <row r="1164" spans="1:13" s="577" customFormat="1" ht="28.5" customHeight="1">
      <c r="A1164" s="758"/>
      <c r="B1164" s="1338"/>
      <c r="C1164" s="1339"/>
      <c r="D1164" s="1340"/>
      <c r="E1164" s="576"/>
      <c r="F1164" s="575"/>
      <c r="G1164" s="575"/>
      <c r="H1164" s="573"/>
      <c r="I1164" s="575"/>
      <c r="J1164" s="574"/>
      <c r="K1164" s="576"/>
      <c r="L1164" s="300"/>
      <c r="M1164" s="194"/>
    </row>
    <row r="1165" spans="1:13" s="577" customFormat="1" ht="28.5" customHeight="1">
      <c r="A1165" s="758"/>
      <c r="B1165" s="1338"/>
      <c r="C1165" s="1339"/>
      <c r="D1165" s="1340"/>
      <c r="E1165" s="576"/>
      <c r="F1165" s="575"/>
      <c r="G1165" s="575"/>
      <c r="H1165" s="573"/>
      <c r="I1165" s="575"/>
      <c r="J1165" s="574"/>
      <c r="K1165" s="576"/>
      <c r="L1165" s="300"/>
      <c r="M1165" s="194"/>
    </row>
    <row r="1166" spans="1:13" s="577" customFormat="1" ht="28.5" customHeight="1">
      <c r="A1166" s="758"/>
      <c r="B1166" s="1338"/>
      <c r="C1166" s="1339"/>
      <c r="D1166" s="1340"/>
      <c r="E1166" s="576"/>
      <c r="F1166" s="575"/>
      <c r="G1166" s="575"/>
      <c r="H1166" s="573"/>
      <c r="I1166" s="575"/>
      <c r="J1166" s="574"/>
      <c r="K1166" s="576"/>
      <c r="L1166" s="300"/>
      <c r="M1166" s="194"/>
    </row>
    <row r="1167" spans="1:13" s="577" customFormat="1" ht="28.5" customHeight="1">
      <c r="A1167" s="758"/>
      <c r="B1167" s="1338"/>
      <c r="C1167" s="1339"/>
      <c r="D1167" s="1340"/>
      <c r="E1167" s="576"/>
      <c r="F1167" s="575"/>
      <c r="G1167" s="575"/>
      <c r="H1167" s="573"/>
      <c r="I1167" s="575"/>
      <c r="J1167" s="574"/>
      <c r="K1167" s="576"/>
      <c r="L1167" s="300"/>
      <c r="M1167" s="194"/>
    </row>
    <row r="1168" spans="1:13" s="577" customFormat="1" ht="28.5" customHeight="1">
      <c r="A1168" s="758"/>
      <c r="B1168" s="1338"/>
      <c r="C1168" s="1339"/>
      <c r="D1168" s="1340"/>
      <c r="E1168" s="576"/>
      <c r="F1168" s="575"/>
      <c r="G1168" s="575"/>
      <c r="H1168" s="573"/>
      <c r="I1168" s="575"/>
      <c r="J1168" s="574"/>
      <c r="K1168" s="576"/>
      <c r="L1168" s="300"/>
      <c r="M1168" s="194"/>
    </row>
    <row r="1169" spans="1:27" s="577" customFormat="1" ht="28.5" customHeight="1">
      <c r="A1169" s="758"/>
      <c r="B1169" s="1338"/>
      <c r="C1169" s="1339"/>
      <c r="D1169" s="1340"/>
      <c r="E1169" s="576"/>
      <c r="F1169" s="575"/>
      <c r="G1169" s="575"/>
      <c r="H1169" s="573"/>
      <c r="I1169" s="575"/>
      <c r="J1169" s="574"/>
      <c r="K1169" s="576"/>
      <c r="L1169" s="300"/>
      <c r="M1169" s="194"/>
    </row>
    <row r="1170" spans="1:27" s="577" customFormat="1" ht="28.5" customHeight="1">
      <c r="A1170" s="758"/>
      <c r="B1170" s="1338"/>
      <c r="C1170" s="1339"/>
      <c r="D1170" s="1340"/>
      <c r="E1170" s="576"/>
      <c r="F1170" s="575"/>
      <c r="G1170" s="575"/>
      <c r="H1170" s="573"/>
      <c r="I1170" s="575"/>
      <c r="J1170" s="574"/>
      <c r="K1170" s="576"/>
      <c r="L1170" s="300"/>
      <c r="M1170" s="194"/>
    </row>
    <row r="1171" spans="1:27" s="577" customFormat="1" ht="28.5" customHeight="1">
      <c r="A1171" s="758"/>
      <c r="B1171" s="1338"/>
      <c r="C1171" s="1339"/>
      <c r="D1171" s="1340"/>
      <c r="E1171" s="576"/>
      <c r="F1171" s="575"/>
      <c r="G1171" s="575"/>
      <c r="H1171" s="573"/>
      <c r="I1171" s="575"/>
      <c r="J1171" s="574"/>
      <c r="K1171" s="576"/>
      <c r="L1171" s="300"/>
      <c r="M1171" s="194"/>
    </row>
    <row r="1172" spans="1:27" s="577" customFormat="1" ht="28.5" customHeight="1">
      <c r="A1172" s="758"/>
      <c r="B1172" s="1338"/>
      <c r="C1172" s="1339"/>
      <c r="D1172" s="1340"/>
      <c r="E1172" s="576"/>
      <c r="F1172" s="575"/>
      <c r="G1172" s="575"/>
      <c r="H1172" s="573"/>
      <c r="I1172" s="575"/>
      <c r="J1172" s="574"/>
      <c r="K1172" s="576"/>
      <c r="L1172" s="300"/>
      <c r="M1172" s="194"/>
    </row>
    <row r="1173" spans="1:27" s="577" customFormat="1" ht="28.5" customHeight="1">
      <c r="A1173" s="758"/>
      <c r="B1173" s="1338"/>
      <c r="C1173" s="1339"/>
      <c r="D1173" s="1340"/>
      <c r="E1173" s="576"/>
      <c r="F1173" s="575"/>
      <c r="G1173" s="575"/>
      <c r="H1173" s="573"/>
      <c r="I1173" s="575"/>
      <c r="J1173" s="574"/>
      <c r="K1173" s="576"/>
      <c r="L1173" s="300"/>
      <c r="M1173" s="194"/>
    </row>
    <row r="1174" spans="1:27" s="577" customFormat="1" ht="28.5" customHeight="1">
      <c r="A1174" s="758"/>
      <c r="B1174" s="1338"/>
      <c r="C1174" s="1339"/>
      <c r="D1174" s="1340"/>
      <c r="E1174" s="576"/>
      <c r="F1174" s="575"/>
      <c r="G1174" s="575"/>
      <c r="H1174" s="573"/>
      <c r="I1174" s="575"/>
      <c r="J1174" s="574"/>
      <c r="K1174" s="576"/>
      <c r="L1174" s="300"/>
      <c r="M1174" s="194"/>
    </row>
    <row r="1175" spans="1:27" s="577" customFormat="1" ht="28.5" customHeight="1">
      <c r="A1175" s="758"/>
      <c r="B1175" s="1338"/>
      <c r="C1175" s="1339"/>
      <c r="D1175" s="1340"/>
      <c r="E1175" s="576"/>
      <c r="F1175" s="575"/>
      <c r="G1175" s="575"/>
      <c r="H1175" s="573"/>
      <c r="I1175" s="575"/>
      <c r="J1175" s="574"/>
      <c r="K1175" s="576"/>
      <c r="L1175" s="300"/>
      <c r="M1175" s="194"/>
    </row>
    <row r="1176" spans="1:27" s="577" customFormat="1" ht="28.5" customHeight="1">
      <c r="A1176" s="758"/>
      <c r="B1176" s="1338"/>
      <c r="C1176" s="1339"/>
      <c r="D1176" s="1340"/>
      <c r="E1176" s="576"/>
      <c r="F1176" s="575"/>
      <c r="G1176" s="575"/>
      <c r="H1176" s="573"/>
      <c r="I1176" s="575"/>
      <c r="J1176" s="574"/>
      <c r="K1176" s="576"/>
      <c r="L1176" s="300"/>
      <c r="M1176" s="194"/>
    </row>
    <row r="1177" spans="1:27" s="577" customFormat="1" ht="28.5" customHeight="1">
      <c r="A1177" s="758"/>
      <c r="B1177" s="1338"/>
      <c r="C1177" s="1339"/>
      <c r="D1177" s="1340"/>
      <c r="E1177" s="576"/>
      <c r="F1177" s="575"/>
      <c r="G1177" s="575"/>
      <c r="H1177" s="573"/>
      <c r="I1177" s="575"/>
      <c r="J1177" s="574"/>
      <c r="K1177" s="576"/>
      <c r="L1177" s="300"/>
      <c r="M1177" s="194"/>
    </row>
    <row r="1178" spans="1:27" s="577" customFormat="1" ht="28.5" customHeight="1">
      <c r="A1178" s="758"/>
      <c r="B1178" s="1338"/>
      <c r="C1178" s="1339"/>
      <c r="D1178" s="1340"/>
      <c r="E1178" s="576"/>
      <c r="F1178" s="575"/>
      <c r="G1178" s="575"/>
      <c r="H1178" s="573"/>
      <c r="I1178" s="575"/>
      <c r="J1178" s="574"/>
      <c r="K1178" s="576"/>
      <c r="L1178" s="300"/>
      <c r="M1178" s="194"/>
    </row>
    <row r="1179" spans="1:27" s="577" customFormat="1" ht="28.5" customHeight="1">
      <c r="A1179" s="758"/>
      <c r="B1179" s="1338"/>
      <c r="C1179" s="1339"/>
      <c r="D1179" s="1340"/>
      <c r="E1179" s="576"/>
      <c r="F1179" s="575"/>
      <c r="G1179" s="575"/>
      <c r="H1179" s="573"/>
      <c r="I1179" s="575"/>
      <c r="J1179" s="574"/>
      <c r="K1179" s="576"/>
      <c r="L1179" s="300"/>
      <c r="M1179" s="194"/>
    </row>
    <row r="1180" spans="1:27" ht="28.5" customHeight="1">
      <c r="A1180" s="758"/>
      <c r="B1180" s="1342"/>
      <c r="C1180" s="1343"/>
      <c r="D1180" s="1344"/>
      <c r="H1180" s="573"/>
      <c r="J1180" s="574"/>
      <c r="K1180" s="300"/>
      <c r="L1180" s="300"/>
      <c r="M1180" s="194"/>
      <c r="N1180" s="577"/>
      <c r="O1180" s="577"/>
      <c r="P1180" s="577"/>
      <c r="Q1180" s="577"/>
      <c r="R1180" s="577"/>
      <c r="S1180" s="577"/>
      <c r="T1180" s="577"/>
      <c r="U1180" s="577"/>
      <c r="V1180" s="577"/>
      <c r="W1180" s="577"/>
      <c r="X1180" s="577"/>
      <c r="Y1180" s="577"/>
      <c r="Z1180" s="577"/>
      <c r="AA1180" s="577"/>
    </row>
    <row r="1181" spans="1:27" ht="28.5" customHeight="1">
      <c r="A1181" s="758"/>
      <c r="B1181" s="1342"/>
      <c r="C1181" s="1343"/>
      <c r="D1181" s="1344"/>
      <c r="H1181" s="573"/>
      <c r="J1181" s="574"/>
      <c r="K1181" s="300"/>
      <c r="L1181" s="300"/>
      <c r="M1181" s="194"/>
    </row>
    <row r="1182" spans="1:27" ht="28.5" customHeight="1">
      <c r="A1182" s="758"/>
      <c r="B1182" s="1342"/>
      <c r="C1182" s="1343"/>
      <c r="D1182" s="1344"/>
      <c r="H1182" s="573"/>
      <c r="J1182" s="574"/>
      <c r="K1182" s="300"/>
      <c r="L1182" s="300"/>
      <c r="M1182" s="194"/>
    </row>
    <row r="1183" spans="1:27" ht="28.5" customHeight="1">
      <c r="A1183" s="758"/>
      <c r="B1183" s="1342"/>
      <c r="C1183" s="1343"/>
      <c r="D1183" s="1344"/>
      <c r="H1183" s="573"/>
      <c r="J1183" s="574"/>
      <c r="K1183" s="300"/>
      <c r="L1183" s="300"/>
      <c r="M1183" s="194"/>
    </row>
    <row r="1184" spans="1:27" ht="28.5" customHeight="1">
      <c r="A1184" s="758"/>
      <c r="B1184" s="1342"/>
      <c r="C1184" s="1343"/>
      <c r="D1184" s="1344"/>
      <c r="H1184" s="573"/>
      <c r="J1184" s="574"/>
      <c r="K1184" s="300"/>
      <c r="L1184" s="300"/>
      <c r="M1184" s="194"/>
    </row>
    <row r="1185" spans="1:13" ht="28.5" customHeight="1">
      <c r="A1185" s="758"/>
      <c r="B1185" s="1342"/>
      <c r="C1185" s="1343"/>
      <c r="D1185" s="1344"/>
      <c r="H1185" s="573"/>
      <c r="J1185" s="574"/>
      <c r="K1185" s="300"/>
      <c r="L1185" s="300"/>
      <c r="M1185" s="194"/>
    </row>
    <row r="1186" spans="1:13" ht="28.5" customHeight="1">
      <c r="A1186" s="758"/>
      <c r="B1186" s="1342"/>
      <c r="C1186" s="1343"/>
      <c r="D1186" s="1344"/>
      <c r="H1186" s="573"/>
      <c r="J1186" s="574"/>
      <c r="K1186" s="300"/>
      <c r="L1186" s="300"/>
      <c r="M1186" s="194"/>
    </row>
    <row r="1187" spans="1:13" ht="28.5" customHeight="1">
      <c r="A1187" s="758"/>
      <c r="B1187" s="1342"/>
      <c r="C1187" s="1343"/>
      <c r="D1187" s="1344"/>
      <c r="H1187" s="573"/>
      <c r="J1187" s="574"/>
      <c r="K1187" s="300"/>
      <c r="L1187" s="300"/>
      <c r="M1187" s="194"/>
    </row>
    <row r="1188" spans="1:13" ht="28.5" customHeight="1">
      <c r="A1188" s="758"/>
      <c r="B1188" s="1342"/>
      <c r="C1188" s="1343"/>
      <c r="D1188" s="1344"/>
      <c r="H1188" s="573"/>
      <c r="J1188" s="574"/>
      <c r="K1188" s="300"/>
      <c r="L1188" s="300"/>
      <c r="M1188" s="194"/>
    </row>
    <row r="1189" spans="1:13" ht="56.25" customHeight="1" thickBot="1">
      <c r="A1189" s="758"/>
      <c r="B1189" s="1342"/>
      <c r="C1189" s="1343"/>
      <c r="D1189" s="1344"/>
      <c r="H1189" s="573"/>
      <c r="J1189" s="574"/>
      <c r="K1189" s="300"/>
      <c r="L1189" s="300"/>
      <c r="M1189" s="194"/>
    </row>
    <row r="1192" spans="1:13" ht="22.5"/>
    <row r="1193" spans="1:13" ht="22.5"/>
    <row r="1194" spans="1:13" ht="22.5"/>
    <row r="1195" spans="1:13" ht="22.5"/>
    <row r="1196" spans="1:13" ht="22.5"/>
    <row r="1197" spans="1:13" ht="22.5"/>
    <row r="1198" spans="1:13" ht="22.5"/>
    <row r="1199" spans="1:13" ht="22.5"/>
    <row r="1200" spans="1:13" ht="22.5"/>
    <row r="1201" ht="22.5"/>
    <row r="1202" ht="22.5"/>
    <row r="1203" ht="22.5"/>
    <row r="1204" ht="22.5"/>
    <row r="1205" ht="22.5"/>
    <row r="1206" ht="22.5"/>
    <row r="1207" ht="22.5"/>
    <row r="1208" ht="22.5"/>
    <row r="1209" ht="22.5"/>
    <row r="1210" ht="22.5"/>
    <row r="1211" ht="22.5"/>
    <row r="1212" ht="22.5"/>
    <row r="1213" ht="22.5"/>
    <row r="1214" ht="22.5"/>
    <row r="1215" ht="22.5"/>
    <row r="1216" ht="22.5"/>
    <row r="1217" ht="22.5"/>
    <row r="1218" ht="22.5"/>
    <row r="1219" ht="22.5"/>
    <row r="1220" ht="22.5"/>
    <row r="1221" ht="22.5"/>
    <row r="1222" ht="22.5"/>
    <row r="1223" ht="22.5"/>
    <row r="1224" ht="22.5"/>
    <row r="1225" ht="22.5"/>
    <row r="1226" ht="22.5"/>
    <row r="1227" ht="22.5"/>
    <row r="1228" ht="22.5"/>
    <row r="1229" ht="22.5"/>
    <row r="1230" ht="22.5"/>
    <row r="1231" ht="22.5"/>
    <row r="1232" ht="22.5"/>
    <row r="1233" ht="22.5"/>
    <row r="1234" ht="22.5"/>
    <row r="1235" ht="22.5"/>
    <row r="1236" ht="22.5"/>
    <row r="1237" ht="22.5"/>
    <row r="1238" ht="22.5"/>
    <row r="1239" ht="22.5"/>
    <row r="1240" ht="22.5"/>
    <row r="1241" ht="22.5"/>
    <row r="1242" ht="22.5"/>
    <row r="1243" ht="22.5"/>
    <row r="1244" ht="22.5"/>
    <row r="1245" ht="22.5"/>
    <row r="1246" ht="22.5"/>
    <row r="1247" ht="22.5"/>
    <row r="1248" ht="22.5"/>
    <row r="1249" ht="22.5"/>
    <row r="1250" ht="22.5"/>
    <row r="1251" ht="22.5"/>
    <row r="1252" ht="22.5"/>
    <row r="1253" ht="22.5"/>
    <row r="1254" ht="22.5"/>
    <row r="1255" ht="22.5"/>
    <row r="1256" ht="22.5"/>
    <row r="1257" ht="22.5"/>
    <row r="1258" ht="22.5"/>
    <row r="1259" ht="22.5"/>
    <row r="1260" ht="22.5"/>
    <row r="1261" ht="22.5"/>
    <row r="1262" ht="22.5"/>
    <row r="1263" ht="22.5"/>
    <row r="1264" ht="22.5"/>
    <row r="1265" ht="22.5"/>
    <row r="1266" ht="22.5"/>
    <row r="1267" ht="22.5"/>
    <row r="1268" ht="22.5"/>
    <row r="1269" ht="22.5"/>
    <row r="1270" ht="22.5"/>
    <row r="1271" ht="22.5"/>
    <row r="1272" ht="22.5"/>
    <row r="1273" ht="22.5"/>
    <row r="1274" ht="22.5"/>
    <row r="1275" ht="22.5"/>
    <row r="1276" ht="22.5"/>
    <row r="1277" ht="22.5"/>
    <row r="1278" ht="22.5"/>
    <row r="1279" ht="22.5"/>
    <row r="1280" ht="22.5"/>
    <row r="1281" ht="22.5"/>
    <row r="1282" ht="22.5"/>
    <row r="1283" ht="22.5"/>
    <row r="1284" ht="22.5"/>
    <row r="1285" ht="22.5"/>
    <row r="1286" ht="22.5"/>
    <row r="1287" ht="22.5"/>
    <row r="1288" ht="22.5"/>
    <row r="1289" ht="22.5"/>
    <row r="1290" ht="22.5"/>
    <row r="1291" ht="22.5"/>
    <row r="1292" ht="22.5"/>
    <row r="1293" ht="22.5"/>
    <row r="1294" ht="22.5"/>
    <row r="1295" ht="22.5"/>
    <row r="1296" ht="22.5"/>
    <row r="1297" ht="22.5"/>
    <row r="1298" ht="22.5"/>
    <row r="1299" ht="22.5"/>
    <row r="1300" ht="22.5"/>
    <row r="1301" ht="22.5"/>
    <row r="1302" ht="22.5"/>
    <row r="1303" ht="22.5"/>
    <row r="1304" ht="22.5"/>
    <row r="1305" ht="22.5"/>
    <row r="1306" ht="22.5"/>
    <row r="1307" ht="22.5"/>
    <row r="1308" ht="22.5"/>
    <row r="1309" ht="22.5"/>
    <row r="1310" ht="22.5"/>
    <row r="1311" ht="22.5"/>
    <row r="1312" ht="22.5"/>
    <row r="1313" ht="22.5"/>
    <row r="1314" ht="22.5"/>
    <row r="1315" ht="22.5"/>
    <row r="1316" ht="22.5"/>
    <row r="1317" ht="22.5"/>
    <row r="1318" ht="22.5"/>
    <row r="1319" ht="22.5"/>
    <row r="1320" ht="22.5"/>
    <row r="1321"/>
    <row r="1322"/>
  </sheetData>
  <protectedRanges>
    <protectedRange sqref="H458" name="区域1_11_3_1_1_1_1_20_1_1_5_1_1_1_1_9_1_2" securityDescriptor=""/>
    <protectedRange sqref="Q669" name="区域1_11_3_1_1_1_1_20_1_1_5_1_1_1_1_9_1" securityDescriptor=""/>
    <protectedRange sqref="Q441" name="区域1_4_4_1_5_3_2_3_1_3_1_1_1_1_2_1_9_1_1_1"/>
  </protectedRanges>
  <autoFilter ref="A2:L1189" xr:uid="{A6485871-E611-4524-9C29-58DEC6148FF4}"/>
  <mergeCells count="2245">
    <mergeCell ref="O62:O63"/>
    <mergeCell ref="P62:P63"/>
    <mergeCell ref="F994:F997"/>
    <mergeCell ref="C538:C540"/>
    <mergeCell ref="D538:D540"/>
    <mergeCell ref="B514:B515"/>
    <mergeCell ref="F521:F524"/>
    <mergeCell ref="B493:B494"/>
    <mergeCell ref="C502:C505"/>
    <mergeCell ref="D502:D505"/>
    <mergeCell ref="E502:E505"/>
    <mergeCell ref="B600:B603"/>
    <mergeCell ref="C600:C603"/>
    <mergeCell ref="C628:C632"/>
    <mergeCell ref="C598:C599"/>
    <mergeCell ref="F619:F621"/>
    <mergeCell ref="E673:E674"/>
    <mergeCell ref="B785:B786"/>
    <mergeCell ref="F796:F799"/>
    <mergeCell ref="C807:C808"/>
    <mergeCell ref="D800:D806"/>
    <mergeCell ref="F807:F808"/>
    <mergeCell ref="B819:B820"/>
    <mergeCell ref="E800:E806"/>
    <mergeCell ref="F800:F806"/>
    <mergeCell ref="B787:B789"/>
    <mergeCell ref="B790:B792"/>
    <mergeCell ref="C787:C789"/>
    <mergeCell ref="C604:C610"/>
    <mergeCell ref="C493:C494"/>
    <mergeCell ref="B563:B564"/>
    <mergeCell ref="D676:D677"/>
    <mergeCell ref="F665:F666"/>
    <mergeCell ref="B673:B674"/>
    <mergeCell ref="B171:B173"/>
    <mergeCell ref="C171:C173"/>
    <mergeCell ref="D171:D173"/>
    <mergeCell ref="E171:E173"/>
    <mergeCell ref="F171:F173"/>
    <mergeCell ref="O171:O173"/>
    <mergeCell ref="P171:P173"/>
    <mergeCell ref="F180:F181"/>
    <mergeCell ref="E477:E479"/>
    <mergeCell ref="B519:B520"/>
    <mergeCell ref="C519:C520"/>
    <mergeCell ref="D519:D520"/>
    <mergeCell ref="B807:B808"/>
    <mergeCell ref="B796:B799"/>
    <mergeCell ref="B800:B806"/>
    <mergeCell ref="D572:D575"/>
    <mergeCell ref="B572:B575"/>
    <mergeCell ref="C572:C575"/>
    <mergeCell ref="B585:B586"/>
    <mergeCell ref="C585:C586"/>
    <mergeCell ref="D585:D586"/>
    <mergeCell ref="F576:F581"/>
    <mergeCell ref="E567:E568"/>
    <mergeCell ref="B594:B597"/>
    <mergeCell ref="C594:C597"/>
    <mergeCell ref="D594:D597"/>
    <mergeCell ref="B604:B610"/>
    <mergeCell ref="C760:C764"/>
    <mergeCell ref="A336:A352"/>
    <mergeCell ref="O644:O645"/>
    <mergeCell ref="P644:P645"/>
    <mergeCell ref="O270:O276"/>
    <mergeCell ref="P270:P276"/>
    <mergeCell ref="N336:N352"/>
    <mergeCell ref="F387:F388"/>
    <mergeCell ref="E604:E610"/>
    <mergeCell ref="D557:D558"/>
    <mergeCell ref="E557:E558"/>
    <mergeCell ref="C514:C515"/>
    <mergeCell ref="D514:D515"/>
    <mergeCell ref="E514:E515"/>
    <mergeCell ref="F514:F515"/>
    <mergeCell ref="P662:P664"/>
    <mergeCell ref="D651:D652"/>
    <mergeCell ref="B619:B621"/>
    <mergeCell ref="C619:C621"/>
    <mergeCell ref="P628:P632"/>
    <mergeCell ref="E651:E652"/>
    <mergeCell ref="P639:P641"/>
    <mergeCell ref="C475:C476"/>
    <mergeCell ref="C487:C490"/>
    <mergeCell ref="B349:B352"/>
    <mergeCell ref="C349:C352"/>
    <mergeCell ref="F651:F652"/>
    <mergeCell ref="E653:E654"/>
    <mergeCell ref="F653:F654"/>
    <mergeCell ref="P633:P635"/>
    <mergeCell ref="N656:AA656"/>
    <mergeCell ref="E662:E664"/>
    <mergeCell ref="C653:C654"/>
    <mergeCell ref="O662:O664"/>
    <mergeCell ref="E665:E666"/>
    <mergeCell ref="F636:F638"/>
    <mergeCell ref="E512:E513"/>
    <mergeCell ref="P569:P571"/>
    <mergeCell ref="O567:O568"/>
    <mergeCell ref="F480:F482"/>
    <mergeCell ref="E551:E553"/>
    <mergeCell ref="F551:F553"/>
    <mergeCell ref="F557:F558"/>
    <mergeCell ref="F502:F505"/>
    <mergeCell ref="D487:D490"/>
    <mergeCell ref="E487:E490"/>
    <mergeCell ref="C532:C537"/>
    <mergeCell ref="D532:D537"/>
    <mergeCell ref="E532:E537"/>
    <mergeCell ref="F498:F500"/>
    <mergeCell ref="C557:C558"/>
    <mergeCell ref="F567:F568"/>
    <mergeCell ref="C563:C564"/>
    <mergeCell ref="D483:D485"/>
    <mergeCell ref="E483:E485"/>
    <mergeCell ref="N498:N515"/>
    <mergeCell ref="O498:O500"/>
    <mergeCell ref="N541:N550"/>
    <mergeCell ref="O543:O544"/>
    <mergeCell ref="P543:P544"/>
    <mergeCell ref="N554:AA554"/>
    <mergeCell ref="C551:C553"/>
    <mergeCell ref="D551:D553"/>
    <mergeCell ref="C569:C571"/>
    <mergeCell ref="E480:E482"/>
    <mergeCell ref="D512:D513"/>
    <mergeCell ref="F483:F485"/>
    <mergeCell ref="P868:P871"/>
    <mergeCell ref="O853:O854"/>
    <mergeCell ref="P853:P854"/>
    <mergeCell ref="O857:O858"/>
    <mergeCell ref="P857:P858"/>
    <mergeCell ref="O859:O861"/>
    <mergeCell ref="P859:P861"/>
    <mergeCell ref="F742:F745"/>
    <mergeCell ref="O714:O716"/>
    <mergeCell ref="P673:P674"/>
    <mergeCell ref="N676:N689"/>
    <mergeCell ref="P705:P706"/>
    <mergeCell ref="O583:O584"/>
    <mergeCell ref="O600:O603"/>
    <mergeCell ref="P600:P603"/>
    <mergeCell ref="N622:AA622"/>
    <mergeCell ref="O651:O652"/>
    <mergeCell ref="F760:F764"/>
    <mergeCell ref="G636:G638"/>
    <mergeCell ref="O679:O680"/>
    <mergeCell ref="P679:P680"/>
    <mergeCell ref="D653:D654"/>
    <mergeCell ref="G639:G641"/>
    <mergeCell ref="O639:O641"/>
    <mergeCell ref="E746:E747"/>
    <mergeCell ref="F746:F747"/>
    <mergeCell ref="F662:F664"/>
    <mergeCell ref="P821:P826"/>
    <mergeCell ref="O827:O833"/>
    <mergeCell ref="N767:AA767"/>
    <mergeCell ref="B512:B513"/>
    <mergeCell ref="C517:C518"/>
    <mergeCell ref="P583:P584"/>
    <mergeCell ref="E583:E584"/>
    <mergeCell ref="F583:F584"/>
    <mergeCell ref="D600:D603"/>
    <mergeCell ref="E600:E603"/>
    <mergeCell ref="B598:B599"/>
    <mergeCell ref="B709:B713"/>
    <mergeCell ref="E585:E586"/>
    <mergeCell ref="B538:B540"/>
    <mergeCell ref="C644:C645"/>
    <mergeCell ref="D590:D593"/>
    <mergeCell ref="D583:D584"/>
    <mergeCell ref="D521:D524"/>
    <mergeCell ref="E521:E524"/>
    <mergeCell ref="B517:B518"/>
    <mergeCell ref="C512:C513"/>
    <mergeCell ref="O525:O528"/>
    <mergeCell ref="P525:P528"/>
    <mergeCell ref="O530:O531"/>
    <mergeCell ref="B541:B550"/>
    <mergeCell ref="C543:C544"/>
    <mergeCell ref="D543:D544"/>
    <mergeCell ref="F543:F544"/>
    <mergeCell ref="B567:B568"/>
    <mergeCell ref="C567:C568"/>
    <mergeCell ref="B521:B524"/>
    <mergeCell ref="P604:P610"/>
    <mergeCell ref="P551:P553"/>
    <mergeCell ref="N600:N610"/>
    <mergeCell ref="O563:O564"/>
    <mergeCell ref="C611:C613"/>
    <mergeCell ref="F633:F635"/>
    <mergeCell ref="B633:B635"/>
    <mergeCell ref="C633:C635"/>
    <mergeCell ref="D633:D635"/>
    <mergeCell ref="F614:F618"/>
    <mergeCell ref="B611:B613"/>
    <mergeCell ref="A622:C622"/>
    <mergeCell ref="E614:E618"/>
    <mergeCell ref="P709:P713"/>
    <mergeCell ref="O636:O638"/>
    <mergeCell ref="P636:P638"/>
    <mergeCell ref="N611:N621"/>
    <mergeCell ref="O611:O613"/>
    <mergeCell ref="F679:F680"/>
    <mergeCell ref="E701:E704"/>
    <mergeCell ref="F701:F704"/>
    <mergeCell ref="A707:A713"/>
    <mergeCell ref="A676:A689"/>
    <mergeCell ref="F676:F677"/>
    <mergeCell ref="D681:D685"/>
    <mergeCell ref="E681:E685"/>
    <mergeCell ref="F681:F685"/>
    <mergeCell ref="B676:B677"/>
    <mergeCell ref="B653:B654"/>
    <mergeCell ref="D644:D645"/>
    <mergeCell ref="E644:E645"/>
    <mergeCell ref="F668:F669"/>
    <mergeCell ref="C662:C664"/>
    <mergeCell ref="F639:F641"/>
    <mergeCell ref="E633:E635"/>
    <mergeCell ref="A657:A675"/>
    <mergeCell ref="A714:A728"/>
    <mergeCell ref="B714:B716"/>
    <mergeCell ref="C714:C716"/>
    <mergeCell ref="E636:E638"/>
    <mergeCell ref="D662:D664"/>
    <mergeCell ref="D625:D626"/>
    <mergeCell ref="B628:B632"/>
    <mergeCell ref="D628:D632"/>
    <mergeCell ref="B662:B664"/>
    <mergeCell ref="F658:F661"/>
    <mergeCell ref="O918:O919"/>
    <mergeCell ref="P918:P919"/>
    <mergeCell ref="P687:P688"/>
    <mergeCell ref="O695:O697"/>
    <mergeCell ref="P691:P694"/>
    <mergeCell ref="P695:P697"/>
    <mergeCell ref="O699:O700"/>
    <mergeCell ref="P699:P700"/>
    <mergeCell ref="O701:O704"/>
    <mergeCell ref="P769:P774"/>
    <mergeCell ref="O775:O777"/>
    <mergeCell ref="P775:P777"/>
    <mergeCell ref="O778:O779"/>
    <mergeCell ref="P778:P779"/>
    <mergeCell ref="O780:O782"/>
    <mergeCell ref="P780:P782"/>
    <mergeCell ref="O687:O688"/>
    <mergeCell ref="O785:O786"/>
    <mergeCell ref="P785:P786"/>
    <mergeCell ref="O816:O818"/>
    <mergeCell ref="O899:O900"/>
    <mergeCell ref="P899:P900"/>
    <mergeCell ref="P742:P745"/>
    <mergeCell ref="O746:O747"/>
    <mergeCell ref="P746:P747"/>
    <mergeCell ref="O749:O750"/>
    <mergeCell ref="P749:P750"/>
    <mergeCell ref="O742:O745"/>
    <mergeCell ref="O901:O902"/>
    <mergeCell ref="O1098:O1099"/>
    <mergeCell ref="P1098:P1099"/>
    <mergeCell ref="O1100:O1102"/>
    <mergeCell ref="P1100:P1102"/>
    <mergeCell ref="O1103:O1105"/>
    <mergeCell ref="P1103:P1105"/>
    <mergeCell ref="O1106:O1107"/>
    <mergeCell ref="P1106:P1107"/>
    <mergeCell ref="O877:O879"/>
    <mergeCell ref="P877:P879"/>
    <mergeCell ref="O872:O873"/>
    <mergeCell ref="P872:P873"/>
    <mergeCell ref="O939:O940"/>
    <mergeCell ref="P939:P940"/>
    <mergeCell ref="O891:O893"/>
    <mergeCell ref="P891:P893"/>
    <mergeCell ref="O914:O915"/>
    <mergeCell ref="P914:P915"/>
    <mergeCell ref="P1009:P1011"/>
    <mergeCell ref="O1012:O1013"/>
    <mergeCell ref="P1012:P1013"/>
    <mergeCell ref="O1022:O1025"/>
    <mergeCell ref="P1022:P1025"/>
    <mergeCell ref="O994:O995"/>
    <mergeCell ref="P994:P995"/>
    <mergeCell ref="P874:P875"/>
    <mergeCell ref="O976:O977"/>
    <mergeCell ref="P976:P977"/>
    <mergeCell ref="O978:O979"/>
    <mergeCell ref="P978:P979"/>
    <mergeCell ref="P926:P927"/>
    <mergeCell ref="O928:O930"/>
    <mergeCell ref="P928:P930"/>
    <mergeCell ref="O931:O932"/>
    <mergeCell ref="P931:P932"/>
    <mergeCell ref="O916:O917"/>
    <mergeCell ref="P916:P917"/>
    <mergeCell ref="O849:O850"/>
    <mergeCell ref="P849:P850"/>
    <mergeCell ref="O868:O871"/>
    <mergeCell ref="P999:P1000"/>
    <mergeCell ref="O874:O875"/>
    <mergeCell ref="O905:O908"/>
    <mergeCell ref="P905:P908"/>
    <mergeCell ref="N1027:N1031"/>
    <mergeCell ref="N1032:N1051"/>
    <mergeCell ref="O1032:O1034"/>
    <mergeCell ref="P1032:P1034"/>
    <mergeCell ref="O1035:O1037"/>
    <mergeCell ref="P1035:P1037"/>
    <mergeCell ref="P1046:P1047"/>
    <mergeCell ref="O1048:O1049"/>
    <mergeCell ref="N910:N913"/>
    <mergeCell ref="N914:N922"/>
    <mergeCell ref="O920:O921"/>
    <mergeCell ref="P920:P921"/>
    <mergeCell ref="P1048:P1049"/>
    <mergeCell ref="O1050:O1051"/>
    <mergeCell ref="P1050:P1051"/>
    <mergeCell ref="O1042:O1043"/>
    <mergeCell ref="P1042:P1043"/>
    <mergeCell ref="O1044:O1045"/>
    <mergeCell ref="N970:N973"/>
    <mergeCell ref="N974:N990"/>
    <mergeCell ref="O974:O975"/>
    <mergeCell ref="P974:P975"/>
    <mergeCell ref="O980:O982"/>
    <mergeCell ref="P980:P982"/>
    <mergeCell ref="O983:O986"/>
    <mergeCell ref="P983:P986"/>
    <mergeCell ref="O988:O989"/>
    <mergeCell ref="P988:P989"/>
    <mergeCell ref="N991:N1000"/>
    <mergeCell ref="O991:O992"/>
    <mergeCell ref="P991:P992"/>
    <mergeCell ref="O999:O1000"/>
    <mergeCell ref="N1052:N1069"/>
    <mergeCell ref="O1054:O1056"/>
    <mergeCell ref="P1054:P1056"/>
    <mergeCell ref="O1057:O1061"/>
    <mergeCell ref="P1057:P1061"/>
    <mergeCell ref="O1063:O1067"/>
    <mergeCell ref="P1063:P1067"/>
    <mergeCell ref="O1068:O1069"/>
    <mergeCell ref="P1068:P1069"/>
    <mergeCell ref="N1070:N1087"/>
    <mergeCell ref="O1072:O1074"/>
    <mergeCell ref="P1072:P1074"/>
    <mergeCell ref="O1075:O1079"/>
    <mergeCell ref="P1075:P1079"/>
    <mergeCell ref="O1081:O1085"/>
    <mergeCell ref="P1081:P1085"/>
    <mergeCell ref="O1086:O1087"/>
    <mergeCell ref="P1086:P1087"/>
    <mergeCell ref="N1001:N1008"/>
    <mergeCell ref="N1009:N1026"/>
    <mergeCell ref="O1009:O1011"/>
    <mergeCell ref="P1044:P1045"/>
    <mergeCell ref="O1046:O1047"/>
    <mergeCell ref="O705:O706"/>
    <mergeCell ref="P809:P810"/>
    <mergeCell ref="D636:D638"/>
    <mergeCell ref="N941:N947"/>
    <mergeCell ref="O941:O942"/>
    <mergeCell ref="P941:P942"/>
    <mergeCell ref="O943:O945"/>
    <mergeCell ref="P943:P945"/>
    <mergeCell ref="O946:O947"/>
    <mergeCell ref="P946:P947"/>
    <mergeCell ref="N948:N969"/>
    <mergeCell ref="O948:O951"/>
    <mergeCell ref="P948:P951"/>
    <mergeCell ref="O955:O956"/>
    <mergeCell ref="P955:P956"/>
    <mergeCell ref="O961:O963"/>
    <mergeCell ref="P961:P963"/>
    <mergeCell ref="O965:O968"/>
    <mergeCell ref="P965:P968"/>
    <mergeCell ref="P957:P958"/>
    <mergeCell ref="O959:O960"/>
    <mergeCell ref="P959:P960"/>
    <mergeCell ref="O952:O954"/>
    <mergeCell ref="P952:P954"/>
    <mergeCell ref="O957:O958"/>
    <mergeCell ref="P936:P938"/>
    <mergeCell ref="O821:O826"/>
    <mergeCell ref="N768:N782"/>
    <mergeCell ref="O769:O774"/>
    <mergeCell ref="B816:B818"/>
    <mergeCell ref="B880:B883"/>
    <mergeCell ref="E889:E890"/>
    <mergeCell ref="E899:E900"/>
    <mergeCell ref="B946:B947"/>
    <mergeCell ref="C946:C947"/>
    <mergeCell ref="D946:D947"/>
    <mergeCell ref="B884:B885"/>
    <mergeCell ref="B874:B875"/>
    <mergeCell ref="E884:E885"/>
    <mergeCell ref="O787:O789"/>
    <mergeCell ref="P787:P789"/>
    <mergeCell ref="O790:O792"/>
    <mergeCell ref="P790:P792"/>
    <mergeCell ref="P827:P833"/>
    <mergeCell ref="O809:O810"/>
    <mergeCell ref="N923:N932"/>
    <mergeCell ref="O923:O925"/>
    <mergeCell ref="P923:P925"/>
    <mergeCell ref="O926:O927"/>
    <mergeCell ref="O884:O885"/>
    <mergeCell ref="P884:P885"/>
    <mergeCell ref="N880:N893"/>
    <mergeCell ref="O880:O883"/>
    <mergeCell ref="P880:P883"/>
    <mergeCell ref="D844:D847"/>
    <mergeCell ref="F844:F847"/>
    <mergeCell ref="F901:F902"/>
    <mergeCell ref="D899:D900"/>
    <mergeCell ref="B872:B873"/>
    <mergeCell ref="E952:E954"/>
    <mergeCell ref="F952:F954"/>
    <mergeCell ref="E813:E814"/>
    <mergeCell ref="E905:E908"/>
    <mergeCell ref="E853:E854"/>
    <mergeCell ref="F889:F890"/>
    <mergeCell ref="F914:F915"/>
    <mergeCell ref="E844:E847"/>
    <mergeCell ref="E859:E861"/>
    <mergeCell ref="F859:F861"/>
    <mergeCell ref="C827:C833"/>
    <mergeCell ref="F918:F919"/>
    <mergeCell ref="F926:F927"/>
    <mergeCell ref="E941:E942"/>
    <mergeCell ref="F941:F942"/>
    <mergeCell ref="D920:D921"/>
    <mergeCell ref="E920:E921"/>
    <mergeCell ref="F920:F921"/>
    <mergeCell ref="E946:E947"/>
    <mergeCell ref="F946:F947"/>
    <mergeCell ref="F877:F879"/>
    <mergeCell ref="E901:E902"/>
    <mergeCell ref="C880:C883"/>
    <mergeCell ref="C899:C900"/>
    <mergeCell ref="C853:C854"/>
    <mergeCell ref="D853:D854"/>
    <mergeCell ref="C874:C875"/>
    <mergeCell ref="N933:N940"/>
    <mergeCell ref="O936:O938"/>
    <mergeCell ref="B859:B861"/>
    <mergeCell ref="B844:B847"/>
    <mergeCell ref="B840:B843"/>
    <mergeCell ref="B483:B485"/>
    <mergeCell ref="C483:C485"/>
    <mergeCell ref="D563:D564"/>
    <mergeCell ref="E563:E564"/>
    <mergeCell ref="F563:F564"/>
    <mergeCell ref="D493:D494"/>
    <mergeCell ref="E538:E540"/>
    <mergeCell ref="F727:F728"/>
    <mergeCell ref="D742:D745"/>
    <mergeCell ref="E742:E745"/>
    <mergeCell ref="E493:E494"/>
    <mergeCell ref="E572:E575"/>
    <mergeCell ref="F538:F540"/>
    <mergeCell ref="F512:F513"/>
    <mergeCell ref="E498:E500"/>
    <mergeCell ref="C521:C524"/>
    <mergeCell ref="F749:F750"/>
    <mergeCell ref="C746:C747"/>
    <mergeCell ref="E709:E713"/>
    <mergeCell ref="F709:F713"/>
    <mergeCell ref="C705:C706"/>
    <mergeCell ref="D705:D706"/>
    <mergeCell ref="E705:E706"/>
    <mergeCell ref="F705:F706"/>
    <mergeCell ref="C651:C652"/>
    <mergeCell ref="E671:E672"/>
    <mergeCell ref="N783:N795"/>
    <mergeCell ref="A1032:A1051"/>
    <mergeCell ref="D598:D599"/>
    <mergeCell ref="B576:B581"/>
    <mergeCell ref="C576:C581"/>
    <mergeCell ref="D576:D581"/>
    <mergeCell ref="C588:C589"/>
    <mergeCell ref="D588:D589"/>
    <mergeCell ref="E588:E589"/>
    <mergeCell ref="E642:E643"/>
    <mergeCell ref="F642:F643"/>
    <mergeCell ref="B920:B921"/>
    <mergeCell ref="C920:C921"/>
    <mergeCell ref="F673:F674"/>
    <mergeCell ref="C1022:C1025"/>
    <mergeCell ref="D1022:D1025"/>
    <mergeCell ref="E1022:E1025"/>
    <mergeCell ref="C884:C885"/>
    <mergeCell ref="D928:D930"/>
    <mergeCell ref="D604:D610"/>
    <mergeCell ref="C590:C593"/>
    <mergeCell ref="E598:E599"/>
    <mergeCell ref="E590:E593"/>
    <mergeCell ref="D611:D613"/>
    <mergeCell ref="E965:E968"/>
    <mergeCell ref="C872:C873"/>
    <mergeCell ref="C849:C850"/>
    <mergeCell ref="B952:B954"/>
    <mergeCell ref="C952:C954"/>
    <mergeCell ref="D952:D954"/>
    <mergeCell ref="D918:D919"/>
    <mergeCell ref="D874:D875"/>
    <mergeCell ref="B765:B766"/>
    <mergeCell ref="C809:C810"/>
    <mergeCell ref="E819:E820"/>
    <mergeCell ref="C834:C837"/>
    <mergeCell ref="D834:D837"/>
    <mergeCell ref="D884:D885"/>
    <mergeCell ref="D765:D766"/>
    <mergeCell ref="D859:D861"/>
    <mergeCell ref="C844:C847"/>
    <mergeCell ref="C778:C779"/>
    <mergeCell ref="E778:E779"/>
    <mergeCell ref="F778:F779"/>
    <mergeCell ref="D809:D810"/>
    <mergeCell ref="F819:F820"/>
    <mergeCell ref="E807:E808"/>
    <mergeCell ref="C796:C799"/>
    <mergeCell ref="D796:D799"/>
    <mergeCell ref="D821:D826"/>
    <mergeCell ref="C780:C782"/>
    <mergeCell ref="D780:D782"/>
    <mergeCell ref="E780:E782"/>
    <mergeCell ref="E796:E799"/>
    <mergeCell ref="F780:F782"/>
    <mergeCell ref="D807:D808"/>
    <mergeCell ref="E816:E818"/>
    <mergeCell ref="E959:E960"/>
    <mergeCell ref="F959:F960"/>
    <mergeCell ref="C800:C806"/>
    <mergeCell ref="C813:C814"/>
    <mergeCell ref="D813:D814"/>
    <mergeCell ref="C819:C820"/>
    <mergeCell ref="C816:C818"/>
    <mergeCell ref="D816:D818"/>
    <mergeCell ref="B891:B893"/>
    <mergeCell ref="E918:E919"/>
    <mergeCell ref="B862:B863"/>
    <mergeCell ref="C862:C863"/>
    <mergeCell ref="D862:D863"/>
    <mergeCell ref="F899:F900"/>
    <mergeCell ref="E849:E850"/>
    <mergeCell ref="C891:C893"/>
    <mergeCell ref="B901:B902"/>
    <mergeCell ref="C901:C902"/>
    <mergeCell ref="D901:D902"/>
    <mergeCell ref="B916:B917"/>
    <mergeCell ref="C916:C917"/>
    <mergeCell ref="D916:D917"/>
    <mergeCell ref="E916:E917"/>
    <mergeCell ref="B914:B915"/>
    <mergeCell ref="C914:C915"/>
    <mergeCell ref="D914:D915"/>
    <mergeCell ref="E914:E915"/>
    <mergeCell ref="C859:C861"/>
    <mergeCell ref="B899:B900"/>
    <mergeCell ref="E955:E956"/>
    <mergeCell ref="F955:F956"/>
    <mergeCell ref="F916:F917"/>
    <mergeCell ref="A933:A940"/>
    <mergeCell ref="B936:B938"/>
    <mergeCell ref="C936:C938"/>
    <mergeCell ref="D936:D938"/>
    <mergeCell ref="E936:E938"/>
    <mergeCell ref="F936:F938"/>
    <mergeCell ref="B931:B932"/>
    <mergeCell ref="C931:C932"/>
    <mergeCell ref="D931:D932"/>
    <mergeCell ref="E931:E932"/>
    <mergeCell ref="F931:F932"/>
    <mergeCell ref="A923:A932"/>
    <mergeCell ref="B923:B925"/>
    <mergeCell ref="D923:D925"/>
    <mergeCell ref="B928:B930"/>
    <mergeCell ref="C928:C930"/>
    <mergeCell ref="B926:B927"/>
    <mergeCell ref="C926:C927"/>
    <mergeCell ref="D926:D927"/>
    <mergeCell ref="E926:E927"/>
    <mergeCell ref="C923:C925"/>
    <mergeCell ref="E928:E930"/>
    <mergeCell ref="F928:F930"/>
    <mergeCell ref="B939:B940"/>
    <mergeCell ref="C939:C940"/>
    <mergeCell ref="D939:D940"/>
    <mergeCell ref="E939:E940"/>
    <mergeCell ref="F939:F940"/>
    <mergeCell ref="E923:E925"/>
    <mergeCell ref="F923:F925"/>
    <mergeCell ref="B1180:B1189"/>
    <mergeCell ref="C1180:C1189"/>
    <mergeCell ref="D1180:D1189"/>
    <mergeCell ref="C1162:C1167"/>
    <mergeCell ref="D1162:D1167"/>
    <mergeCell ref="C1168:C1173"/>
    <mergeCell ref="D1168:D1173"/>
    <mergeCell ref="B1132:B1155"/>
    <mergeCell ref="C1132:C1155"/>
    <mergeCell ref="D1132:D1155"/>
    <mergeCell ref="C1106:C1107"/>
    <mergeCell ref="D1106:D1107"/>
    <mergeCell ref="F1106:F1107"/>
    <mergeCell ref="E1106:E1107"/>
    <mergeCell ref="E1100:E1102"/>
    <mergeCell ref="F1100:F1102"/>
    <mergeCell ref="A111:A122"/>
    <mergeCell ref="D819:D820"/>
    <mergeCell ref="E862:E863"/>
    <mergeCell ref="F862:F863"/>
    <mergeCell ref="C838:C839"/>
    <mergeCell ref="D838:D839"/>
    <mergeCell ref="E838:E839"/>
    <mergeCell ref="F838:F839"/>
    <mergeCell ref="A834:A848"/>
    <mergeCell ref="B642:B643"/>
    <mergeCell ref="D877:D879"/>
    <mergeCell ref="E877:E879"/>
    <mergeCell ref="D840:D843"/>
    <mergeCell ref="F827:F833"/>
    <mergeCell ref="D872:D873"/>
    <mergeCell ref="B1088:B1093"/>
    <mergeCell ref="B1098:B1099"/>
    <mergeCell ref="C1098:C1099"/>
    <mergeCell ref="D1098:D1099"/>
    <mergeCell ref="B813:B814"/>
    <mergeCell ref="B1156:B1179"/>
    <mergeCell ref="C1156:C1161"/>
    <mergeCell ref="D1156:D1161"/>
    <mergeCell ref="C1174:C1179"/>
    <mergeCell ref="D1174:D1179"/>
    <mergeCell ref="E1098:E1099"/>
    <mergeCell ref="F1098:F1099"/>
    <mergeCell ref="D1103:D1105"/>
    <mergeCell ref="E1103:E1105"/>
    <mergeCell ref="F1103:F1105"/>
    <mergeCell ref="C1100:C1102"/>
    <mergeCell ref="D1100:D1102"/>
    <mergeCell ref="C1103:C1105"/>
    <mergeCell ref="B1044:B1045"/>
    <mergeCell ref="C1044:C1045"/>
    <mergeCell ref="D1044:D1045"/>
    <mergeCell ref="E1050:E1051"/>
    <mergeCell ref="F1050:F1051"/>
    <mergeCell ref="F1054:F1056"/>
    <mergeCell ref="B1063:B1067"/>
    <mergeCell ref="C1063:C1067"/>
    <mergeCell ref="D1063:D1067"/>
    <mergeCell ref="E872:E873"/>
    <mergeCell ref="F872:F873"/>
    <mergeCell ref="E1063:E1067"/>
    <mergeCell ref="C957:C958"/>
    <mergeCell ref="D957:D958"/>
    <mergeCell ref="E957:E958"/>
    <mergeCell ref="A1070:A1087"/>
    <mergeCell ref="E1081:E1085"/>
    <mergeCell ref="F1081:F1085"/>
    <mergeCell ref="B1086:B1087"/>
    <mergeCell ref="C1086:C1087"/>
    <mergeCell ref="D1086:D1087"/>
    <mergeCell ref="E1086:E1087"/>
    <mergeCell ref="F1086:F1087"/>
    <mergeCell ref="B1075:B1079"/>
    <mergeCell ref="C1075:C1079"/>
    <mergeCell ref="D1075:D1079"/>
    <mergeCell ref="E1075:E1079"/>
    <mergeCell ref="D1072:D1074"/>
    <mergeCell ref="E1072:E1074"/>
    <mergeCell ref="F1072:F1074"/>
    <mergeCell ref="B1081:B1085"/>
    <mergeCell ref="C1081:C1085"/>
    <mergeCell ref="D1081:D1085"/>
    <mergeCell ref="F1075:F1079"/>
    <mergeCell ref="B1072:B1074"/>
    <mergeCell ref="C1072:C1074"/>
    <mergeCell ref="D1035:D1037"/>
    <mergeCell ref="E1035:E1037"/>
    <mergeCell ref="F1035:F1037"/>
    <mergeCell ref="B1068:B1069"/>
    <mergeCell ref="C1068:C1069"/>
    <mergeCell ref="D1068:D1069"/>
    <mergeCell ref="E1068:E1069"/>
    <mergeCell ref="B1054:B1056"/>
    <mergeCell ref="C1054:C1056"/>
    <mergeCell ref="D1054:D1056"/>
    <mergeCell ref="E1054:E1056"/>
    <mergeCell ref="C1057:C1061"/>
    <mergeCell ref="D1057:D1061"/>
    <mergeCell ref="E1057:E1061"/>
    <mergeCell ref="F1057:F1061"/>
    <mergeCell ref="E1044:E1045"/>
    <mergeCell ref="F1044:F1045"/>
    <mergeCell ref="E1042:E1043"/>
    <mergeCell ref="F1042:F1043"/>
    <mergeCell ref="A1027:A1031"/>
    <mergeCell ref="B1032:B1034"/>
    <mergeCell ref="C1032:C1034"/>
    <mergeCell ref="D1032:D1034"/>
    <mergeCell ref="E1032:E1034"/>
    <mergeCell ref="F1032:F1034"/>
    <mergeCell ref="A1009:A1026"/>
    <mergeCell ref="E999:E1000"/>
    <mergeCell ref="F999:F1000"/>
    <mergeCell ref="A1052:A1069"/>
    <mergeCell ref="F1063:F1067"/>
    <mergeCell ref="B1046:B1047"/>
    <mergeCell ref="C1046:C1047"/>
    <mergeCell ref="D1046:D1047"/>
    <mergeCell ref="E1046:E1047"/>
    <mergeCell ref="F1046:F1047"/>
    <mergeCell ref="B1048:B1049"/>
    <mergeCell ref="C1048:C1049"/>
    <mergeCell ref="D1048:D1049"/>
    <mergeCell ref="E1048:E1049"/>
    <mergeCell ref="F1048:F1049"/>
    <mergeCell ref="B1050:B1051"/>
    <mergeCell ref="C1050:C1051"/>
    <mergeCell ref="D1050:D1051"/>
    <mergeCell ref="B1042:B1043"/>
    <mergeCell ref="C1042:C1043"/>
    <mergeCell ref="D1042:D1043"/>
    <mergeCell ref="A991:A1000"/>
    <mergeCell ref="F1068:F1069"/>
    <mergeCell ref="B1057:B1061"/>
    <mergeCell ref="B1035:B1037"/>
    <mergeCell ref="C1035:C1037"/>
    <mergeCell ref="E988:E989"/>
    <mergeCell ref="F988:F989"/>
    <mergeCell ref="F1022:F1025"/>
    <mergeCell ref="B1012:B1013"/>
    <mergeCell ref="C1012:C1013"/>
    <mergeCell ref="D1012:D1013"/>
    <mergeCell ref="E1012:E1013"/>
    <mergeCell ref="F1012:F1013"/>
    <mergeCell ref="A1001:A1008"/>
    <mergeCell ref="B1009:B1011"/>
    <mergeCell ref="C1009:C1011"/>
    <mergeCell ref="D1009:D1011"/>
    <mergeCell ref="E1009:E1011"/>
    <mergeCell ref="F1009:F1011"/>
    <mergeCell ref="B1022:B1025"/>
    <mergeCell ref="B999:B1000"/>
    <mergeCell ref="C999:C1000"/>
    <mergeCell ref="D999:D1000"/>
    <mergeCell ref="A974:A990"/>
    <mergeCell ref="B974:B975"/>
    <mergeCell ref="C974:C975"/>
    <mergeCell ref="D974:D975"/>
    <mergeCell ref="E974:E975"/>
    <mergeCell ref="B991:B993"/>
    <mergeCell ref="C991:C993"/>
    <mergeCell ref="D991:D993"/>
    <mergeCell ref="E991:E993"/>
    <mergeCell ref="F991:F993"/>
    <mergeCell ref="B994:B997"/>
    <mergeCell ref="C994:C997"/>
    <mergeCell ref="D994:D997"/>
    <mergeCell ref="E994:E997"/>
    <mergeCell ref="A970:A973"/>
    <mergeCell ref="F974:F975"/>
    <mergeCell ref="B978:B979"/>
    <mergeCell ref="B983:B986"/>
    <mergeCell ref="C983:C986"/>
    <mergeCell ref="D983:D986"/>
    <mergeCell ref="E983:E986"/>
    <mergeCell ref="F983:F986"/>
    <mergeCell ref="B980:B982"/>
    <mergeCell ref="C980:C982"/>
    <mergeCell ref="D980:D982"/>
    <mergeCell ref="E980:E982"/>
    <mergeCell ref="F980:F982"/>
    <mergeCell ref="C978:C979"/>
    <mergeCell ref="D978:D979"/>
    <mergeCell ref="B976:B977"/>
    <mergeCell ref="C976:C977"/>
    <mergeCell ref="D976:D977"/>
    <mergeCell ref="E976:E977"/>
    <mergeCell ref="F976:F977"/>
    <mergeCell ref="E978:E979"/>
    <mergeCell ref="F978:F979"/>
    <mergeCell ref="B970:B973"/>
    <mergeCell ref="A948:A969"/>
    <mergeCell ref="B948:B951"/>
    <mergeCell ref="C948:C951"/>
    <mergeCell ref="D948:D951"/>
    <mergeCell ref="E948:E951"/>
    <mergeCell ref="F948:F951"/>
    <mergeCell ref="B943:B945"/>
    <mergeCell ref="C943:C945"/>
    <mergeCell ref="D943:D945"/>
    <mergeCell ref="E943:E945"/>
    <mergeCell ref="F943:F945"/>
    <mergeCell ref="A941:A947"/>
    <mergeCell ref="B941:B942"/>
    <mergeCell ref="C941:C942"/>
    <mergeCell ref="D941:D942"/>
    <mergeCell ref="B961:B963"/>
    <mergeCell ref="C961:C963"/>
    <mergeCell ref="D961:D963"/>
    <mergeCell ref="E961:E963"/>
    <mergeCell ref="F961:F963"/>
    <mergeCell ref="B959:B960"/>
    <mergeCell ref="C959:C960"/>
    <mergeCell ref="D959:D960"/>
    <mergeCell ref="B957:B958"/>
    <mergeCell ref="B955:B956"/>
    <mergeCell ref="C955:C956"/>
    <mergeCell ref="D955:D956"/>
    <mergeCell ref="F957:F958"/>
    <mergeCell ref="B965:B968"/>
    <mergeCell ref="F965:F968"/>
    <mergeCell ref="C965:C968"/>
    <mergeCell ref="D965:D968"/>
    <mergeCell ref="A809:A815"/>
    <mergeCell ref="B877:B879"/>
    <mergeCell ref="B918:B919"/>
    <mergeCell ref="B849:B850"/>
    <mergeCell ref="E827:E833"/>
    <mergeCell ref="B834:B837"/>
    <mergeCell ref="C857:C858"/>
    <mergeCell ref="D857:D858"/>
    <mergeCell ref="E857:E858"/>
    <mergeCell ref="B838:B839"/>
    <mergeCell ref="E874:E875"/>
    <mergeCell ref="F874:F875"/>
    <mergeCell ref="B821:B826"/>
    <mergeCell ref="C821:C826"/>
    <mergeCell ref="E821:E826"/>
    <mergeCell ref="F816:F818"/>
    <mergeCell ref="F813:F814"/>
    <mergeCell ref="F809:F810"/>
    <mergeCell ref="F821:F826"/>
    <mergeCell ref="B809:B810"/>
    <mergeCell ref="E809:E810"/>
    <mergeCell ref="F857:F858"/>
    <mergeCell ref="E840:E843"/>
    <mergeCell ref="F840:F843"/>
    <mergeCell ref="F849:F850"/>
    <mergeCell ref="A867:A879"/>
    <mergeCell ref="F905:F908"/>
    <mergeCell ref="C918:C919"/>
    <mergeCell ref="C905:C908"/>
    <mergeCell ref="D905:D908"/>
    <mergeCell ref="C840:C843"/>
    <mergeCell ref="B827:B833"/>
    <mergeCell ref="A849:A866"/>
    <mergeCell ref="B857:B858"/>
    <mergeCell ref="B868:B871"/>
    <mergeCell ref="C868:C871"/>
    <mergeCell ref="D868:D871"/>
    <mergeCell ref="E868:E871"/>
    <mergeCell ref="F868:F871"/>
    <mergeCell ref="B905:B908"/>
    <mergeCell ref="A894:A909"/>
    <mergeCell ref="D880:D883"/>
    <mergeCell ref="E834:E837"/>
    <mergeCell ref="D827:D833"/>
    <mergeCell ref="A914:A922"/>
    <mergeCell ref="A910:A913"/>
    <mergeCell ref="A880:A893"/>
    <mergeCell ref="F834:F837"/>
    <mergeCell ref="F884:F885"/>
    <mergeCell ref="F891:F893"/>
    <mergeCell ref="E880:E883"/>
    <mergeCell ref="F880:F883"/>
    <mergeCell ref="C877:C879"/>
    <mergeCell ref="D891:D893"/>
    <mergeCell ref="E891:E893"/>
    <mergeCell ref="B894:B897"/>
    <mergeCell ref="C894:C897"/>
    <mergeCell ref="D894:D897"/>
    <mergeCell ref="E894:E897"/>
    <mergeCell ref="F894:F897"/>
    <mergeCell ref="D849:D850"/>
    <mergeCell ref="B853:B854"/>
    <mergeCell ref="C749:C750"/>
    <mergeCell ref="D749:D750"/>
    <mergeCell ref="A783:A795"/>
    <mergeCell ref="D778:D779"/>
    <mergeCell ref="D787:D789"/>
    <mergeCell ref="D790:D792"/>
    <mergeCell ref="E787:E789"/>
    <mergeCell ref="E790:E792"/>
    <mergeCell ref="F787:F789"/>
    <mergeCell ref="F790:F792"/>
    <mergeCell ref="C790:C792"/>
    <mergeCell ref="C742:C745"/>
    <mergeCell ref="F714:F716"/>
    <mergeCell ref="E760:E764"/>
    <mergeCell ref="E755:E759"/>
    <mergeCell ref="D714:D716"/>
    <mergeCell ref="F735:F737"/>
    <mergeCell ref="B780:B782"/>
    <mergeCell ref="B778:B779"/>
    <mergeCell ref="E765:E766"/>
    <mergeCell ref="F765:F766"/>
    <mergeCell ref="D760:D764"/>
    <mergeCell ref="D755:D759"/>
    <mergeCell ref="C765:C766"/>
    <mergeCell ref="A765:A766"/>
    <mergeCell ref="C785:C786"/>
    <mergeCell ref="D785:D786"/>
    <mergeCell ref="D735:D737"/>
    <mergeCell ref="B755:B764"/>
    <mergeCell ref="C755:C759"/>
    <mergeCell ref="E749:E750"/>
    <mergeCell ref="E714:E716"/>
    <mergeCell ref="A796:A808"/>
    <mergeCell ref="A768:A782"/>
    <mergeCell ref="B769:B774"/>
    <mergeCell ref="C769:C774"/>
    <mergeCell ref="D769:D774"/>
    <mergeCell ref="E769:E774"/>
    <mergeCell ref="F769:F774"/>
    <mergeCell ref="B775:B777"/>
    <mergeCell ref="C775:C777"/>
    <mergeCell ref="D775:D777"/>
    <mergeCell ref="E775:E777"/>
    <mergeCell ref="A690:A706"/>
    <mergeCell ref="B691:B694"/>
    <mergeCell ref="C691:C694"/>
    <mergeCell ref="D691:D694"/>
    <mergeCell ref="E691:E694"/>
    <mergeCell ref="F691:F694"/>
    <mergeCell ref="B699:B700"/>
    <mergeCell ref="C699:C700"/>
    <mergeCell ref="A755:A764"/>
    <mergeCell ref="E785:E786"/>
    <mergeCell ref="F785:F786"/>
    <mergeCell ref="A729:A754"/>
    <mergeCell ref="B729:B754"/>
    <mergeCell ref="C729:C730"/>
    <mergeCell ref="D729:D730"/>
    <mergeCell ref="E729:E730"/>
    <mergeCell ref="F729:F730"/>
    <mergeCell ref="B727:B728"/>
    <mergeCell ref="C727:C728"/>
    <mergeCell ref="D727:D728"/>
    <mergeCell ref="E727:E728"/>
    <mergeCell ref="B722:B726"/>
    <mergeCell ref="C722:C726"/>
    <mergeCell ref="D722:D726"/>
    <mergeCell ref="E722:E726"/>
    <mergeCell ref="F722:F726"/>
    <mergeCell ref="B717:B721"/>
    <mergeCell ref="C717:C721"/>
    <mergeCell ref="D717:D721"/>
    <mergeCell ref="E717:E721"/>
    <mergeCell ref="F717:F721"/>
    <mergeCell ref="C709:C713"/>
    <mergeCell ref="D709:D713"/>
    <mergeCell ref="C695:C697"/>
    <mergeCell ref="B695:B697"/>
    <mergeCell ref="D695:D697"/>
    <mergeCell ref="E687:E688"/>
    <mergeCell ref="F687:F688"/>
    <mergeCell ref="E699:E700"/>
    <mergeCell ref="F695:F697"/>
    <mergeCell ref="B687:B688"/>
    <mergeCell ref="C687:C688"/>
    <mergeCell ref="F699:F700"/>
    <mergeCell ref="D687:D688"/>
    <mergeCell ref="B701:B704"/>
    <mergeCell ref="C701:C704"/>
    <mergeCell ref="D665:D666"/>
    <mergeCell ref="C665:C666"/>
    <mergeCell ref="E658:E661"/>
    <mergeCell ref="B671:B672"/>
    <mergeCell ref="C671:C672"/>
    <mergeCell ref="B658:B661"/>
    <mergeCell ref="D673:D674"/>
    <mergeCell ref="B668:B669"/>
    <mergeCell ref="C668:C669"/>
    <mergeCell ref="C636:C638"/>
    <mergeCell ref="A647:A655"/>
    <mergeCell ref="D671:D672"/>
    <mergeCell ref="F671:F672"/>
    <mergeCell ref="D642:D643"/>
    <mergeCell ref="B651:B652"/>
    <mergeCell ref="F644:F645"/>
    <mergeCell ref="C642:C643"/>
    <mergeCell ref="D658:D661"/>
    <mergeCell ref="A611:A621"/>
    <mergeCell ref="A633:A646"/>
    <mergeCell ref="E628:E632"/>
    <mergeCell ref="F628:F632"/>
    <mergeCell ref="E611:E613"/>
    <mergeCell ref="A600:A610"/>
    <mergeCell ref="B644:B645"/>
    <mergeCell ref="B614:B618"/>
    <mergeCell ref="C614:C618"/>
    <mergeCell ref="F611:F613"/>
    <mergeCell ref="D567:D568"/>
    <mergeCell ref="F625:F626"/>
    <mergeCell ref="B639:B641"/>
    <mergeCell ref="C639:C641"/>
    <mergeCell ref="D639:D641"/>
    <mergeCell ref="E639:E641"/>
    <mergeCell ref="B636:B638"/>
    <mergeCell ref="B625:B626"/>
    <mergeCell ref="C625:C626"/>
    <mergeCell ref="B590:B593"/>
    <mergeCell ref="E594:E597"/>
    <mergeCell ref="F594:F597"/>
    <mergeCell ref="F590:F593"/>
    <mergeCell ref="B588:B589"/>
    <mergeCell ref="F604:F610"/>
    <mergeCell ref="A623:A632"/>
    <mergeCell ref="E625:E626"/>
    <mergeCell ref="F600:F603"/>
    <mergeCell ref="B569:B571"/>
    <mergeCell ref="D614:D618"/>
    <mergeCell ref="F588:F589"/>
    <mergeCell ref="E576:E581"/>
    <mergeCell ref="B557:B558"/>
    <mergeCell ref="A541:A550"/>
    <mergeCell ref="B560:B562"/>
    <mergeCell ref="C560:C562"/>
    <mergeCell ref="D560:D562"/>
    <mergeCell ref="E560:E562"/>
    <mergeCell ref="F560:F562"/>
    <mergeCell ref="B532:B537"/>
    <mergeCell ref="B530:B531"/>
    <mergeCell ref="C530:C531"/>
    <mergeCell ref="D530:D531"/>
    <mergeCell ref="E530:E531"/>
    <mergeCell ref="F530:F531"/>
    <mergeCell ref="F598:F599"/>
    <mergeCell ref="A525:A531"/>
    <mergeCell ref="F525:F528"/>
    <mergeCell ref="D569:D571"/>
    <mergeCell ref="A555:A571"/>
    <mergeCell ref="F572:F575"/>
    <mergeCell ref="E569:E571"/>
    <mergeCell ref="F569:F571"/>
    <mergeCell ref="A572:A586"/>
    <mergeCell ref="F585:F586"/>
    <mergeCell ref="A532:A540"/>
    <mergeCell ref="A551:A553"/>
    <mergeCell ref="B551:B553"/>
    <mergeCell ref="A434:A461"/>
    <mergeCell ref="F431:F433"/>
    <mergeCell ref="B420:B421"/>
    <mergeCell ref="C420:C421"/>
    <mergeCell ref="F463:F469"/>
    <mergeCell ref="C422:C423"/>
    <mergeCell ref="D422:D423"/>
    <mergeCell ref="E422:E423"/>
    <mergeCell ref="F422:F423"/>
    <mergeCell ref="B438:B455"/>
    <mergeCell ref="B422:B423"/>
    <mergeCell ref="C438:C457"/>
    <mergeCell ref="D438:D457"/>
    <mergeCell ref="B498:B500"/>
    <mergeCell ref="C498:C500"/>
    <mergeCell ref="D619:D621"/>
    <mergeCell ref="E619:E621"/>
    <mergeCell ref="D498:D500"/>
    <mergeCell ref="B502:B505"/>
    <mergeCell ref="A516:A524"/>
    <mergeCell ref="D517:D518"/>
    <mergeCell ref="E517:E518"/>
    <mergeCell ref="F517:F518"/>
    <mergeCell ref="F532:F537"/>
    <mergeCell ref="B525:B528"/>
    <mergeCell ref="C525:C528"/>
    <mergeCell ref="D525:D528"/>
    <mergeCell ref="E525:E528"/>
    <mergeCell ref="B583:B584"/>
    <mergeCell ref="C583:C584"/>
    <mergeCell ref="A480:A497"/>
    <mergeCell ref="A587:A599"/>
    <mergeCell ref="A498:A515"/>
    <mergeCell ref="F424:F429"/>
    <mergeCell ref="F487:F490"/>
    <mergeCell ref="F493:F494"/>
    <mergeCell ref="B431:B433"/>
    <mergeCell ref="A462:A479"/>
    <mergeCell ref="D477:D479"/>
    <mergeCell ref="A400:A417"/>
    <mergeCell ref="B400:B402"/>
    <mergeCell ref="C400:C402"/>
    <mergeCell ref="D400:D402"/>
    <mergeCell ref="E400:E402"/>
    <mergeCell ref="F400:F402"/>
    <mergeCell ref="B434:B437"/>
    <mergeCell ref="F473:F474"/>
    <mergeCell ref="B475:B476"/>
    <mergeCell ref="B471:B472"/>
    <mergeCell ref="C471:C472"/>
    <mergeCell ref="D471:D472"/>
    <mergeCell ref="E471:E472"/>
    <mergeCell ref="F471:F472"/>
    <mergeCell ref="E409:E410"/>
    <mergeCell ref="D475:D476"/>
    <mergeCell ref="E475:E476"/>
    <mergeCell ref="F477:F479"/>
    <mergeCell ref="D473:D474"/>
    <mergeCell ref="A418:A433"/>
    <mergeCell ref="B418:B419"/>
    <mergeCell ref="C418:C419"/>
    <mergeCell ref="D418:D419"/>
    <mergeCell ref="E418:E419"/>
    <mergeCell ref="B487:B490"/>
    <mergeCell ref="A382:A399"/>
    <mergeCell ref="B414:B415"/>
    <mergeCell ref="C414:C415"/>
    <mergeCell ref="D414:D415"/>
    <mergeCell ref="E414:E415"/>
    <mergeCell ref="F414:F415"/>
    <mergeCell ref="B412:B413"/>
    <mergeCell ref="C412:C413"/>
    <mergeCell ref="D412:D413"/>
    <mergeCell ref="E412:E413"/>
    <mergeCell ref="F412:F413"/>
    <mergeCell ref="B409:B410"/>
    <mergeCell ref="C409:C410"/>
    <mergeCell ref="D409:D410"/>
    <mergeCell ref="E407:E408"/>
    <mergeCell ref="F407:F408"/>
    <mergeCell ref="B384:B386"/>
    <mergeCell ref="C384:C386"/>
    <mergeCell ref="D384:D386"/>
    <mergeCell ref="E384:E386"/>
    <mergeCell ref="F384:F386"/>
    <mergeCell ref="B382:B383"/>
    <mergeCell ref="C382:C383"/>
    <mergeCell ref="D382:D383"/>
    <mergeCell ref="E382:E383"/>
    <mergeCell ref="F382:F383"/>
    <mergeCell ref="B393:B394"/>
    <mergeCell ref="F409:F410"/>
    <mergeCell ref="B407:B408"/>
    <mergeCell ref="C407:C408"/>
    <mergeCell ref="D407:D408"/>
    <mergeCell ref="B403:B404"/>
    <mergeCell ref="A368:A381"/>
    <mergeCell ref="B368:B373"/>
    <mergeCell ref="C368:C373"/>
    <mergeCell ref="D368:D373"/>
    <mergeCell ref="E368:E373"/>
    <mergeCell ref="F368:F373"/>
    <mergeCell ref="B376:B377"/>
    <mergeCell ref="C376:C377"/>
    <mergeCell ref="D376:D377"/>
    <mergeCell ref="E376:E377"/>
    <mergeCell ref="F361:F362"/>
    <mergeCell ref="B364:B365"/>
    <mergeCell ref="C364:C365"/>
    <mergeCell ref="D364:D365"/>
    <mergeCell ref="E364:E365"/>
    <mergeCell ref="F364:F365"/>
    <mergeCell ref="B359:B360"/>
    <mergeCell ref="C359:C360"/>
    <mergeCell ref="D359:D360"/>
    <mergeCell ref="E359:E360"/>
    <mergeCell ref="F359:F360"/>
    <mergeCell ref="A353:A367"/>
    <mergeCell ref="F376:F377"/>
    <mergeCell ref="B378:B379"/>
    <mergeCell ref="C378:C379"/>
    <mergeCell ref="D378:D379"/>
    <mergeCell ref="E378:E379"/>
    <mergeCell ref="F378:F379"/>
    <mergeCell ref="B374:B375"/>
    <mergeCell ref="C374:C375"/>
    <mergeCell ref="D374:D375"/>
    <mergeCell ref="E374:E375"/>
    <mergeCell ref="A329:A335"/>
    <mergeCell ref="B329:B330"/>
    <mergeCell ref="C329:C330"/>
    <mergeCell ref="D329:D330"/>
    <mergeCell ref="E329:E330"/>
    <mergeCell ref="F329:F330"/>
    <mergeCell ref="A321:A328"/>
    <mergeCell ref="B321:B322"/>
    <mergeCell ref="C321:C322"/>
    <mergeCell ref="D321:D322"/>
    <mergeCell ref="E321:E322"/>
    <mergeCell ref="F321:F322"/>
    <mergeCell ref="B323:B326"/>
    <mergeCell ref="C323:C326"/>
    <mergeCell ref="B331:B333"/>
    <mergeCell ref="C331:C333"/>
    <mergeCell ref="D331:D333"/>
    <mergeCell ref="E331:E333"/>
    <mergeCell ref="F331:F333"/>
    <mergeCell ref="B270:B276"/>
    <mergeCell ref="E270:E276"/>
    <mergeCell ref="F270:F276"/>
    <mergeCell ref="D270:D276"/>
    <mergeCell ref="F284:F287"/>
    <mergeCell ref="C258:C259"/>
    <mergeCell ref="D258:D259"/>
    <mergeCell ref="E258:E259"/>
    <mergeCell ref="F258:F259"/>
    <mergeCell ref="C284:C287"/>
    <mergeCell ref="B251:B253"/>
    <mergeCell ref="C251:C253"/>
    <mergeCell ref="F246:F247"/>
    <mergeCell ref="B244:B245"/>
    <mergeCell ref="D251:D253"/>
    <mergeCell ref="B318:B320"/>
    <mergeCell ref="C318:C320"/>
    <mergeCell ref="D318:D320"/>
    <mergeCell ref="E318:E320"/>
    <mergeCell ref="F318:F320"/>
    <mergeCell ref="E289:E291"/>
    <mergeCell ref="C300:C301"/>
    <mergeCell ref="D300:D301"/>
    <mergeCell ref="C298:C299"/>
    <mergeCell ref="D298:D299"/>
    <mergeCell ref="E298:E299"/>
    <mergeCell ref="F298:F299"/>
    <mergeCell ref="B302:B314"/>
    <mergeCell ref="F316:F317"/>
    <mergeCell ref="C296:C297"/>
    <mergeCell ref="D296:D297"/>
    <mergeCell ref="C158:C159"/>
    <mergeCell ref="A250:A255"/>
    <mergeCell ref="F254:F255"/>
    <mergeCell ref="E251:E253"/>
    <mergeCell ref="D254:D255"/>
    <mergeCell ref="E207:E208"/>
    <mergeCell ref="A189:A193"/>
    <mergeCell ref="A238:A249"/>
    <mergeCell ref="B238:B243"/>
    <mergeCell ref="C238:C243"/>
    <mergeCell ref="A229:A237"/>
    <mergeCell ref="B230:B231"/>
    <mergeCell ref="C230:C231"/>
    <mergeCell ref="D230:D231"/>
    <mergeCell ref="E230:E231"/>
    <mergeCell ref="F230:F231"/>
    <mergeCell ref="D244:D245"/>
    <mergeCell ref="E244:E245"/>
    <mergeCell ref="E236:E237"/>
    <mergeCell ref="F236:F237"/>
    <mergeCell ref="E248:E249"/>
    <mergeCell ref="F248:F249"/>
    <mergeCell ref="C209:C210"/>
    <mergeCell ref="D209:D210"/>
    <mergeCell ref="E209:E210"/>
    <mergeCell ref="F209:F210"/>
    <mergeCell ref="C202:C205"/>
    <mergeCell ref="D207:D208"/>
    <mergeCell ref="C236:C237"/>
    <mergeCell ref="D236:D237"/>
    <mergeCell ref="D202:D205"/>
    <mergeCell ref="C244:C245"/>
    <mergeCell ref="B194:B214"/>
    <mergeCell ref="C200:C201"/>
    <mergeCell ref="D238:D243"/>
    <mergeCell ref="A180:A188"/>
    <mergeCell ref="B183:B186"/>
    <mergeCell ref="C183:C186"/>
    <mergeCell ref="D183:D186"/>
    <mergeCell ref="E183:E186"/>
    <mergeCell ref="F183:F186"/>
    <mergeCell ref="D200:D201"/>
    <mergeCell ref="E200:E201"/>
    <mergeCell ref="F200:F201"/>
    <mergeCell ref="C207:C208"/>
    <mergeCell ref="B192:B193"/>
    <mergeCell ref="C192:C193"/>
    <mergeCell ref="D192:D193"/>
    <mergeCell ref="E192:E193"/>
    <mergeCell ref="F192:F193"/>
    <mergeCell ref="B187:B188"/>
    <mergeCell ref="C187:C188"/>
    <mergeCell ref="F238:F243"/>
    <mergeCell ref="B232:B233"/>
    <mergeCell ref="C232:C233"/>
    <mergeCell ref="D232:D233"/>
    <mergeCell ref="E232:E233"/>
    <mergeCell ref="F232:F233"/>
    <mergeCell ref="F202:F205"/>
    <mergeCell ref="C180:C181"/>
    <mergeCell ref="E180:E181"/>
    <mergeCell ref="E238:E243"/>
    <mergeCell ref="F207:F208"/>
    <mergeCell ref="A215:A228"/>
    <mergeCell ref="B153:B154"/>
    <mergeCell ref="C153:C154"/>
    <mergeCell ref="D153:D154"/>
    <mergeCell ref="E153:E154"/>
    <mergeCell ref="F153:F154"/>
    <mergeCell ref="A164:A179"/>
    <mergeCell ref="B164:B167"/>
    <mergeCell ref="C164:C167"/>
    <mergeCell ref="D164:D167"/>
    <mergeCell ref="E164:E167"/>
    <mergeCell ref="F164:F167"/>
    <mergeCell ref="B176:B177"/>
    <mergeCell ref="C176:C177"/>
    <mergeCell ref="D176:D177"/>
    <mergeCell ref="E176:E177"/>
    <mergeCell ref="B162:B163"/>
    <mergeCell ref="C162:C163"/>
    <mergeCell ref="D162:D163"/>
    <mergeCell ref="E162:E163"/>
    <mergeCell ref="F162:F163"/>
    <mergeCell ref="F176:F177"/>
    <mergeCell ref="B178:B179"/>
    <mergeCell ref="C178:C179"/>
    <mergeCell ref="D178:D179"/>
    <mergeCell ref="E174:E175"/>
    <mergeCell ref="A152:A163"/>
    <mergeCell ref="B160:B161"/>
    <mergeCell ref="C160:C161"/>
    <mergeCell ref="B156:B157"/>
    <mergeCell ref="C156:C157"/>
    <mergeCell ref="F156:F157"/>
    <mergeCell ref="B158:B159"/>
    <mergeCell ref="A142:A151"/>
    <mergeCell ref="B147:B149"/>
    <mergeCell ref="C147:C149"/>
    <mergeCell ref="D147:D149"/>
    <mergeCell ref="A123:A141"/>
    <mergeCell ref="B125:B127"/>
    <mergeCell ref="C125:C127"/>
    <mergeCell ref="D125:D127"/>
    <mergeCell ref="E125:E127"/>
    <mergeCell ref="F125:F127"/>
    <mergeCell ref="B138:B141"/>
    <mergeCell ref="C138:C141"/>
    <mergeCell ref="D138:D141"/>
    <mergeCell ref="E138:E141"/>
    <mergeCell ref="F138:F141"/>
    <mergeCell ref="B136:B137"/>
    <mergeCell ref="C136:C137"/>
    <mergeCell ref="D136:D137"/>
    <mergeCell ref="E136:E137"/>
    <mergeCell ref="B150:B151"/>
    <mergeCell ref="C150:C151"/>
    <mergeCell ref="D150:D151"/>
    <mergeCell ref="E150:E151"/>
    <mergeCell ref="F150:F151"/>
    <mergeCell ref="B144:B146"/>
    <mergeCell ref="C144:C146"/>
    <mergeCell ref="D144:D146"/>
    <mergeCell ref="E144:E146"/>
    <mergeCell ref="F144:F146"/>
    <mergeCell ref="E147:E149"/>
    <mergeCell ref="B128:B130"/>
    <mergeCell ref="F128:F130"/>
    <mergeCell ref="D75:D76"/>
    <mergeCell ref="C80:C85"/>
    <mergeCell ref="D80:D85"/>
    <mergeCell ref="A75:A88"/>
    <mergeCell ref="F136:F137"/>
    <mergeCell ref="B131:B132"/>
    <mergeCell ref="C131:C132"/>
    <mergeCell ref="D131:D132"/>
    <mergeCell ref="E131:E132"/>
    <mergeCell ref="F131:F132"/>
    <mergeCell ref="C123:C124"/>
    <mergeCell ref="B123:B124"/>
    <mergeCell ref="D123:D124"/>
    <mergeCell ref="B115:B116"/>
    <mergeCell ref="C115:C116"/>
    <mergeCell ref="D115:D116"/>
    <mergeCell ref="E115:E116"/>
    <mergeCell ref="F115:F116"/>
    <mergeCell ref="B113:B114"/>
    <mergeCell ref="A97:A100"/>
    <mergeCell ref="A89:A96"/>
    <mergeCell ref="B106:B108"/>
    <mergeCell ref="C106:C108"/>
    <mergeCell ref="D106:D108"/>
    <mergeCell ref="B91:B93"/>
    <mergeCell ref="E106:E108"/>
    <mergeCell ref="E80:E85"/>
    <mergeCell ref="F80:F85"/>
    <mergeCell ref="B111:B112"/>
    <mergeCell ref="C75:C76"/>
    <mergeCell ref="B4:B5"/>
    <mergeCell ref="C4:C5"/>
    <mergeCell ref="D4:D5"/>
    <mergeCell ref="E4:E5"/>
    <mergeCell ref="F4:F5"/>
    <mergeCell ref="B14:B15"/>
    <mergeCell ref="C14:C15"/>
    <mergeCell ref="D14:D15"/>
    <mergeCell ref="E14:E15"/>
    <mergeCell ref="F34:F36"/>
    <mergeCell ref="B31:B33"/>
    <mergeCell ref="B34:B36"/>
    <mergeCell ref="C34:C36"/>
    <mergeCell ref="F102:F103"/>
    <mergeCell ref="F14:F15"/>
    <mergeCell ref="E6:E12"/>
    <mergeCell ref="F19:F20"/>
    <mergeCell ref="E19:E20"/>
    <mergeCell ref="B19:B20"/>
    <mergeCell ref="F6:F12"/>
    <mergeCell ref="C6:C12"/>
    <mergeCell ref="D6:D12"/>
    <mergeCell ref="C19:C20"/>
    <mergeCell ref="B6:B12"/>
    <mergeCell ref="C22:C23"/>
    <mergeCell ref="D22:D23"/>
    <mergeCell ref="E22:E23"/>
    <mergeCell ref="B17:B18"/>
    <mergeCell ref="F91:F93"/>
    <mergeCell ref="E89:E90"/>
    <mergeCell ref="B89:B90"/>
    <mergeCell ref="E75:E76"/>
    <mergeCell ref="F45:F46"/>
    <mergeCell ref="D42:D44"/>
    <mergeCell ref="F38:F39"/>
    <mergeCell ref="E38:E39"/>
    <mergeCell ref="B40:B41"/>
    <mergeCell ref="C40:C41"/>
    <mergeCell ref="D40:D41"/>
    <mergeCell ref="F40:F41"/>
    <mergeCell ref="E40:E41"/>
    <mergeCell ref="A56:A67"/>
    <mergeCell ref="B58:B59"/>
    <mergeCell ref="C58:C59"/>
    <mergeCell ref="A42:A55"/>
    <mergeCell ref="D34:D36"/>
    <mergeCell ref="E60:E61"/>
    <mergeCell ref="F60:F61"/>
    <mergeCell ref="B45:B46"/>
    <mergeCell ref="B47:B50"/>
    <mergeCell ref="D58:D59"/>
    <mergeCell ref="E51:E52"/>
    <mergeCell ref="F53:F55"/>
    <mergeCell ref="F51:F52"/>
    <mergeCell ref="C47:C50"/>
    <mergeCell ref="B60:B61"/>
    <mergeCell ref="F64:F66"/>
    <mergeCell ref="B51:B52"/>
    <mergeCell ref="C51:C52"/>
    <mergeCell ref="D51:D52"/>
    <mergeCell ref="E58:E59"/>
    <mergeCell ref="F58:F59"/>
    <mergeCell ref="B62:B63"/>
    <mergeCell ref="C62:C63"/>
    <mergeCell ref="D28:D30"/>
    <mergeCell ref="E28:E30"/>
    <mergeCell ref="F28:F30"/>
    <mergeCell ref="C60:C61"/>
    <mergeCell ref="D60:D61"/>
    <mergeCell ref="C31:C33"/>
    <mergeCell ref="B64:B66"/>
    <mergeCell ref="C64:C66"/>
    <mergeCell ref="D64:D66"/>
    <mergeCell ref="E64:E66"/>
    <mergeCell ref="A101:A110"/>
    <mergeCell ref="B102:B103"/>
    <mergeCell ref="C102:C103"/>
    <mergeCell ref="D102:D103"/>
    <mergeCell ref="E102:E103"/>
    <mergeCell ref="A68:A74"/>
    <mergeCell ref="C89:C90"/>
    <mergeCell ref="E94:E95"/>
    <mergeCell ref="F94:F95"/>
    <mergeCell ref="E42:E44"/>
    <mergeCell ref="B77:B79"/>
    <mergeCell ref="C77:C79"/>
    <mergeCell ref="D77:D79"/>
    <mergeCell ref="C42:C44"/>
    <mergeCell ref="C87:C88"/>
    <mergeCell ref="D87:D88"/>
    <mergeCell ref="B75:B76"/>
    <mergeCell ref="D31:D33"/>
    <mergeCell ref="E31:E33"/>
    <mergeCell ref="F31:F33"/>
    <mergeCell ref="C45:C46"/>
    <mergeCell ref="D45:D46"/>
    <mergeCell ref="B70:B71"/>
    <mergeCell ref="E87:E88"/>
    <mergeCell ref="F89:F90"/>
    <mergeCell ref="E77:E79"/>
    <mergeCell ref="B94:B95"/>
    <mergeCell ref="F111:F112"/>
    <mergeCell ref="E111:E112"/>
    <mergeCell ref="D70:D71"/>
    <mergeCell ref="C70:C71"/>
    <mergeCell ref="B56:B57"/>
    <mergeCell ref="C56:C57"/>
    <mergeCell ref="D56:D57"/>
    <mergeCell ref="E56:E57"/>
    <mergeCell ref="F56:F57"/>
    <mergeCell ref="B87:B88"/>
    <mergeCell ref="F72:F73"/>
    <mergeCell ref="F77:F79"/>
    <mergeCell ref="F75:F76"/>
    <mergeCell ref="C91:C93"/>
    <mergeCell ref="D91:D93"/>
    <mergeCell ref="D62:D63"/>
    <mergeCell ref="E62:E63"/>
    <mergeCell ref="F62:F63"/>
    <mergeCell ref="A4:A25"/>
    <mergeCell ref="B24:B25"/>
    <mergeCell ref="C24:C25"/>
    <mergeCell ref="D24:D25"/>
    <mergeCell ref="E24:E25"/>
    <mergeCell ref="F22:F23"/>
    <mergeCell ref="B42:B44"/>
    <mergeCell ref="F42:F44"/>
    <mergeCell ref="B72:B73"/>
    <mergeCell ref="C72:C73"/>
    <mergeCell ref="D72:D73"/>
    <mergeCell ref="E72:E73"/>
    <mergeCell ref="F47:F50"/>
    <mergeCell ref="B28:B30"/>
    <mergeCell ref="C28:C30"/>
    <mergeCell ref="B53:B55"/>
    <mergeCell ref="C53:C55"/>
    <mergeCell ref="D53:D55"/>
    <mergeCell ref="E53:E55"/>
    <mergeCell ref="D47:D50"/>
    <mergeCell ref="E47:E50"/>
    <mergeCell ref="E70:E71"/>
    <mergeCell ref="F70:F71"/>
    <mergeCell ref="A26:A41"/>
    <mergeCell ref="C38:C39"/>
    <mergeCell ref="B38:B39"/>
    <mergeCell ref="D38:D39"/>
    <mergeCell ref="F24:F25"/>
    <mergeCell ref="C17:C18"/>
    <mergeCell ref="D17:D18"/>
    <mergeCell ref="E17:E18"/>
    <mergeCell ref="F17:F18"/>
    <mergeCell ref="B22:B23"/>
    <mergeCell ref="D19:D20"/>
    <mergeCell ref="E34:E36"/>
    <mergeCell ref="B215:B226"/>
    <mergeCell ref="E215:E226"/>
    <mergeCell ref="F215:F226"/>
    <mergeCell ref="B387:B388"/>
    <mergeCell ref="C387:C388"/>
    <mergeCell ref="D387:D388"/>
    <mergeCell ref="F302:F303"/>
    <mergeCell ref="E336:E337"/>
    <mergeCell ref="F336:F338"/>
    <mergeCell ref="D280:D281"/>
    <mergeCell ref="E280:E281"/>
    <mergeCell ref="E296:E297"/>
    <mergeCell ref="F296:F297"/>
    <mergeCell ref="B292:B295"/>
    <mergeCell ref="C292:C295"/>
    <mergeCell ref="E387:E388"/>
    <mergeCell ref="B345:B346"/>
    <mergeCell ref="B236:B237"/>
    <mergeCell ref="F251:F253"/>
    <mergeCell ref="C302:C303"/>
    <mergeCell ref="E302:E303"/>
    <mergeCell ref="F309:F310"/>
    <mergeCell ref="D323:D326"/>
    <mergeCell ref="B336:B337"/>
    <mergeCell ref="F244:F245"/>
    <mergeCell ref="F174:F175"/>
    <mergeCell ref="D246:D247"/>
    <mergeCell ref="E300:E301"/>
    <mergeCell ref="D284:D287"/>
    <mergeCell ref="A282:A287"/>
    <mergeCell ref="E246:E247"/>
    <mergeCell ref="E309:E310"/>
    <mergeCell ref="B284:B287"/>
    <mergeCell ref="B254:B255"/>
    <mergeCell ref="C254:C255"/>
    <mergeCell ref="D292:D295"/>
    <mergeCell ref="E292:E295"/>
    <mergeCell ref="F292:F295"/>
    <mergeCell ref="C289:C291"/>
    <mergeCell ref="D289:D291"/>
    <mergeCell ref="C305:C308"/>
    <mergeCell ref="B316:B317"/>
    <mergeCell ref="B246:B247"/>
    <mergeCell ref="B258:B259"/>
    <mergeCell ref="E254:E255"/>
    <mergeCell ref="B265:B269"/>
    <mergeCell ref="C265:C269"/>
    <mergeCell ref="D265:D269"/>
    <mergeCell ref="E265:E269"/>
    <mergeCell ref="F265:F269"/>
    <mergeCell ref="B289:B291"/>
    <mergeCell ref="B248:B249"/>
    <mergeCell ref="C248:C249"/>
    <mergeCell ref="B296:B297"/>
    <mergeCell ref="B280:B281"/>
    <mergeCell ref="C280:C281"/>
    <mergeCell ref="F280:F281"/>
    <mergeCell ref="D305:D308"/>
    <mergeCell ref="E305:E308"/>
    <mergeCell ref="F305:F308"/>
    <mergeCell ref="C270:C276"/>
    <mergeCell ref="A298:A320"/>
    <mergeCell ref="A256:A263"/>
    <mergeCell ref="B342:B343"/>
    <mergeCell ref="B298:B299"/>
    <mergeCell ref="A288:A297"/>
    <mergeCell ref="A264:A281"/>
    <mergeCell ref="B300:B301"/>
    <mergeCell ref="D336:D337"/>
    <mergeCell ref="D248:D249"/>
    <mergeCell ref="E158:E159"/>
    <mergeCell ref="C246:C247"/>
    <mergeCell ref="F345:F347"/>
    <mergeCell ref="C658:C661"/>
    <mergeCell ref="E323:E326"/>
    <mergeCell ref="F323:F326"/>
    <mergeCell ref="E342:E343"/>
    <mergeCell ref="D158:D159"/>
    <mergeCell ref="F158:F159"/>
    <mergeCell ref="D174:D175"/>
    <mergeCell ref="D160:D161"/>
    <mergeCell ref="E160:E161"/>
    <mergeCell ref="F160:F161"/>
    <mergeCell ref="C174:C175"/>
    <mergeCell ref="D187:D188"/>
    <mergeCell ref="E187:E188"/>
    <mergeCell ref="C473:C474"/>
    <mergeCell ref="C361:C362"/>
    <mergeCell ref="D361:D362"/>
    <mergeCell ref="E361:E362"/>
    <mergeCell ref="F342:F344"/>
    <mergeCell ref="C345:C346"/>
    <mergeCell ref="D345:D346"/>
    <mergeCell ref="P94:P95"/>
    <mergeCell ref="N68:N74"/>
    <mergeCell ref="O70:O71"/>
    <mergeCell ref="P70:P71"/>
    <mergeCell ref="O72:O73"/>
    <mergeCell ref="P72:P73"/>
    <mergeCell ref="N75:N88"/>
    <mergeCell ref="O75:O76"/>
    <mergeCell ref="P75:P76"/>
    <mergeCell ref="O77:O79"/>
    <mergeCell ref="P58:P59"/>
    <mergeCell ref="O113:O114"/>
    <mergeCell ref="P113:P114"/>
    <mergeCell ref="A194:A214"/>
    <mergeCell ref="F87:F88"/>
    <mergeCell ref="D89:D90"/>
    <mergeCell ref="C94:C95"/>
    <mergeCell ref="C111:C112"/>
    <mergeCell ref="D111:D112"/>
    <mergeCell ref="B97:B99"/>
    <mergeCell ref="B180:B181"/>
    <mergeCell ref="D180:D181"/>
    <mergeCell ref="E178:E179"/>
    <mergeCell ref="F178:F179"/>
    <mergeCell ref="B174:B175"/>
    <mergeCell ref="B117:B119"/>
    <mergeCell ref="C117:C119"/>
    <mergeCell ref="D117:D119"/>
    <mergeCell ref="E117:E119"/>
    <mergeCell ref="D94:D95"/>
    <mergeCell ref="B80:B85"/>
    <mergeCell ref="F117:F119"/>
    <mergeCell ref="P45:P46"/>
    <mergeCell ref="O47:O50"/>
    <mergeCell ref="P47:P50"/>
    <mergeCell ref="O51:O52"/>
    <mergeCell ref="P51:P52"/>
    <mergeCell ref="O53:O55"/>
    <mergeCell ref="P53:P55"/>
    <mergeCell ref="O60:O61"/>
    <mergeCell ref="P60:P61"/>
    <mergeCell ref="N26:N41"/>
    <mergeCell ref="O28:O30"/>
    <mergeCell ref="P28:P30"/>
    <mergeCell ref="O31:O33"/>
    <mergeCell ref="O138:O141"/>
    <mergeCell ref="P138:P141"/>
    <mergeCell ref="O38:O39"/>
    <mergeCell ref="P38:P39"/>
    <mergeCell ref="P64:P66"/>
    <mergeCell ref="N56:N67"/>
    <mergeCell ref="O56:O57"/>
    <mergeCell ref="P56:P57"/>
    <mergeCell ref="O58:O59"/>
    <mergeCell ref="O40:O41"/>
    <mergeCell ref="P40:P41"/>
    <mergeCell ref="O87:O88"/>
    <mergeCell ref="P87:P88"/>
    <mergeCell ref="N89:N96"/>
    <mergeCell ref="O89:O90"/>
    <mergeCell ref="P89:P90"/>
    <mergeCell ref="O91:O93"/>
    <mergeCell ref="P91:P93"/>
    <mergeCell ref="O94:O95"/>
    <mergeCell ref="P115:P116"/>
    <mergeCell ref="O117:O119"/>
    <mergeCell ref="N111:N122"/>
    <mergeCell ref="P117:P119"/>
    <mergeCell ref="N97:N100"/>
    <mergeCell ref="O480:O482"/>
    <mergeCell ref="C339:C340"/>
    <mergeCell ref="D339:D340"/>
    <mergeCell ref="E339:E340"/>
    <mergeCell ref="P207:P208"/>
    <mergeCell ref="O209:O210"/>
    <mergeCell ref="P209:P210"/>
    <mergeCell ref="N215:N228"/>
    <mergeCell ref="O215:O226"/>
    <mergeCell ref="P215:P226"/>
    <mergeCell ref="D302:D303"/>
    <mergeCell ref="C393:C394"/>
    <mergeCell ref="D393:D394"/>
    <mergeCell ref="C389:C390"/>
    <mergeCell ref="D389:D390"/>
    <mergeCell ref="E389:E390"/>
    <mergeCell ref="F389:F390"/>
    <mergeCell ref="D420:D421"/>
    <mergeCell ref="E420:E421"/>
    <mergeCell ref="F420:F421"/>
    <mergeCell ref="C309:C310"/>
    <mergeCell ref="D309:D310"/>
    <mergeCell ref="F289:F291"/>
    <mergeCell ref="C316:C317"/>
    <mergeCell ref="O265:O269"/>
    <mergeCell ref="N250:N255"/>
    <mergeCell ref="E128:E130"/>
    <mergeCell ref="B480:B482"/>
    <mergeCell ref="C480:C482"/>
    <mergeCell ref="D480:D482"/>
    <mergeCell ref="B396:B397"/>
    <mergeCell ref="O364:O365"/>
    <mergeCell ref="B458:B460"/>
    <mergeCell ref="C458:C460"/>
    <mergeCell ref="D458:D460"/>
    <mergeCell ref="E458:E460"/>
    <mergeCell ref="C431:C433"/>
    <mergeCell ref="D431:D433"/>
    <mergeCell ref="E431:E433"/>
    <mergeCell ref="B463:B469"/>
    <mergeCell ref="C463:C469"/>
    <mergeCell ref="D463:D469"/>
    <mergeCell ref="E434:E437"/>
    <mergeCell ref="D434:D437"/>
    <mergeCell ref="F434:F437"/>
    <mergeCell ref="N462:N479"/>
    <mergeCell ref="O471:O472"/>
    <mergeCell ref="F458:F460"/>
    <mergeCell ref="O458:O460"/>
    <mergeCell ref="C477:C479"/>
    <mergeCell ref="E473:E474"/>
    <mergeCell ref="F475:F476"/>
    <mergeCell ref="E463:E469"/>
    <mergeCell ref="B473:B474"/>
    <mergeCell ref="B477:B479"/>
    <mergeCell ref="N434:N461"/>
    <mergeCell ref="O434:O437"/>
    <mergeCell ref="P438:P457"/>
    <mergeCell ref="B389:B390"/>
    <mergeCell ref="F393:F394"/>
    <mergeCell ref="B391:B392"/>
    <mergeCell ref="C391:C392"/>
    <mergeCell ref="D391:D392"/>
    <mergeCell ref="E391:E392"/>
    <mergeCell ref="F391:F392"/>
    <mergeCell ref="B405:B406"/>
    <mergeCell ref="C405:C406"/>
    <mergeCell ref="D405:D406"/>
    <mergeCell ref="E405:E406"/>
    <mergeCell ref="F405:F406"/>
    <mergeCell ref="O359:O360"/>
    <mergeCell ref="O361:O362"/>
    <mergeCell ref="C434:C437"/>
    <mergeCell ref="F418:F419"/>
    <mergeCell ref="O376:O377"/>
    <mergeCell ref="D396:D397"/>
    <mergeCell ref="C396:C397"/>
    <mergeCell ref="N353:N367"/>
    <mergeCell ref="B424:B429"/>
    <mergeCell ref="E424:E429"/>
    <mergeCell ref="B361:B362"/>
    <mergeCell ref="B353:B358"/>
    <mergeCell ref="C403:C404"/>
    <mergeCell ref="D403:D404"/>
    <mergeCell ref="E403:E404"/>
    <mergeCell ref="E393:E394"/>
    <mergeCell ref="F403:F404"/>
    <mergeCell ref="E396:E397"/>
    <mergeCell ref="F396:F397"/>
    <mergeCell ref="N321:N328"/>
    <mergeCell ref="O305:O308"/>
    <mergeCell ref="F374:F375"/>
    <mergeCell ref="C353:C358"/>
    <mergeCell ref="D353:D358"/>
    <mergeCell ref="N368:N381"/>
    <mergeCell ref="P316:P317"/>
    <mergeCell ref="O318:O320"/>
    <mergeCell ref="E316:E317"/>
    <mergeCell ref="O336:O337"/>
    <mergeCell ref="P336:P337"/>
    <mergeCell ref="D349:D352"/>
    <mergeCell ref="E349:E352"/>
    <mergeCell ref="F349:F352"/>
    <mergeCell ref="E353:E358"/>
    <mergeCell ref="P359:P360"/>
    <mergeCell ref="P361:P362"/>
    <mergeCell ref="C342:C343"/>
    <mergeCell ref="E345:E346"/>
    <mergeCell ref="F339:F341"/>
    <mergeCell ref="F353:F358"/>
    <mergeCell ref="O331:O333"/>
    <mergeCell ref="P331:P333"/>
    <mergeCell ref="P305:P308"/>
    <mergeCell ref="O309:O310"/>
    <mergeCell ref="P364:P365"/>
    <mergeCell ref="O339:O340"/>
    <mergeCell ref="N329:N335"/>
    <mergeCell ref="D215:D226"/>
    <mergeCell ref="O302:O303"/>
    <mergeCell ref="P302:P303"/>
    <mergeCell ref="P292:P295"/>
    <mergeCell ref="O296:O297"/>
    <mergeCell ref="E519:E520"/>
    <mergeCell ref="F519:F520"/>
    <mergeCell ref="E695:E697"/>
    <mergeCell ref="E543:E544"/>
    <mergeCell ref="E91:E93"/>
    <mergeCell ref="D156:D157"/>
    <mergeCell ref="E156:E157"/>
    <mergeCell ref="C113:C114"/>
    <mergeCell ref="D113:D114"/>
    <mergeCell ref="E113:E114"/>
    <mergeCell ref="C97:C99"/>
    <mergeCell ref="D97:D99"/>
    <mergeCell ref="C336:C337"/>
    <mergeCell ref="F300:F301"/>
    <mergeCell ref="E284:E287"/>
    <mergeCell ref="C215:C226"/>
    <mergeCell ref="F187:F188"/>
    <mergeCell ref="F123:F124"/>
    <mergeCell ref="E123:E124"/>
    <mergeCell ref="F113:F114"/>
    <mergeCell ref="E97:E99"/>
    <mergeCell ref="F97:F99"/>
    <mergeCell ref="F106:F108"/>
    <mergeCell ref="C128:C130"/>
    <mergeCell ref="O532:O537"/>
    <mergeCell ref="D128:D130"/>
    <mergeCell ref="P318:P320"/>
    <mergeCell ref="F147:F149"/>
    <mergeCell ref="E202:E205"/>
    <mergeCell ref="D342:D343"/>
    <mergeCell ref="B339:B340"/>
    <mergeCell ref="E45:E46"/>
    <mergeCell ref="O403:O404"/>
    <mergeCell ref="P403:P404"/>
    <mergeCell ref="O405:O406"/>
    <mergeCell ref="P405:P406"/>
    <mergeCell ref="O407:O408"/>
    <mergeCell ref="P407:P408"/>
    <mergeCell ref="N264:N281"/>
    <mergeCell ref="O280:O281"/>
    <mergeCell ref="P280:P281"/>
    <mergeCell ref="N282:N287"/>
    <mergeCell ref="O284:O287"/>
    <mergeCell ref="P284:P287"/>
    <mergeCell ref="O353:O358"/>
    <mergeCell ref="P353:P358"/>
    <mergeCell ref="N288:N297"/>
    <mergeCell ref="D316:D317"/>
    <mergeCell ref="O251:O253"/>
    <mergeCell ref="P251:P253"/>
    <mergeCell ref="O254:O255"/>
    <mergeCell ref="P254:P255"/>
    <mergeCell ref="N256:N263"/>
    <mergeCell ref="O258:O259"/>
    <mergeCell ref="P258:P259"/>
    <mergeCell ref="O115:O116"/>
    <mergeCell ref="N229:N237"/>
    <mergeCell ref="O202:O205"/>
    <mergeCell ref="P202:P205"/>
    <mergeCell ref="N4:N25"/>
    <mergeCell ref="O4:O5"/>
    <mergeCell ref="P4:P5"/>
    <mergeCell ref="O6:O12"/>
    <mergeCell ref="P6:P12"/>
    <mergeCell ref="O14:O15"/>
    <mergeCell ref="P14:P15"/>
    <mergeCell ref="O17:O18"/>
    <mergeCell ref="P17:P18"/>
    <mergeCell ref="O19:O20"/>
    <mergeCell ref="P19:P20"/>
    <mergeCell ref="O22:O23"/>
    <mergeCell ref="P22:P23"/>
    <mergeCell ref="O24:O25"/>
    <mergeCell ref="P24:P25"/>
    <mergeCell ref="O111:O112"/>
    <mergeCell ref="P111:P112"/>
    <mergeCell ref="O97:O99"/>
    <mergeCell ref="P97:P99"/>
    <mergeCell ref="N101:N110"/>
    <mergeCell ref="O102:O103"/>
    <mergeCell ref="P102:P103"/>
    <mergeCell ref="O106:O108"/>
    <mergeCell ref="P106:P108"/>
    <mergeCell ref="O64:O66"/>
    <mergeCell ref="P77:P79"/>
    <mergeCell ref="O80:O85"/>
    <mergeCell ref="P80:P85"/>
    <mergeCell ref="P31:P33"/>
    <mergeCell ref="O42:O44"/>
    <mergeCell ref="P42:P44"/>
    <mergeCell ref="O45:O46"/>
    <mergeCell ref="O34:O36"/>
    <mergeCell ref="P34:P36"/>
    <mergeCell ref="N42:N55"/>
    <mergeCell ref="O123:O124"/>
    <mergeCell ref="P123:P124"/>
    <mergeCell ref="O125:O127"/>
    <mergeCell ref="P125:P127"/>
    <mergeCell ref="O128:O130"/>
    <mergeCell ref="P128:P130"/>
    <mergeCell ref="O131:O132"/>
    <mergeCell ref="P131:P132"/>
    <mergeCell ref="N123:N141"/>
    <mergeCell ref="O207:O208"/>
    <mergeCell ref="O136:O137"/>
    <mergeCell ref="O147:O149"/>
    <mergeCell ref="P147:P149"/>
    <mergeCell ref="O150:O151"/>
    <mergeCell ref="P150:P151"/>
    <mergeCell ref="P160:P161"/>
    <mergeCell ref="O192:O193"/>
    <mergeCell ref="P192:P193"/>
    <mergeCell ref="N194:N214"/>
    <mergeCell ref="O162:O163"/>
    <mergeCell ref="P162:P163"/>
    <mergeCell ref="N164:N179"/>
    <mergeCell ref="O164:O167"/>
    <mergeCell ref="P164:P167"/>
    <mergeCell ref="O174:O175"/>
    <mergeCell ref="O200:O201"/>
    <mergeCell ref="P200:P201"/>
    <mergeCell ref="P136:P137"/>
    <mergeCell ref="N189:N193"/>
    <mergeCell ref="P458:P460"/>
    <mergeCell ref="O438:O457"/>
    <mergeCell ref="O400:O402"/>
    <mergeCell ref="P400:P402"/>
    <mergeCell ref="N238:N249"/>
    <mergeCell ref="O238:O243"/>
    <mergeCell ref="P238:P243"/>
    <mergeCell ref="O244:O245"/>
    <mergeCell ref="P244:P245"/>
    <mergeCell ref="O246:O247"/>
    <mergeCell ref="P246:P247"/>
    <mergeCell ref="O248:O249"/>
    <mergeCell ref="P248:P249"/>
    <mergeCell ref="P296:P297"/>
    <mergeCell ref="P323:P326"/>
    <mergeCell ref="P289:P291"/>
    <mergeCell ref="O292:O295"/>
    <mergeCell ref="P420:P421"/>
    <mergeCell ref="O422:O423"/>
    <mergeCell ref="P422:P423"/>
    <mergeCell ref="O431:O433"/>
    <mergeCell ref="P431:P433"/>
    <mergeCell ref="O409:O410"/>
    <mergeCell ref="P409:P410"/>
    <mergeCell ref="O412:O413"/>
    <mergeCell ref="O289:O291"/>
    <mergeCell ref="N298:N320"/>
    <mergeCell ref="O298:O299"/>
    <mergeCell ref="P298:P299"/>
    <mergeCell ref="P339:P340"/>
    <mergeCell ref="O342:O343"/>
    <mergeCell ref="P342:P343"/>
    <mergeCell ref="O183:O186"/>
    <mergeCell ref="P183:P186"/>
    <mergeCell ref="O187:O188"/>
    <mergeCell ref="P187:P188"/>
    <mergeCell ref="O230:O231"/>
    <mergeCell ref="P230:P231"/>
    <mergeCell ref="O232:O233"/>
    <mergeCell ref="P232:P233"/>
    <mergeCell ref="O236:O237"/>
    <mergeCell ref="P236:P237"/>
    <mergeCell ref="P414:P415"/>
    <mergeCell ref="O321:O322"/>
    <mergeCell ref="P321:P322"/>
    <mergeCell ref="O323:O326"/>
    <mergeCell ref="P376:P377"/>
    <mergeCell ref="O378:O379"/>
    <mergeCell ref="P378:P379"/>
    <mergeCell ref="O349:O352"/>
    <mergeCell ref="P349:P352"/>
    <mergeCell ref="O368:O373"/>
    <mergeCell ref="P368:P373"/>
    <mergeCell ref="P345:P346"/>
    <mergeCell ref="P309:P310"/>
    <mergeCell ref="O316:O317"/>
    <mergeCell ref="P300:P301"/>
    <mergeCell ref="P412:P413"/>
    <mergeCell ref="O414:O415"/>
    <mergeCell ref="O374:O375"/>
    <mergeCell ref="P374:P375"/>
    <mergeCell ref="P265:P269"/>
    <mergeCell ref="O329:O330"/>
    <mergeCell ref="P329:P330"/>
    <mergeCell ref="N142:N151"/>
    <mergeCell ref="O144:O146"/>
    <mergeCell ref="P144:P146"/>
    <mergeCell ref="P174:P175"/>
    <mergeCell ref="O176:O177"/>
    <mergeCell ref="P176:P177"/>
    <mergeCell ref="O178:O179"/>
    <mergeCell ref="P178:P179"/>
    <mergeCell ref="N152:N163"/>
    <mergeCell ref="O153:O154"/>
    <mergeCell ref="P153:P154"/>
    <mergeCell ref="O156:O157"/>
    <mergeCell ref="P156:P157"/>
    <mergeCell ref="O158:O159"/>
    <mergeCell ref="P158:P159"/>
    <mergeCell ref="O160:O161"/>
    <mergeCell ref="O300:O301"/>
    <mergeCell ref="N180:N188"/>
    <mergeCell ref="O180:O181"/>
    <mergeCell ref="P180:P181"/>
    <mergeCell ref="P530:P531"/>
    <mergeCell ref="P434:P437"/>
    <mergeCell ref="O521:O524"/>
    <mergeCell ref="N418:N433"/>
    <mergeCell ref="O418:O419"/>
    <mergeCell ref="P418:P419"/>
    <mergeCell ref="O420:O421"/>
    <mergeCell ref="N382:N399"/>
    <mergeCell ref="O382:O383"/>
    <mergeCell ref="P382:P383"/>
    <mergeCell ref="O384:O386"/>
    <mergeCell ref="P384:P386"/>
    <mergeCell ref="O387:O388"/>
    <mergeCell ref="P387:P388"/>
    <mergeCell ref="O389:O390"/>
    <mergeCell ref="P389:P390"/>
    <mergeCell ref="O391:O392"/>
    <mergeCell ref="P391:P392"/>
    <mergeCell ref="O393:O394"/>
    <mergeCell ref="P393:P394"/>
    <mergeCell ref="O396:O397"/>
    <mergeCell ref="P396:P397"/>
    <mergeCell ref="N400:N417"/>
    <mergeCell ref="N525:N531"/>
    <mergeCell ref="O345:O346"/>
    <mergeCell ref="P471:P472"/>
    <mergeCell ref="O473:O474"/>
    <mergeCell ref="P473:P474"/>
    <mergeCell ref="P521:P524"/>
    <mergeCell ref="P475:P476"/>
    <mergeCell ref="P480:P482"/>
    <mergeCell ref="O483:O485"/>
    <mergeCell ref="P483:P485"/>
    <mergeCell ref="O487:O490"/>
    <mergeCell ref="P487:P490"/>
    <mergeCell ref="O493:O494"/>
    <mergeCell ref="P493:P494"/>
    <mergeCell ref="N555:N571"/>
    <mergeCell ref="N480:N497"/>
    <mergeCell ref="P517:P518"/>
    <mergeCell ref="O519:O520"/>
    <mergeCell ref="P519:P520"/>
    <mergeCell ref="P563:P564"/>
    <mergeCell ref="O477:O479"/>
    <mergeCell ref="P477:P479"/>
    <mergeCell ref="O475:O476"/>
    <mergeCell ref="P498:P500"/>
    <mergeCell ref="O502:O505"/>
    <mergeCell ref="P502:P505"/>
    <mergeCell ref="O512:O513"/>
    <mergeCell ref="P512:P513"/>
    <mergeCell ref="O514:O515"/>
    <mergeCell ref="P514:P515"/>
    <mergeCell ref="N516:N524"/>
    <mergeCell ref="O517:O518"/>
    <mergeCell ref="P532:P537"/>
    <mergeCell ref="O538:O540"/>
    <mergeCell ref="P538:P540"/>
    <mergeCell ref="N532:N540"/>
    <mergeCell ref="P567:P568"/>
    <mergeCell ref="P651:P652"/>
    <mergeCell ref="O653:O654"/>
    <mergeCell ref="P653:P654"/>
    <mergeCell ref="O625:O626"/>
    <mergeCell ref="P625:P626"/>
    <mergeCell ref="N551:N553"/>
    <mergeCell ref="O551:O553"/>
    <mergeCell ref="N633:N646"/>
    <mergeCell ref="O633:O635"/>
    <mergeCell ref="O585:O586"/>
    <mergeCell ref="P585:P586"/>
    <mergeCell ref="N587:N599"/>
    <mergeCell ref="O588:O589"/>
    <mergeCell ref="P588:P589"/>
    <mergeCell ref="O590:O593"/>
    <mergeCell ref="P590:P593"/>
    <mergeCell ref="O594:O597"/>
    <mergeCell ref="P594:P597"/>
    <mergeCell ref="O598:O599"/>
    <mergeCell ref="P598:P599"/>
    <mergeCell ref="N623:N632"/>
    <mergeCell ref="O628:O632"/>
    <mergeCell ref="N572:N586"/>
    <mergeCell ref="O572:O575"/>
    <mergeCell ref="P572:P575"/>
    <mergeCell ref="O560:O562"/>
    <mergeCell ref="P560:P562"/>
    <mergeCell ref="O569:O571"/>
    <mergeCell ref="P611:P613"/>
    <mergeCell ref="O614:O618"/>
    <mergeCell ref="A1:L1"/>
    <mergeCell ref="O463:O469"/>
    <mergeCell ref="P463:P469"/>
    <mergeCell ref="N834:N848"/>
    <mergeCell ref="O834:O837"/>
    <mergeCell ref="P834:P837"/>
    <mergeCell ref="O838:O839"/>
    <mergeCell ref="N647:N655"/>
    <mergeCell ref="P701:P704"/>
    <mergeCell ref="P676:P677"/>
    <mergeCell ref="O844:O847"/>
    <mergeCell ref="P844:P847"/>
    <mergeCell ref="N849:N866"/>
    <mergeCell ref="O709:O713"/>
    <mergeCell ref="O642:O643"/>
    <mergeCell ref="P642:P643"/>
    <mergeCell ref="O576:O581"/>
    <mergeCell ref="P576:P581"/>
    <mergeCell ref="O619:O621"/>
    <mergeCell ref="P619:P621"/>
    <mergeCell ref="P614:P618"/>
    <mergeCell ref="O604:O610"/>
    <mergeCell ref="O676:O677"/>
    <mergeCell ref="O668:O669"/>
    <mergeCell ref="P668:P669"/>
    <mergeCell ref="P729:P730"/>
    <mergeCell ref="P813:P814"/>
    <mergeCell ref="O735:O737"/>
    <mergeCell ref="N690:N706"/>
    <mergeCell ref="N707:N713"/>
    <mergeCell ref="O557:O558"/>
    <mergeCell ref="P557:P558"/>
    <mergeCell ref="A1100:A1108"/>
    <mergeCell ref="B1100:B1108"/>
    <mergeCell ref="N1100:N1108"/>
    <mergeCell ref="A1088:A1099"/>
    <mergeCell ref="N1088:N1099"/>
    <mergeCell ref="A816:A833"/>
    <mergeCell ref="P735:P737"/>
    <mergeCell ref="N714:N728"/>
    <mergeCell ref="P755:P759"/>
    <mergeCell ref="P760:P764"/>
    <mergeCell ref="P765:P766"/>
    <mergeCell ref="O729:O730"/>
    <mergeCell ref="P800:P806"/>
    <mergeCell ref="O681:O685"/>
    <mergeCell ref="P681:P685"/>
    <mergeCell ref="N657:N675"/>
    <mergeCell ref="O658:O661"/>
    <mergeCell ref="P658:P661"/>
    <mergeCell ref="P722:P726"/>
    <mergeCell ref="O727:O728"/>
    <mergeCell ref="P727:P728"/>
    <mergeCell ref="O691:O694"/>
    <mergeCell ref="N729:N754"/>
    <mergeCell ref="O807:O808"/>
    <mergeCell ref="N894:N909"/>
    <mergeCell ref="N809:N815"/>
    <mergeCell ref="O813:O814"/>
    <mergeCell ref="N816:N833"/>
    <mergeCell ref="O755:O759"/>
    <mergeCell ref="O760:O764"/>
    <mergeCell ref="B679:B680"/>
    <mergeCell ref="C679:C680"/>
    <mergeCell ref="O665:O666"/>
    <mergeCell ref="P665:P666"/>
    <mergeCell ref="O671:O672"/>
    <mergeCell ref="P671:P672"/>
    <mergeCell ref="P714:P716"/>
    <mergeCell ref="O717:O721"/>
    <mergeCell ref="P717:P721"/>
    <mergeCell ref="O722:O726"/>
    <mergeCell ref="N765:N766"/>
    <mergeCell ref="N755:N764"/>
    <mergeCell ref="O765:O766"/>
    <mergeCell ref="O819:O820"/>
    <mergeCell ref="P819:P820"/>
    <mergeCell ref="P816:P818"/>
    <mergeCell ref="O800:O806"/>
    <mergeCell ref="B681:B685"/>
    <mergeCell ref="C673:C674"/>
    <mergeCell ref="C681:C685"/>
    <mergeCell ref="F775:F777"/>
    <mergeCell ref="C735:C737"/>
    <mergeCell ref="D701:D704"/>
    <mergeCell ref="D746:D747"/>
    <mergeCell ref="P807:P808"/>
    <mergeCell ref="B665:B666"/>
    <mergeCell ref="D668:D669"/>
    <mergeCell ref="E668:E669"/>
    <mergeCell ref="E676:E677"/>
    <mergeCell ref="O673:O674"/>
    <mergeCell ref="N796:N808"/>
    <mergeCell ref="O796:O799"/>
    <mergeCell ref="P796:P799"/>
    <mergeCell ref="C676:C677"/>
    <mergeCell ref="B1015:B1018"/>
    <mergeCell ref="C1015:C1018"/>
    <mergeCell ref="D1015:D1018"/>
    <mergeCell ref="E1015:E1018"/>
    <mergeCell ref="F1015:F1018"/>
    <mergeCell ref="O1015:O1018"/>
    <mergeCell ref="P1015:P1018"/>
    <mergeCell ref="B1019:B1021"/>
    <mergeCell ref="C1019:C1021"/>
    <mergeCell ref="D1019:D1021"/>
    <mergeCell ref="E1019:E1021"/>
    <mergeCell ref="F1019:F1021"/>
    <mergeCell ref="O1019:O1021"/>
    <mergeCell ref="P1019:P1021"/>
    <mergeCell ref="D679:D680"/>
    <mergeCell ref="E679:E680"/>
    <mergeCell ref="D699:D700"/>
    <mergeCell ref="B705:B706"/>
    <mergeCell ref="E735:E737"/>
    <mergeCell ref="F755:F759"/>
    <mergeCell ref="O894:O897"/>
    <mergeCell ref="P894:P897"/>
    <mergeCell ref="P901:P902"/>
    <mergeCell ref="P838:P839"/>
    <mergeCell ref="O840:O843"/>
    <mergeCell ref="P840:P843"/>
    <mergeCell ref="N867:N879"/>
    <mergeCell ref="O862:O863"/>
    <mergeCell ref="P862:P863"/>
    <mergeCell ref="B988:B989"/>
    <mergeCell ref="C988:C989"/>
    <mergeCell ref="D988:D989"/>
  </mergeCells>
  <phoneticPr fontId="69" type="noConversion"/>
  <conditionalFormatting sqref="H82:H84">
    <cfRule type="duplicateValues" dxfId="366" priority="13"/>
  </conditionalFormatting>
  <conditionalFormatting sqref="H525">
    <cfRule type="duplicateValues" dxfId="365" priority="31"/>
    <cfRule type="duplicateValues" dxfId="364" priority="32"/>
    <cfRule type="duplicateValues" dxfId="363" priority="33"/>
    <cfRule type="duplicateValues" dxfId="362" priority="34"/>
    <cfRule type="duplicateValues" dxfId="361" priority="35"/>
    <cfRule type="duplicateValues" dxfId="360" priority="36"/>
    <cfRule type="duplicateValues" dxfId="359" priority="37"/>
  </conditionalFormatting>
  <conditionalFormatting sqref="H526">
    <cfRule type="duplicateValues" dxfId="358" priority="38"/>
    <cfRule type="duplicateValues" dxfId="357" priority="39"/>
    <cfRule type="duplicateValues" dxfId="356" priority="40"/>
    <cfRule type="duplicateValues" dxfId="355" priority="41"/>
    <cfRule type="duplicateValues" dxfId="354" priority="42"/>
    <cfRule type="duplicateValues" dxfId="353" priority="43"/>
    <cfRule type="duplicateValues" dxfId="352" priority="44"/>
  </conditionalFormatting>
  <conditionalFormatting sqref="H655">
    <cfRule type="duplicateValues" dxfId="351" priority="63"/>
  </conditionalFormatting>
  <conditionalFormatting sqref="H869">
    <cfRule type="duplicateValues" dxfId="350" priority="30"/>
  </conditionalFormatting>
  <conditionalFormatting sqref="H1031">
    <cfRule type="duplicateValues" dxfId="349" priority="97"/>
    <cfRule type="duplicateValues" dxfId="348" priority="98"/>
    <cfRule type="duplicateValues" dxfId="347" priority="99"/>
    <cfRule type="duplicateValues" dxfId="346" priority="100"/>
    <cfRule type="duplicateValues" dxfId="345" priority="101"/>
    <cfRule type="duplicateValues" dxfId="344" priority="102"/>
    <cfRule type="duplicateValues" dxfId="343" priority="103"/>
  </conditionalFormatting>
  <conditionalFormatting sqref="H292:I292">
    <cfRule type="duplicateValues" dxfId="342" priority="78"/>
    <cfRule type="duplicateValues" dxfId="341" priority="79"/>
    <cfRule type="duplicateValues" dxfId="340" priority="80"/>
    <cfRule type="duplicateValues" dxfId="339" priority="81"/>
    <cfRule type="duplicateValues" dxfId="338" priority="82"/>
  </conditionalFormatting>
  <conditionalFormatting sqref="H475:I475">
    <cfRule type="duplicateValues" dxfId="337" priority="83"/>
    <cfRule type="duplicateValues" dxfId="336" priority="84"/>
    <cfRule type="duplicateValues" dxfId="335" priority="85"/>
    <cfRule type="duplicateValues" dxfId="334" priority="86"/>
    <cfRule type="duplicateValues" dxfId="333" priority="87"/>
    <cfRule type="duplicateValues" dxfId="332" priority="88"/>
    <cfRule type="duplicateValues" dxfId="331" priority="89"/>
  </conditionalFormatting>
  <conditionalFormatting sqref="I4">
    <cfRule type="duplicateValues" dxfId="330" priority="90"/>
    <cfRule type="duplicateValues" dxfId="329" priority="91"/>
    <cfRule type="duplicateValues" dxfId="328" priority="92"/>
    <cfRule type="duplicateValues" dxfId="327" priority="93"/>
    <cfRule type="duplicateValues" dxfId="326" priority="94"/>
    <cfRule type="duplicateValues" dxfId="325" priority="95"/>
    <cfRule type="duplicateValues" dxfId="324" priority="96"/>
  </conditionalFormatting>
  <conditionalFormatting sqref="I525">
    <cfRule type="duplicateValues" dxfId="323" priority="21"/>
    <cfRule type="duplicateValues" dxfId="322" priority="22"/>
    <cfRule type="duplicateValues" dxfId="321" priority="23"/>
    <cfRule type="duplicateValues" dxfId="320" priority="24"/>
    <cfRule type="duplicateValues" dxfId="319" priority="25"/>
    <cfRule type="duplicateValues" dxfId="318" priority="26"/>
    <cfRule type="duplicateValues" dxfId="317" priority="27"/>
  </conditionalFormatting>
  <conditionalFormatting sqref="I526">
    <cfRule type="duplicateValues" dxfId="316" priority="14"/>
    <cfRule type="duplicateValues" dxfId="315" priority="15"/>
    <cfRule type="duplicateValues" dxfId="314" priority="16"/>
    <cfRule type="duplicateValues" dxfId="313" priority="17"/>
    <cfRule type="duplicateValues" dxfId="312" priority="18"/>
    <cfRule type="duplicateValues" dxfId="311" priority="19"/>
    <cfRule type="duplicateValues" dxfId="310" priority="20"/>
  </conditionalFormatting>
  <conditionalFormatting sqref="I823">
    <cfRule type="duplicateValues" dxfId="309" priority="291"/>
  </conditionalFormatting>
  <conditionalFormatting sqref="I903">
    <cfRule type="duplicateValues" dxfId="308" priority="578"/>
  </conditionalFormatting>
  <conditionalFormatting sqref="I949">
    <cfRule type="duplicateValues" dxfId="307" priority="72"/>
    <cfRule type="duplicateValues" dxfId="306" priority="73"/>
    <cfRule type="duplicateValues" dxfId="305" priority="74"/>
    <cfRule type="duplicateValues" dxfId="304" priority="75"/>
    <cfRule type="duplicateValues" dxfId="303" priority="76"/>
    <cfRule type="duplicateValues" dxfId="302" priority="77"/>
  </conditionalFormatting>
  <conditionalFormatting sqref="I1023">
    <cfRule type="duplicateValues" dxfId="301" priority="65"/>
    <cfRule type="duplicateValues" dxfId="300" priority="66"/>
    <cfRule type="duplicateValues" dxfId="299" priority="67"/>
    <cfRule type="duplicateValues" dxfId="298" priority="68"/>
    <cfRule type="duplicateValues" dxfId="297" priority="69"/>
    <cfRule type="duplicateValues" dxfId="296" priority="70"/>
    <cfRule type="duplicateValues" dxfId="295" priority="71"/>
  </conditionalFormatting>
  <conditionalFormatting sqref="I267">
    <cfRule type="duplicateValues" dxfId="294" priority="10"/>
  </conditionalFormatting>
  <conditionalFormatting sqref="J265:J269">
    <cfRule type="duplicateValues" dxfId="293" priority="11"/>
  </conditionalFormatting>
  <conditionalFormatting sqref="H852">
    <cfRule type="duplicateValues" dxfId="292" priority="4"/>
  </conditionalFormatting>
  <conditionalFormatting sqref="H897">
    <cfRule type="duplicateValues" dxfId="291" priority="1"/>
  </conditionalFormatting>
  <printOptions horizontalCentered="1"/>
  <pageMargins left="0.25" right="0.25" top="0.75" bottom="0.75" header="0.3" footer="0.3"/>
  <pageSetup paperSize="9" scale="50" fitToHeight="0" orientation="landscape" r:id="rId1"/>
  <headerFooter>
    <oddFooter xml:space="preserve">&amp;C&amp;"B Nazanin,Regular"مهر وضعیت مدرک
&amp;R               &amp;"B Nazanin,Regular"   مهر مهندسی
</oddFooter>
  </headerFooter>
  <rowBreaks count="77" manualBreakCount="77">
    <brk id="25" max="16383" man="1"/>
    <brk id="41" max="11" man="1"/>
    <brk id="55" max="16383" man="1"/>
    <brk id="67" max="11" man="1"/>
    <brk id="74" max="11" man="1"/>
    <brk id="88" max="16383" man="1"/>
    <brk id="100" max="16383" man="1"/>
    <brk id="110" max="16383" man="1"/>
    <brk id="122" max="16383" man="1"/>
    <brk id="141" max="11" man="1"/>
    <brk id="163" max="16383" man="1"/>
    <brk id="179" max="16383" man="1"/>
    <brk id="188" max="16383" man="1"/>
    <brk id="193" max="16383" man="1"/>
    <brk id="214" max="11" man="1"/>
    <brk id="228" max="16383" man="1"/>
    <brk id="249" max="16383" man="1"/>
    <brk id="255" max="16383" man="1"/>
    <brk id="263" max="11" man="1"/>
    <brk id="281" max="11" man="1"/>
    <brk id="287" max="11" man="1"/>
    <brk id="297" max="16383" man="1"/>
    <brk id="320" max="16383" man="1"/>
    <brk id="328" max="16383" man="1"/>
    <brk id="335" max="16383" man="1"/>
    <brk id="352" max="16383" man="1"/>
    <brk id="367" max="16383" man="1"/>
    <brk id="381" max="16383" man="1"/>
    <brk id="399" max="16383" man="1"/>
    <brk id="417" max="16383" man="1"/>
    <brk id="433" max="16383" man="1"/>
    <brk id="461" max="11" man="1"/>
    <brk id="479" max="16383" man="1"/>
    <brk id="497" max="11" man="1"/>
    <brk id="515" max="16383" man="1"/>
    <brk id="524" max="16383" man="1"/>
    <brk id="531" max="16383" man="1"/>
    <brk id="540" max="11" man="1"/>
    <brk id="553" max="11" man="1"/>
    <brk id="571" max="16383" man="1"/>
    <brk id="586" max="16383" man="1"/>
    <brk id="610" max="16383" man="1"/>
    <brk id="621" max="16383" man="1"/>
    <brk id="632" max="16383" man="1"/>
    <brk id="646" max="16383" man="1"/>
    <brk id="655" max="16383" man="1"/>
    <brk id="675" max="11" man="1"/>
    <brk id="689" max="16383" man="1"/>
    <brk id="706" max="16383" man="1"/>
    <brk id="713" max="16383" man="1"/>
    <brk id="728" max="16383" man="1"/>
    <brk id="754" max="11" man="1"/>
    <brk id="766" max="11" man="1"/>
    <brk id="782" max="11" man="1"/>
    <brk id="795" max="11" man="1"/>
    <brk id="808" max="11" man="1"/>
    <brk id="815" max="11" man="1"/>
    <brk id="833" max="16383" man="1"/>
    <brk id="848" max="11" man="1"/>
    <brk id="866" max="16383" man="1"/>
    <brk id="879" max="16383" man="1"/>
    <brk id="893" max="11" man="1"/>
    <brk id="909" max="11" man="1"/>
    <brk id="922" max="16383" man="1"/>
    <brk id="932" max="16383" man="1"/>
    <brk id="940" max="16383" man="1"/>
    <brk id="947" max="16383" man="1"/>
    <brk id="969" max="16383" man="1"/>
    <brk id="973" max="16383" man="1"/>
    <brk id="990" max="16383" man="1"/>
    <brk id="1000" max="16383" man="1"/>
    <brk id="1008" max="11" man="1"/>
    <brk id="1026" max="11" man="1"/>
    <brk id="1051" max="16383" man="1"/>
    <brk id="1069" max="16383" man="1"/>
    <brk id="1087" max="16383" man="1"/>
    <brk id="1155" max="12" man="1"/>
  </rowBreaks>
  <colBreaks count="1" manualBreakCount="1">
    <brk id="1" max="113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7593-D0D7-4F19-B100-C16CFB43661D}">
  <sheetPr>
    <pageSetUpPr fitToPage="1"/>
  </sheetPr>
  <dimension ref="A1:J967"/>
  <sheetViews>
    <sheetView zoomScaleNormal="100" zoomScaleSheetLayoutView="100" workbookViewId="0">
      <selection activeCell="E8" sqref="E8"/>
    </sheetView>
  </sheetViews>
  <sheetFormatPr defaultColWidth="9" defaultRowHeight="12.75"/>
  <cols>
    <col min="1" max="1" width="17.7109375" style="2" customWidth="1"/>
    <col min="2" max="3" width="18.28515625" style="2" customWidth="1"/>
    <col min="4" max="4" width="12.140625" style="2" customWidth="1"/>
    <col min="5" max="5" width="19" style="2" customWidth="1"/>
    <col min="6" max="7" width="22.85546875" style="2" customWidth="1"/>
    <col min="8" max="8" width="15" style="2" customWidth="1"/>
    <col min="9" max="9" width="9" style="2"/>
    <col min="10" max="10" width="17.42578125" style="2" customWidth="1"/>
    <col min="11" max="11" width="19.7109375" style="2" customWidth="1"/>
    <col min="12" max="16384" width="9" style="2"/>
  </cols>
  <sheetData>
    <row r="1" spans="1:9" ht="58.5" customHeight="1">
      <c r="A1" s="3" t="s">
        <v>1243</v>
      </c>
      <c r="B1" s="173" t="s">
        <v>2709</v>
      </c>
      <c r="C1" s="173" t="s">
        <v>2710</v>
      </c>
      <c r="D1" s="3" t="s">
        <v>1245</v>
      </c>
      <c r="E1" s="3" t="s">
        <v>1244</v>
      </c>
      <c r="F1" s="3" t="s">
        <v>2711</v>
      </c>
      <c r="G1" s="3" t="s">
        <v>2712</v>
      </c>
      <c r="H1" s="3" t="s">
        <v>1246</v>
      </c>
      <c r="I1" s="174" t="s">
        <v>2713</v>
      </c>
    </row>
    <row r="2" spans="1:9" ht="25.5">
      <c r="A2" s="167" t="s">
        <v>692</v>
      </c>
      <c r="B2" s="11" t="s">
        <v>2714</v>
      </c>
      <c r="C2" s="11" t="s">
        <v>2715</v>
      </c>
      <c r="D2" s="168">
        <v>1</v>
      </c>
      <c r="E2" s="11" t="s">
        <v>663</v>
      </c>
      <c r="F2" s="11" t="s">
        <v>2716</v>
      </c>
      <c r="G2" s="11" t="s">
        <v>2717</v>
      </c>
      <c r="H2" s="19">
        <v>1</v>
      </c>
      <c r="I2" s="3"/>
    </row>
    <row r="3" spans="1:9" ht="25.5">
      <c r="A3" s="169" t="s">
        <v>693</v>
      </c>
      <c r="B3" s="4" t="s">
        <v>2718</v>
      </c>
      <c r="C3" s="4" t="s">
        <v>2719</v>
      </c>
      <c r="D3" s="170" t="s">
        <v>0</v>
      </c>
      <c r="E3" s="4" t="s">
        <v>659</v>
      </c>
      <c r="F3" s="4" t="s">
        <v>2720</v>
      </c>
      <c r="G3" s="4" t="s">
        <v>2721</v>
      </c>
      <c r="H3" s="4">
        <v>6</v>
      </c>
      <c r="I3" s="3">
        <v>0.56000000000000005</v>
      </c>
    </row>
    <row r="4" spans="1:9">
      <c r="A4" s="169" t="s">
        <v>660</v>
      </c>
      <c r="B4" s="4" t="s">
        <v>2718</v>
      </c>
      <c r="C4" s="4" t="s">
        <v>2722</v>
      </c>
      <c r="D4" s="170" t="s">
        <v>1</v>
      </c>
      <c r="E4" s="4" t="s">
        <v>694</v>
      </c>
      <c r="F4" s="4" t="s">
        <v>2723</v>
      </c>
      <c r="G4" s="4" t="s">
        <v>2724</v>
      </c>
      <c r="H4" s="4">
        <v>1</v>
      </c>
      <c r="I4" s="3"/>
    </row>
    <row r="5" spans="1:9" ht="26.1" customHeight="1">
      <c r="A5" s="169" t="s">
        <v>560</v>
      </c>
      <c r="B5" s="4" t="s">
        <v>2725</v>
      </c>
      <c r="C5" s="4" t="s">
        <v>2726</v>
      </c>
      <c r="D5" s="170" t="s">
        <v>0</v>
      </c>
      <c r="E5" s="4" t="s">
        <v>695</v>
      </c>
      <c r="F5" s="4" t="s">
        <v>2727</v>
      </c>
      <c r="G5" s="4" t="s">
        <v>2728</v>
      </c>
      <c r="H5" s="4">
        <v>1</v>
      </c>
      <c r="I5" s="3">
        <v>0.17</v>
      </c>
    </row>
    <row r="6" spans="1:9" ht="15">
      <c r="A6" s="171" t="s">
        <v>696</v>
      </c>
      <c r="B6" s="175" t="s">
        <v>2729</v>
      </c>
      <c r="C6" s="175" t="s">
        <v>2730</v>
      </c>
      <c r="D6" s="172" t="s">
        <v>697</v>
      </c>
      <c r="E6" s="164" t="s">
        <v>698</v>
      </c>
      <c r="F6" s="164" t="s">
        <v>2731</v>
      </c>
      <c r="G6" s="164" t="s">
        <v>2732</v>
      </c>
      <c r="H6" s="165">
        <v>1</v>
      </c>
      <c r="I6" s="3"/>
    </row>
    <row r="7" spans="1:9" ht="36">
      <c r="A7" s="21" t="s">
        <v>699</v>
      </c>
      <c r="B7" s="176" t="s">
        <v>2733</v>
      </c>
      <c r="C7" s="176" t="s">
        <v>2734</v>
      </c>
      <c r="D7" s="22" t="s">
        <v>0</v>
      </c>
      <c r="E7" s="23" t="s">
        <v>700</v>
      </c>
      <c r="F7" s="23" t="s">
        <v>2735</v>
      </c>
      <c r="G7" s="23" t="s">
        <v>2736</v>
      </c>
      <c r="H7" s="19">
        <v>1</v>
      </c>
      <c r="I7" s="3"/>
    </row>
    <row r="8" spans="1:9" ht="36">
      <c r="A8" s="21" t="s">
        <v>699</v>
      </c>
      <c r="B8" s="177" t="s">
        <v>2733</v>
      </c>
      <c r="C8" s="177" t="s">
        <v>2734</v>
      </c>
      <c r="D8" s="22" t="s">
        <v>701</v>
      </c>
      <c r="E8" s="24" t="s">
        <v>702</v>
      </c>
      <c r="F8" s="23" t="s">
        <v>2737</v>
      </c>
      <c r="G8" s="23" t="s">
        <v>2738</v>
      </c>
      <c r="H8" s="19">
        <v>1</v>
      </c>
      <c r="I8" s="3"/>
    </row>
    <row r="9" spans="1:9" ht="24">
      <c r="A9" s="25" t="s">
        <v>703</v>
      </c>
      <c r="B9" s="25" t="s">
        <v>2739</v>
      </c>
      <c r="C9" s="25" t="s">
        <v>2740</v>
      </c>
      <c r="D9" s="25" t="s">
        <v>0</v>
      </c>
      <c r="E9" s="25" t="s">
        <v>664</v>
      </c>
      <c r="F9" s="25" t="s">
        <v>2741</v>
      </c>
      <c r="G9" s="25" t="s">
        <v>2742</v>
      </c>
      <c r="H9" s="25">
        <v>1</v>
      </c>
      <c r="I9" s="3"/>
    </row>
    <row r="10" spans="1:9" ht="38.25">
      <c r="A10" s="26" t="s">
        <v>583</v>
      </c>
      <c r="B10" s="27" t="s">
        <v>2743</v>
      </c>
      <c r="C10" s="27" t="s">
        <v>2744</v>
      </c>
      <c r="D10" s="4" t="s">
        <v>0</v>
      </c>
      <c r="E10" s="28" t="s">
        <v>584</v>
      </c>
      <c r="F10" s="28" t="s">
        <v>2745</v>
      </c>
      <c r="G10" s="28" t="s">
        <v>2746</v>
      </c>
      <c r="H10" s="29">
        <v>1</v>
      </c>
      <c r="I10" s="3">
        <v>0.25</v>
      </c>
    </row>
    <row r="11" spans="1:9" ht="38.25">
      <c r="A11" s="26" t="s">
        <v>583</v>
      </c>
      <c r="B11" s="27" t="s">
        <v>2743</v>
      </c>
      <c r="C11" s="27" t="s">
        <v>2747</v>
      </c>
      <c r="D11" s="4" t="s">
        <v>1</v>
      </c>
      <c r="E11" s="28" t="s">
        <v>444</v>
      </c>
      <c r="F11" s="28" t="s">
        <v>2748</v>
      </c>
      <c r="G11" s="28" t="s">
        <v>2749</v>
      </c>
      <c r="H11" s="29">
        <v>1</v>
      </c>
      <c r="I11" s="3"/>
    </row>
    <row r="12" spans="1:9" ht="38.25">
      <c r="A12" s="26" t="s">
        <v>583</v>
      </c>
      <c r="B12" s="27" t="s">
        <v>2743</v>
      </c>
      <c r="C12" s="27" t="s">
        <v>2747</v>
      </c>
      <c r="D12" s="4" t="s">
        <v>2</v>
      </c>
      <c r="E12" s="30" t="s">
        <v>704</v>
      </c>
      <c r="F12" s="28" t="s">
        <v>2750</v>
      </c>
      <c r="G12" s="28" t="s">
        <v>2751</v>
      </c>
      <c r="H12" s="29">
        <v>2</v>
      </c>
      <c r="I12" s="3"/>
    </row>
    <row r="13" spans="1:9" ht="25.5">
      <c r="A13" s="31" t="s">
        <v>243</v>
      </c>
      <c r="B13" s="31" t="s">
        <v>2752</v>
      </c>
      <c r="C13" s="31" t="s">
        <v>2753</v>
      </c>
      <c r="D13" s="32" t="s">
        <v>0</v>
      </c>
      <c r="E13" s="33" t="s">
        <v>705</v>
      </c>
      <c r="F13" s="33" t="s">
        <v>2754</v>
      </c>
      <c r="G13" s="33" t="s">
        <v>2755</v>
      </c>
      <c r="H13" s="34">
        <v>1</v>
      </c>
      <c r="I13" s="3">
        <v>0.84</v>
      </c>
    </row>
    <row r="14" spans="1:9" ht="25.5">
      <c r="A14" s="31" t="s">
        <v>243</v>
      </c>
      <c r="B14" s="31" t="s">
        <v>2752</v>
      </c>
      <c r="C14" s="31" t="s">
        <v>2753</v>
      </c>
      <c r="D14" s="32" t="s">
        <v>0</v>
      </c>
      <c r="E14" s="33" t="s">
        <v>244</v>
      </c>
      <c r="F14" s="33" t="s">
        <v>2756</v>
      </c>
      <c r="G14" s="33" t="s">
        <v>2757</v>
      </c>
      <c r="H14" s="34">
        <v>1</v>
      </c>
      <c r="I14" s="3"/>
    </row>
    <row r="15" spans="1:9" ht="38.25">
      <c r="A15" s="35" t="s">
        <v>243</v>
      </c>
      <c r="B15" s="35" t="s">
        <v>2752</v>
      </c>
      <c r="C15" s="35" t="s">
        <v>2753</v>
      </c>
      <c r="D15" s="32" t="s">
        <v>1</v>
      </c>
      <c r="E15" s="32" t="s">
        <v>245</v>
      </c>
      <c r="F15" s="36" t="s">
        <v>2758</v>
      </c>
      <c r="G15" s="36" t="s">
        <v>2759</v>
      </c>
      <c r="H15" s="36">
        <v>10</v>
      </c>
      <c r="I15" s="3"/>
    </row>
    <row r="16" spans="1:9" ht="25.5">
      <c r="A16" s="4" t="s">
        <v>133</v>
      </c>
      <c r="B16" s="4" t="s">
        <v>2760</v>
      </c>
      <c r="C16" s="4" t="s">
        <v>2761</v>
      </c>
      <c r="D16" s="4" t="s">
        <v>0</v>
      </c>
      <c r="E16" s="4" t="s">
        <v>134</v>
      </c>
      <c r="F16" s="4" t="s">
        <v>2762</v>
      </c>
      <c r="G16" s="4" t="s">
        <v>2763</v>
      </c>
      <c r="H16" s="4">
        <v>1</v>
      </c>
      <c r="I16" s="3">
        <v>0.7</v>
      </c>
    </row>
    <row r="17" spans="1:9" ht="38.25">
      <c r="A17" s="4" t="s">
        <v>133</v>
      </c>
      <c r="B17" s="4" t="s">
        <v>2760</v>
      </c>
      <c r="C17" s="4" t="s">
        <v>2764</v>
      </c>
      <c r="D17" s="4" t="s">
        <v>0</v>
      </c>
      <c r="E17" s="4" t="s">
        <v>135</v>
      </c>
      <c r="F17" s="4" t="s">
        <v>2765</v>
      </c>
      <c r="G17" s="4" t="s">
        <v>2766</v>
      </c>
      <c r="H17" s="4">
        <v>1</v>
      </c>
      <c r="I17" s="3"/>
    </row>
    <row r="18" spans="1:9" ht="38.25">
      <c r="A18" s="4" t="s">
        <v>133</v>
      </c>
      <c r="B18" s="4" t="s">
        <v>2760</v>
      </c>
      <c r="C18" s="4" t="s">
        <v>2764</v>
      </c>
      <c r="D18" s="4" t="s">
        <v>1</v>
      </c>
      <c r="E18" s="4" t="s">
        <v>5</v>
      </c>
      <c r="F18" s="4" t="s">
        <v>2767</v>
      </c>
      <c r="G18" s="4" t="s">
        <v>2768</v>
      </c>
      <c r="H18" s="4">
        <v>4</v>
      </c>
      <c r="I18" s="3"/>
    </row>
    <row r="19" spans="1:9" ht="25.5">
      <c r="A19" s="4" t="s">
        <v>133</v>
      </c>
      <c r="B19" s="4" t="s">
        <v>2760</v>
      </c>
      <c r="C19" s="4" t="s">
        <v>2761</v>
      </c>
      <c r="D19" s="4" t="s">
        <v>2</v>
      </c>
      <c r="E19" s="4" t="s">
        <v>136</v>
      </c>
      <c r="F19" s="4" t="s">
        <v>2767</v>
      </c>
      <c r="G19" s="4" t="s">
        <v>2768</v>
      </c>
      <c r="H19" s="4">
        <v>2</v>
      </c>
      <c r="I19" s="3"/>
    </row>
    <row r="20" spans="1:9" ht="25.5">
      <c r="A20" s="4" t="s">
        <v>137</v>
      </c>
      <c r="B20" s="4" t="s">
        <v>2769</v>
      </c>
      <c r="C20" s="4" t="s">
        <v>2770</v>
      </c>
      <c r="D20" s="4" t="s">
        <v>0</v>
      </c>
      <c r="E20" s="4" t="s">
        <v>138</v>
      </c>
      <c r="F20" s="4" t="s">
        <v>2771</v>
      </c>
      <c r="G20" s="4" t="s">
        <v>2770</v>
      </c>
      <c r="H20" s="4">
        <v>1</v>
      </c>
      <c r="I20" s="3">
        <v>0.41</v>
      </c>
    </row>
    <row r="21" spans="1:9" ht="38.25">
      <c r="A21" s="4" t="s">
        <v>137</v>
      </c>
      <c r="B21" s="4" t="s">
        <v>2769</v>
      </c>
      <c r="C21" s="4" t="s">
        <v>2772</v>
      </c>
      <c r="D21" s="4" t="s">
        <v>1</v>
      </c>
      <c r="E21" s="4" t="s">
        <v>5</v>
      </c>
      <c r="F21" s="4" t="s">
        <v>2767</v>
      </c>
      <c r="G21" s="4" t="s">
        <v>2768</v>
      </c>
      <c r="H21" s="4">
        <v>6</v>
      </c>
      <c r="I21" s="3"/>
    </row>
    <row r="22" spans="1:9" ht="38.25">
      <c r="A22" s="4" t="s">
        <v>137</v>
      </c>
      <c r="B22" s="4" t="s">
        <v>2769</v>
      </c>
      <c r="C22" s="4" t="s">
        <v>2772</v>
      </c>
      <c r="D22" s="4" t="s">
        <v>2</v>
      </c>
      <c r="E22" s="4" t="s">
        <v>139</v>
      </c>
      <c r="F22" s="4" t="s">
        <v>2773</v>
      </c>
      <c r="G22" s="4" t="s">
        <v>2774</v>
      </c>
      <c r="H22" s="4">
        <v>2</v>
      </c>
      <c r="I22" s="3"/>
    </row>
    <row r="23" spans="1:9" ht="51">
      <c r="A23" s="4" t="s">
        <v>257</v>
      </c>
      <c r="B23" s="4" t="s">
        <v>2775</v>
      </c>
      <c r="C23" s="4" t="s">
        <v>2776</v>
      </c>
      <c r="D23" s="4" t="s">
        <v>0</v>
      </c>
      <c r="E23" s="4" t="s">
        <v>139</v>
      </c>
      <c r="F23" s="4" t="s">
        <v>2773</v>
      </c>
      <c r="G23" s="4" t="s">
        <v>2774</v>
      </c>
      <c r="H23" s="4">
        <v>2</v>
      </c>
      <c r="I23" s="3">
        <v>0.9</v>
      </c>
    </row>
    <row r="24" spans="1:9" ht="51">
      <c r="A24" s="4" t="s">
        <v>257</v>
      </c>
      <c r="B24" s="4" t="s">
        <v>2775</v>
      </c>
      <c r="C24" s="4" t="s">
        <v>2776</v>
      </c>
      <c r="D24" s="4" t="s">
        <v>1</v>
      </c>
      <c r="E24" s="4" t="s">
        <v>258</v>
      </c>
      <c r="F24" s="4" t="s">
        <v>2777</v>
      </c>
      <c r="G24" s="4" t="s">
        <v>2778</v>
      </c>
      <c r="H24" s="4">
        <v>2</v>
      </c>
      <c r="I24" s="3"/>
    </row>
    <row r="25" spans="1:9" ht="51">
      <c r="A25" s="4" t="s">
        <v>257</v>
      </c>
      <c r="B25" s="4" t="s">
        <v>2775</v>
      </c>
      <c r="C25" s="4" t="s">
        <v>2776</v>
      </c>
      <c r="D25" s="4" t="s">
        <v>2</v>
      </c>
      <c r="E25" s="4" t="s">
        <v>259</v>
      </c>
      <c r="F25" s="4" t="s">
        <v>2779</v>
      </c>
      <c r="G25" s="4" t="s">
        <v>2780</v>
      </c>
      <c r="H25" s="4">
        <v>2</v>
      </c>
      <c r="I25" s="3"/>
    </row>
    <row r="26" spans="1:9" ht="51">
      <c r="A26" s="4" t="s">
        <v>257</v>
      </c>
      <c r="B26" s="4" t="s">
        <v>2775</v>
      </c>
      <c r="C26" s="4" t="s">
        <v>2776</v>
      </c>
      <c r="D26" s="4" t="s">
        <v>7</v>
      </c>
      <c r="E26" s="4" t="s">
        <v>260</v>
      </c>
      <c r="F26" s="4" t="s">
        <v>2781</v>
      </c>
      <c r="G26" s="4" t="s">
        <v>2782</v>
      </c>
      <c r="H26" s="4">
        <v>1</v>
      </c>
      <c r="I26" s="3"/>
    </row>
    <row r="27" spans="1:9" ht="51">
      <c r="A27" s="4" t="s">
        <v>257</v>
      </c>
      <c r="B27" s="4" t="s">
        <v>2775</v>
      </c>
      <c r="C27" s="4" t="s">
        <v>2783</v>
      </c>
      <c r="D27" s="4" t="s">
        <v>7</v>
      </c>
      <c r="E27" s="4" t="s">
        <v>261</v>
      </c>
      <c r="F27" s="4" t="s">
        <v>2784</v>
      </c>
      <c r="G27" s="4" t="s">
        <v>2785</v>
      </c>
      <c r="H27" s="4">
        <v>1</v>
      </c>
      <c r="I27" s="3"/>
    </row>
    <row r="28" spans="1:9" ht="51">
      <c r="A28" s="4" t="s">
        <v>257</v>
      </c>
      <c r="B28" s="4" t="s">
        <v>2775</v>
      </c>
      <c r="C28" s="4" t="s">
        <v>2776</v>
      </c>
      <c r="D28" s="4" t="s">
        <v>9</v>
      </c>
      <c r="E28" s="4" t="s">
        <v>245</v>
      </c>
      <c r="F28" s="4" t="s">
        <v>2758</v>
      </c>
      <c r="G28" s="4" t="s">
        <v>2786</v>
      </c>
      <c r="H28" s="4">
        <v>4</v>
      </c>
      <c r="I28" s="3"/>
    </row>
    <row r="29" spans="1:9" ht="25.5">
      <c r="A29" s="4" t="s">
        <v>171</v>
      </c>
      <c r="B29" s="4" t="s">
        <v>2787</v>
      </c>
      <c r="C29" s="4" t="s">
        <v>2788</v>
      </c>
      <c r="D29" s="4" t="s">
        <v>0</v>
      </c>
      <c r="E29" s="4" t="s">
        <v>172</v>
      </c>
      <c r="F29" s="4" t="s">
        <v>2789</v>
      </c>
      <c r="G29" s="4" t="s">
        <v>2790</v>
      </c>
      <c r="H29" s="4">
        <v>4</v>
      </c>
      <c r="I29" s="3">
        <v>0.56000000000000005</v>
      </c>
    </row>
    <row r="30" spans="1:9" ht="25.5">
      <c r="A30" s="4" t="s">
        <v>171</v>
      </c>
      <c r="B30" s="4" t="s">
        <v>2787</v>
      </c>
      <c r="C30" s="4" t="s">
        <v>2788</v>
      </c>
      <c r="D30" s="4" t="s">
        <v>1</v>
      </c>
      <c r="E30" s="4" t="s">
        <v>173</v>
      </c>
      <c r="F30" s="4" t="s">
        <v>2791</v>
      </c>
      <c r="G30" s="4" t="s">
        <v>2792</v>
      </c>
      <c r="H30" s="4">
        <v>4</v>
      </c>
      <c r="I30" s="3"/>
    </row>
    <row r="31" spans="1:9" ht="24" customHeight="1">
      <c r="A31" s="11" t="s">
        <v>28</v>
      </c>
      <c r="B31" s="11" t="s">
        <v>2793</v>
      </c>
      <c r="C31" s="11" t="s">
        <v>2794</v>
      </c>
      <c r="D31" s="4" t="s">
        <v>0</v>
      </c>
      <c r="E31" s="4" t="s">
        <v>29</v>
      </c>
      <c r="F31" s="4" t="s">
        <v>2795</v>
      </c>
      <c r="G31" s="4" t="s">
        <v>2794</v>
      </c>
      <c r="H31" s="4">
        <v>1</v>
      </c>
      <c r="I31" s="3">
        <v>0.24</v>
      </c>
    </row>
    <row r="32" spans="1:9" ht="24" customHeight="1">
      <c r="A32" s="4" t="s">
        <v>30</v>
      </c>
      <c r="B32" s="4" t="s">
        <v>2796</v>
      </c>
      <c r="C32" s="4" t="s">
        <v>2797</v>
      </c>
      <c r="D32" s="4" t="s">
        <v>0</v>
      </c>
      <c r="E32" s="4" t="s">
        <v>706</v>
      </c>
      <c r="F32" s="4" t="s">
        <v>2798</v>
      </c>
      <c r="G32" s="4" t="s">
        <v>2799</v>
      </c>
      <c r="H32" s="4">
        <v>1</v>
      </c>
      <c r="I32" s="3">
        <v>2.95</v>
      </c>
    </row>
    <row r="33" spans="1:9" ht="24" customHeight="1">
      <c r="A33" s="4" t="s">
        <v>30</v>
      </c>
      <c r="B33" s="4" t="s">
        <v>2796</v>
      </c>
      <c r="C33" s="4" t="s">
        <v>2800</v>
      </c>
      <c r="D33" s="4" t="s">
        <v>1</v>
      </c>
      <c r="E33" s="4" t="s">
        <v>707</v>
      </c>
      <c r="F33" s="4" t="s">
        <v>2801</v>
      </c>
      <c r="G33" s="4" t="s">
        <v>2802</v>
      </c>
      <c r="H33" s="4">
        <v>1</v>
      </c>
      <c r="I33" s="3"/>
    </row>
    <row r="34" spans="1:9" ht="27.75" customHeight="1">
      <c r="A34" s="4" t="s">
        <v>30</v>
      </c>
      <c r="B34" s="4" t="s">
        <v>2796</v>
      </c>
      <c r="C34" s="4" t="s">
        <v>2797</v>
      </c>
      <c r="D34" s="4" t="s">
        <v>2</v>
      </c>
      <c r="E34" s="4" t="s">
        <v>708</v>
      </c>
      <c r="F34" s="4" t="s">
        <v>2803</v>
      </c>
      <c r="G34" s="4" t="s">
        <v>2804</v>
      </c>
      <c r="H34" s="4">
        <v>1</v>
      </c>
      <c r="I34" s="3"/>
    </row>
    <row r="35" spans="1:9" ht="27.75" customHeight="1">
      <c r="A35" s="4" t="s">
        <v>30</v>
      </c>
      <c r="B35" s="4" t="s">
        <v>2796</v>
      </c>
      <c r="C35" s="4" t="s">
        <v>2800</v>
      </c>
      <c r="D35" s="4" t="s">
        <v>7</v>
      </c>
      <c r="E35" s="4" t="s">
        <v>31</v>
      </c>
      <c r="F35" s="4" t="s">
        <v>2805</v>
      </c>
      <c r="G35" s="4" t="s">
        <v>2806</v>
      </c>
      <c r="H35" s="4">
        <v>1</v>
      </c>
      <c r="I35" s="3"/>
    </row>
    <row r="36" spans="1:9" ht="27.75" customHeight="1">
      <c r="A36" s="4" t="s">
        <v>30</v>
      </c>
      <c r="B36" s="4" t="s">
        <v>2796</v>
      </c>
      <c r="C36" s="4" t="s">
        <v>2800</v>
      </c>
      <c r="D36" s="4" t="s">
        <v>9</v>
      </c>
      <c r="E36" s="4" t="s">
        <v>709</v>
      </c>
      <c r="F36" s="4" t="s">
        <v>2807</v>
      </c>
      <c r="G36" s="4" t="s">
        <v>2808</v>
      </c>
      <c r="H36" s="4">
        <v>1</v>
      </c>
      <c r="I36" s="3"/>
    </row>
    <row r="37" spans="1:9" ht="27.75" customHeight="1">
      <c r="A37" s="4" t="s">
        <v>30</v>
      </c>
      <c r="B37" s="4" t="s">
        <v>2809</v>
      </c>
      <c r="C37" s="4" t="s">
        <v>2800</v>
      </c>
      <c r="D37" s="4" t="s">
        <v>10</v>
      </c>
      <c r="E37" s="4" t="s">
        <v>32</v>
      </c>
      <c r="F37" s="4" t="s">
        <v>2810</v>
      </c>
      <c r="G37" s="4" t="s">
        <v>2811</v>
      </c>
      <c r="H37" s="4">
        <v>6</v>
      </c>
      <c r="I37" s="3"/>
    </row>
    <row r="38" spans="1:9" ht="27.75" customHeight="1">
      <c r="A38" s="4" t="s">
        <v>30</v>
      </c>
      <c r="B38" s="4" t="s">
        <v>2796</v>
      </c>
      <c r="C38" s="4" t="s">
        <v>2800</v>
      </c>
      <c r="D38" s="4" t="s">
        <v>24</v>
      </c>
      <c r="E38" s="4" t="s">
        <v>33</v>
      </c>
      <c r="F38" s="4" t="s">
        <v>2812</v>
      </c>
      <c r="G38" s="4" t="s">
        <v>2813</v>
      </c>
      <c r="H38" s="4">
        <v>1</v>
      </c>
      <c r="I38" s="3"/>
    </row>
    <row r="39" spans="1:9" ht="27.75" customHeight="1">
      <c r="A39" s="4" t="s">
        <v>30</v>
      </c>
      <c r="B39" s="4" t="s">
        <v>2796</v>
      </c>
      <c r="C39" s="4" t="s">
        <v>2797</v>
      </c>
      <c r="D39" s="4" t="s">
        <v>25</v>
      </c>
      <c r="E39" s="4" t="s">
        <v>34</v>
      </c>
      <c r="F39" s="4" t="s">
        <v>2814</v>
      </c>
      <c r="G39" s="4" t="s">
        <v>2815</v>
      </c>
      <c r="H39" s="4">
        <v>1</v>
      </c>
      <c r="I39" s="3"/>
    </row>
    <row r="40" spans="1:9" ht="27.75" customHeight="1">
      <c r="A40" s="4" t="s">
        <v>30</v>
      </c>
      <c r="B40" s="4" t="s">
        <v>2796</v>
      </c>
      <c r="C40" s="4" t="s">
        <v>2797</v>
      </c>
      <c r="D40" s="4" t="s">
        <v>35</v>
      </c>
      <c r="E40" s="4" t="s">
        <v>710</v>
      </c>
      <c r="F40" s="4" t="s">
        <v>2816</v>
      </c>
      <c r="G40" s="4" t="s">
        <v>2817</v>
      </c>
      <c r="H40" s="4">
        <v>2</v>
      </c>
      <c r="I40" s="3"/>
    </row>
    <row r="41" spans="1:9" ht="27.75" customHeight="1">
      <c r="A41" s="4" t="s">
        <v>30</v>
      </c>
      <c r="B41" s="4" t="s">
        <v>2796</v>
      </c>
      <c r="C41" s="4" t="s">
        <v>2797</v>
      </c>
      <c r="D41" s="4" t="s">
        <v>36</v>
      </c>
      <c r="E41" s="4" t="s">
        <v>14</v>
      </c>
      <c r="F41" s="4" t="s">
        <v>2818</v>
      </c>
      <c r="G41" s="4" t="s">
        <v>2819</v>
      </c>
      <c r="H41" s="4">
        <v>1</v>
      </c>
      <c r="I41" s="3"/>
    </row>
    <row r="42" spans="1:9" ht="27.75" customHeight="1">
      <c r="A42" s="4" t="s">
        <v>30</v>
      </c>
      <c r="B42" s="4" t="s">
        <v>2796</v>
      </c>
      <c r="C42" s="4" t="s">
        <v>2800</v>
      </c>
      <c r="D42" s="4" t="s">
        <v>37</v>
      </c>
      <c r="E42" s="4" t="s">
        <v>38</v>
      </c>
      <c r="F42" s="4" t="s">
        <v>2820</v>
      </c>
      <c r="G42" s="4" t="s">
        <v>2821</v>
      </c>
      <c r="H42" s="4">
        <v>1</v>
      </c>
      <c r="I42" s="3"/>
    </row>
    <row r="43" spans="1:9" ht="27.75" customHeight="1">
      <c r="A43" s="4" t="s">
        <v>30</v>
      </c>
      <c r="B43" s="4" t="s">
        <v>2796</v>
      </c>
      <c r="C43" s="4" t="s">
        <v>2800</v>
      </c>
      <c r="D43" s="4" t="s">
        <v>39</v>
      </c>
      <c r="E43" s="4" t="s">
        <v>40</v>
      </c>
      <c r="F43" s="4" t="s">
        <v>2822</v>
      </c>
      <c r="G43" s="4" t="s">
        <v>2823</v>
      </c>
      <c r="H43" s="4">
        <v>1</v>
      </c>
      <c r="I43" s="3"/>
    </row>
    <row r="44" spans="1:9" ht="27.75" customHeight="1">
      <c r="A44" s="4" t="s">
        <v>30</v>
      </c>
      <c r="B44" s="4" t="s">
        <v>2796</v>
      </c>
      <c r="C44" s="4" t="s">
        <v>2800</v>
      </c>
      <c r="D44" s="4"/>
      <c r="E44" s="4" t="s">
        <v>711</v>
      </c>
      <c r="F44" s="28" t="s">
        <v>2824</v>
      </c>
      <c r="G44" s="28" t="s">
        <v>2825</v>
      </c>
      <c r="H44" s="4">
        <v>1</v>
      </c>
      <c r="I44" s="3"/>
    </row>
    <row r="45" spans="1:9" ht="25.5">
      <c r="A45" s="1" t="s">
        <v>712</v>
      </c>
      <c r="B45" s="1" t="s">
        <v>2826</v>
      </c>
      <c r="C45" s="1" t="s">
        <v>2827</v>
      </c>
      <c r="D45" s="1" t="s">
        <v>0</v>
      </c>
      <c r="E45" s="1" t="s">
        <v>618</v>
      </c>
      <c r="F45" s="1" t="s">
        <v>2828</v>
      </c>
      <c r="G45" s="1" t="s">
        <v>2829</v>
      </c>
      <c r="H45" s="1">
        <v>1</v>
      </c>
      <c r="I45" s="3">
        <v>0.51</v>
      </c>
    </row>
    <row r="46" spans="1:9" ht="25.5">
      <c r="A46" s="1" t="s">
        <v>617</v>
      </c>
      <c r="B46" s="1" t="s">
        <v>2826</v>
      </c>
      <c r="C46" s="1" t="s">
        <v>2830</v>
      </c>
      <c r="D46" s="1" t="s">
        <v>1</v>
      </c>
      <c r="E46" s="1" t="s">
        <v>619</v>
      </c>
      <c r="F46" s="1" t="s">
        <v>2831</v>
      </c>
      <c r="G46" s="1" t="s">
        <v>2832</v>
      </c>
      <c r="H46" s="1">
        <v>2</v>
      </c>
      <c r="I46" s="3"/>
    </row>
    <row r="47" spans="1:9" ht="25.5">
      <c r="A47" s="1" t="s">
        <v>617</v>
      </c>
      <c r="B47" s="1" t="s">
        <v>2826</v>
      </c>
      <c r="C47" s="1" t="s">
        <v>2833</v>
      </c>
      <c r="D47" s="1" t="s">
        <v>2</v>
      </c>
      <c r="E47" s="1" t="s">
        <v>620</v>
      </c>
      <c r="F47" s="1" t="s">
        <v>2834</v>
      </c>
      <c r="G47" s="1" t="s">
        <v>2835</v>
      </c>
      <c r="H47" s="1">
        <v>1</v>
      </c>
      <c r="I47" s="3"/>
    </row>
    <row r="48" spans="1:9" ht="25.5">
      <c r="A48" s="4" t="s">
        <v>617</v>
      </c>
      <c r="B48" s="4" t="s">
        <v>2826</v>
      </c>
      <c r="C48" s="4" t="s">
        <v>2830</v>
      </c>
      <c r="D48" s="4" t="s">
        <v>7</v>
      </c>
      <c r="E48" s="37" t="s">
        <v>17</v>
      </c>
      <c r="F48" s="4" t="s">
        <v>2836</v>
      </c>
      <c r="G48" s="4" t="s">
        <v>2738</v>
      </c>
      <c r="H48" s="4">
        <v>2</v>
      </c>
      <c r="I48" s="3"/>
    </row>
    <row r="49" spans="1:9" ht="25.5">
      <c r="A49" s="4" t="s">
        <v>617</v>
      </c>
      <c r="B49" s="4" t="s">
        <v>2826</v>
      </c>
      <c r="C49" s="4" t="s">
        <v>2830</v>
      </c>
      <c r="D49" s="4" t="s">
        <v>9</v>
      </c>
      <c r="E49" s="27" t="s">
        <v>126</v>
      </c>
      <c r="F49" s="4" t="s">
        <v>2836</v>
      </c>
      <c r="G49" s="4" t="s">
        <v>2738</v>
      </c>
      <c r="H49" s="4">
        <v>1</v>
      </c>
      <c r="I49" s="3"/>
    </row>
    <row r="50" spans="1:9" ht="25.5">
      <c r="A50" s="4" t="s">
        <v>617</v>
      </c>
      <c r="B50" s="4" t="s">
        <v>2826</v>
      </c>
      <c r="C50" s="4" t="s">
        <v>2830</v>
      </c>
      <c r="D50" s="4" t="s">
        <v>10</v>
      </c>
      <c r="E50" s="4" t="s">
        <v>621</v>
      </c>
      <c r="F50" s="4" t="s">
        <v>2837</v>
      </c>
      <c r="G50" s="4" t="s">
        <v>2832</v>
      </c>
      <c r="H50" s="4">
        <v>3</v>
      </c>
      <c r="I50" s="3"/>
    </row>
    <row r="51" spans="1:9" ht="25.5">
      <c r="A51" s="4" t="s">
        <v>713</v>
      </c>
      <c r="B51" s="4" t="s">
        <v>2826</v>
      </c>
      <c r="C51" s="4" t="s">
        <v>2833</v>
      </c>
      <c r="D51" s="4" t="s">
        <v>0</v>
      </c>
      <c r="E51" s="4" t="s">
        <v>714</v>
      </c>
      <c r="F51" s="4" t="s">
        <v>2838</v>
      </c>
      <c r="G51" s="4" t="s">
        <v>2839</v>
      </c>
      <c r="H51" s="4">
        <v>1</v>
      </c>
      <c r="I51" s="3">
        <v>1.19</v>
      </c>
    </row>
    <row r="52" spans="1:9" ht="25.5">
      <c r="A52" s="4" t="s">
        <v>341</v>
      </c>
      <c r="B52" s="4" t="s">
        <v>2826</v>
      </c>
      <c r="C52" s="4" t="s">
        <v>2827</v>
      </c>
      <c r="D52" s="4" t="s">
        <v>1</v>
      </c>
      <c r="E52" s="4" t="s">
        <v>342</v>
      </c>
      <c r="F52" s="4" t="s">
        <v>2840</v>
      </c>
      <c r="G52" s="4" t="s">
        <v>2841</v>
      </c>
      <c r="H52" s="4">
        <v>1</v>
      </c>
      <c r="I52" s="3"/>
    </row>
    <row r="53" spans="1:9" ht="25.5">
      <c r="A53" s="4" t="s">
        <v>341</v>
      </c>
      <c r="B53" s="4" t="s">
        <v>2826</v>
      </c>
      <c r="C53" s="4" t="s">
        <v>2830</v>
      </c>
      <c r="D53" s="4" t="s">
        <v>2</v>
      </c>
      <c r="E53" s="4" t="s">
        <v>204</v>
      </c>
      <c r="F53" s="4" t="s">
        <v>2842</v>
      </c>
      <c r="G53" s="4" t="s">
        <v>2843</v>
      </c>
      <c r="H53" s="4">
        <v>1</v>
      </c>
      <c r="I53" s="3"/>
    </row>
    <row r="54" spans="1:9" ht="25.5">
      <c r="A54" s="4" t="s">
        <v>341</v>
      </c>
      <c r="B54" s="4" t="s">
        <v>2826</v>
      </c>
      <c r="C54" s="4" t="s">
        <v>2844</v>
      </c>
      <c r="D54" s="4" t="s">
        <v>7</v>
      </c>
      <c r="E54" s="4" t="s">
        <v>14</v>
      </c>
      <c r="F54" s="4" t="s">
        <v>2818</v>
      </c>
      <c r="G54" s="4" t="s">
        <v>2845</v>
      </c>
      <c r="H54" s="4">
        <v>3</v>
      </c>
      <c r="I54" s="3"/>
    </row>
    <row r="55" spans="1:9" ht="25.5">
      <c r="A55" s="4" t="s">
        <v>341</v>
      </c>
      <c r="B55" s="4" t="s">
        <v>2826</v>
      </c>
      <c r="C55" s="4" t="s">
        <v>2833</v>
      </c>
      <c r="D55" s="4" t="s">
        <v>9</v>
      </c>
      <c r="E55" s="4" t="s">
        <v>343</v>
      </c>
      <c r="F55" s="4" t="s">
        <v>2818</v>
      </c>
      <c r="G55" s="4" t="s">
        <v>2845</v>
      </c>
      <c r="H55" s="4">
        <v>1</v>
      </c>
      <c r="I55" s="3"/>
    </row>
    <row r="56" spans="1:9" ht="27.75" customHeight="1">
      <c r="A56" s="38" t="s">
        <v>715</v>
      </c>
      <c r="B56" s="38" t="s">
        <v>2846</v>
      </c>
      <c r="C56" s="38" t="s">
        <v>2847</v>
      </c>
      <c r="D56" s="38" t="s">
        <v>697</v>
      </c>
      <c r="E56" s="39" t="s">
        <v>716</v>
      </c>
      <c r="F56" s="39" t="s">
        <v>2848</v>
      </c>
      <c r="G56" s="39" t="s">
        <v>2849</v>
      </c>
      <c r="H56" s="40" t="s">
        <v>41</v>
      </c>
      <c r="I56" s="3">
        <v>0.2</v>
      </c>
    </row>
    <row r="57" spans="1:9" ht="27.75" customHeight="1">
      <c r="A57" s="38" t="s">
        <v>715</v>
      </c>
      <c r="B57" s="38" t="s">
        <v>2846</v>
      </c>
      <c r="C57" s="38" t="s">
        <v>2847</v>
      </c>
      <c r="D57" s="38" t="s">
        <v>717</v>
      </c>
      <c r="E57" s="39" t="s">
        <v>718</v>
      </c>
      <c r="F57" s="39" t="s">
        <v>2850</v>
      </c>
      <c r="G57" s="39" t="s">
        <v>2851</v>
      </c>
      <c r="H57" s="40" t="s">
        <v>41</v>
      </c>
      <c r="I57" s="3"/>
    </row>
    <row r="58" spans="1:9" ht="27.75" customHeight="1">
      <c r="A58" s="38" t="s">
        <v>715</v>
      </c>
      <c r="B58" s="38" t="s">
        <v>2846</v>
      </c>
      <c r="C58" s="38" t="s">
        <v>2852</v>
      </c>
      <c r="D58" s="38" t="s">
        <v>2</v>
      </c>
      <c r="E58" s="34" t="s">
        <v>719</v>
      </c>
      <c r="F58" s="34" t="s">
        <v>2737</v>
      </c>
      <c r="G58" s="34" t="s">
        <v>2738</v>
      </c>
      <c r="H58" s="40" t="s">
        <v>42</v>
      </c>
      <c r="I58" s="3"/>
    </row>
    <row r="59" spans="1:9" ht="27.75" customHeight="1">
      <c r="A59" s="38" t="s">
        <v>43</v>
      </c>
      <c r="B59" s="38" t="s">
        <v>2846</v>
      </c>
      <c r="C59" s="38" t="s">
        <v>2853</v>
      </c>
      <c r="D59" s="38"/>
      <c r="E59" s="34" t="s">
        <v>44</v>
      </c>
      <c r="F59" s="34" t="s">
        <v>2854</v>
      </c>
      <c r="G59" s="34" t="s">
        <v>2855</v>
      </c>
      <c r="H59" s="40" t="s">
        <v>41</v>
      </c>
      <c r="I59" s="3"/>
    </row>
    <row r="60" spans="1:9" ht="27.75" customHeight="1">
      <c r="A60" s="38" t="s">
        <v>720</v>
      </c>
      <c r="B60" s="41" t="s">
        <v>2856</v>
      </c>
      <c r="C60" s="41" t="s">
        <v>2857</v>
      </c>
      <c r="D60" s="41" t="s">
        <v>721</v>
      </c>
      <c r="E60" s="42" t="s">
        <v>722</v>
      </c>
      <c r="F60" s="34" t="s">
        <v>2854</v>
      </c>
      <c r="G60" s="34" t="s">
        <v>2858</v>
      </c>
      <c r="H60" s="42">
        <v>1</v>
      </c>
      <c r="I60" s="3">
        <v>0.14000000000000001</v>
      </c>
    </row>
    <row r="61" spans="1:9" ht="27.75" customHeight="1">
      <c r="A61" s="38" t="s">
        <v>720</v>
      </c>
      <c r="B61" s="41" t="s">
        <v>2856</v>
      </c>
      <c r="C61" s="41" t="s">
        <v>2859</v>
      </c>
      <c r="D61" s="41" t="s">
        <v>701</v>
      </c>
      <c r="E61" s="43" t="s">
        <v>719</v>
      </c>
      <c r="F61" s="43" t="s">
        <v>2860</v>
      </c>
      <c r="G61" s="43" t="s">
        <v>2861</v>
      </c>
      <c r="H61" s="42">
        <v>1</v>
      </c>
      <c r="I61" s="3"/>
    </row>
    <row r="62" spans="1:9" ht="27.75" customHeight="1">
      <c r="A62" s="4" t="s">
        <v>45</v>
      </c>
      <c r="B62" s="4" t="s">
        <v>2862</v>
      </c>
      <c r="C62" s="4" t="s">
        <v>2863</v>
      </c>
      <c r="D62" s="4" t="s">
        <v>0</v>
      </c>
      <c r="E62" s="4" t="s">
        <v>46</v>
      </c>
      <c r="F62" s="4" t="s">
        <v>2864</v>
      </c>
      <c r="G62" s="4" t="s">
        <v>2865</v>
      </c>
      <c r="H62" s="4">
        <v>2</v>
      </c>
      <c r="I62" s="3">
        <v>0.82</v>
      </c>
    </row>
    <row r="63" spans="1:9" ht="27.75" customHeight="1">
      <c r="A63" s="4" t="s">
        <v>45</v>
      </c>
      <c r="B63" s="4" t="s">
        <v>2862</v>
      </c>
      <c r="C63" s="4" t="s">
        <v>2866</v>
      </c>
      <c r="D63" s="4" t="s">
        <v>1</v>
      </c>
      <c r="E63" s="4" t="s">
        <v>47</v>
      </c>
      <c r="F63" s="4" t="s">
        <v>2867</v>
      </c>
      <c r="G63" s="4" t="s">
        <v>2868</v>
      </c>
      <c r="H63" s="4">
        <v>2</v>
      </c>
      <c r="I63" s="3"/>
    </row>
    <row r="64" spans="1:9" ht="27.75" customHeight="1">
      <c r="A64" s="4" t="s">
        <v>45</v>
      </c>
      <c r="B64" s="4" t="s">
        <v>2862</v>
      </c>
      <c r="C64" s="4" t="s">
        <v>2863</v>
      </c>
      <c r="D64" s="4" t="s">
        <v>2</v>
      </c>
      <c r="E64" s="34" t="s">
        <v>723</v>
      </c>
      <c r="F64" s="34" t="s">
        <v>2869</v>
      </c>
      <c r="G64" s="34" t="s">
        <v>2870</v>
      </c>
      <c r="H64" s="4">
        <v>1</v>
      </c>
      <c r="I64" s="3"/>
    </row>
    <row r="65" spans="1:9" ht="27.75" customHeight="1">
      <c r="A65" s="4" t="s">
        <v>45</v>
      </c>
      <c r="B65" s="4" t="s">
        <v>2862</v>
      </c>
      <c r="C65" s="4" t="s">
        <v>2863</v>
      </c>
      <c r="D65" s="4" t="s">
        <v>7</v>
      </c>
      <c r="E65" s="34" t="s">
        <v>48</v>
      </c>
      <c r="F65" s="34" t="s">
        <v>2871</v>
      </c>
      <c r="G65" s="34" t="s">
        <v>2872</v>
      </c>
      <c r="H65" s="4">
        <v>1</v>
      </c>
      <c r="I65" s="3"/>
    </row>
    <row r="66" spans="1:9" ht="27.75" customHeight="1">
      <c r="A66" s="4" t="s">
        <v>45</v>
      </c>
      <c r="B66" s="4" t="s">
        <v>2862</v>
      </c>
      <c r="C66" s="4" t="s">
        <v>2866</v>
      </c>
      <c r="D66" s="30"/>
      <c r="E66" s="44" t="s">
        <v>724</v>
      </c>
      <c r="F66" s="44" t="s">
        <v>2873</v>
      </c>
      <c r="G66" s="44" t="s">
        <v>2874</v>
      </c>
      <c r="H66" s="4">
        <v>1</v>
      </c>
      <c r="I66" s="3"/>
    </row>
    <row r="67" spans="1:9" ht="27.75" customHeight="1">
      <c r="A67" s="4" t="s">
        <v>45</v>
      </c>
      <c r="B67" s="4" t="s">
        <v>2862</v>
      </c>
      <c r="C67" s="4" t="s">
        <v>2866</v>
      </c>
      <c r="D67" s="4" t="s">
        <v>0</v>
      </c>
      <c r="E67" s="4" t="s">
        <v>46</v>
      </c>
      <c r="F67" s="4" t="s">
        <v>2864</v>
      </c>
      <c r="G67" s="4" t="s">
        <v>2865</v>
      </c>
      <c r="H67" s="4">
        <v>2</v>
      </c>
      <c r="I67" s="3">
        <v>0.82</v>
      </c>
    </row>
    <row r="68" spans="1:9" ht="27.75" customHeight="1">
      <c r="A68" s="4" t="s">
        <v>45</v>
      </c>
      <c r="B68" s="4" t="s">
        <v>2862</v>
      </c>
      <c r="C68" s="4" t="s">
        <v>2866</v>
      </c>
      <c r="D68" s="4" t="s">
        <v>1</v>
      </c>
      <c r="E68" s="4" t="s">
        <v>47</v>
      </c>
      <c r="F68" s="4" t="s">
        <v>2867</v>
      </c>
      <c r="G68" s="4" t="s">
        <v>2868</v>
      </c>
      <c r="H68" s="4">
        <v>2</v>
      </c>
      <c r="I68" s="3"/>
    </row>
    <row r="69" spans="1:9" ht="27.75" customHeight="1">
      <c r="A69" s="4" t="s">
        <v>45</v>
      </c>
      <c r="B69" s="4" t="s">
        <v>2862</v>
      </c>
      <c r="C69" s="4" t="s">
        <v>2863</v>
      </c>
      <c r="D69" s="4" t="s">
        <v>2</v>
      </c>
      <c r="E69" s="34" t="s">
        <v>725</v>
      </c>
      <c r="F69" s="34" t="s">
        <v>2875</v>
      </c>
      <c r="G69" s="34" t="s">
        <v>2876</v>
      </c>
      <c r="H69" s="34">
        <v>1</v>
      </c>
      <c r="I69" s="3"/>
    </row>
    <row r="70" spans="1:9" ht="27.75" customHeight="1">
      <c r="A70" s="4" t="s">
        <v>45</v>
      </c>
      <c r="B70" s="4" t="s">
        <v>2862</v>
      </c>
      <c r="C70" s="4" t="s">
        <v>2863</v>
      </c>
      <c r="D70" s="4" t="s">
        <v>7</v>
      </c>
      <c r="E70" s="34" t="s">
        <v>726</v>
      </c>
      <c r="F70" s="34" t="s">
        <v>2877</v>
      </c>
      <c r="G70" s="34" t="s">
        <v>2878</v>
      </c>
      <c r="H70" s="34">
        <v>1</v>
      </c>
      <c r="I70" s="3"/>
    </row>
    <row r="71" spans="1:9" ht="27.75" customHeight="1">
      <c r="A71" s="4" t="s">
        <v>45</v>
      </c>
      <c r="B71" s="4" t="s">
        <v>2862</v>
      </c>
      <c r="C71" s="4" t="s">
        <v>2866</v>
      </c>
      <c r="D71" s="30"/>
      <c r="E71" s="44" t="s">
        <v>727</v>
      </c>
      <c r="F71" s="44" t="s">
        <v>2879</v>
      </c>
      <c r="G71" s="44" t="s">
        <v>2880</v>
      </c>
      <c r="H71" s="4">
        <v>1</v>
      </c>
      <c r="I71" s="3"/>
    </row>
    <row r="72" spans="1:9" ht="25.5">
      <c r="A72" s="45" t="s">
        <v>203</v>
      </c>
      <c r="B72" s="45" t="s">
        <v>2881</v>
      </c>
      <c r="C72" s="45" t="s">
        <v>2882</v>
      </c>
      <c r="D72" s="45" t="s">
        <v>0</v>
      </c>
      <c r="E72" s="46" t="s">
        <v>724</v>
      </c>
      <c r="F72" s="46" t="s">
        <v>2883</v>
      </c>
      <c r="G72" s="46" t="s">
        <v>2884</v>
      </c>
      <c r="H72" s="47">
        <v>1</v>
      </c>
      <c r="I72" s="3">
        <v>1.1200000000000001</v>
      </c>
    </row>
    <row r="73" spans="1:9" ht="25.5">
      <c r="A73" s="45" t="s">
        <v>728</v>
      </c>
      <c r="B73" s="45" t="s">
        <v>2881</v>
      </c>
      <c r="C73" s="45" t="s">
        <v>2882</v>
      </c>
      <c r="D73" s="45" t="s">
        <v>0</v>
      </c>
      <c r="E73" s="46" t="s">
        <v>727</v>
      </c>
      <c r="F73" s="46" t="s">
        <v>2885</v>
      </c>
      <c r="G73" s="46" t="s">
        <v>2886</v>
      </c>
      <c r="H73" s="47">
        <v>1</v>
      </c>
      <c r="I73" s="3"/>
    </row>
    <row r="74" spans="1:9" ht="25.5">
      <c r="A74" s="45" t="s">
        <v>203</v>
      </c>
      <c r="B74" s="45" t="s">
        <v>2881</v>
      </c>
      <c r="C74" s="45" t="s">
        <v>2887</v>
      </c>
      <c r="D74" s="45" t="s">
        <v>1</v>
      </c>
      <c r="E74" s="48" t="s">
        <v>729</v>
      </c>
      <c r="F74" s="45" t="s">
        <v>2888</v>
      </c>
      <c r="G74" s="45" t="s">
        <v>2889</v>
      </c>
      <c r="H74" s="47">
        <v>6</v>
      </c>
      <c r="I74" s="3"/>
    </row>
    <row r="75" spans="1:9" ht="25.5">
      <c r="A75" s="45" t="s">
        <v>203</v>
      </c>
      <c r="B75" s="45" t="s">
        <v>2881</v>
      </c>
      <c r="C75" s="45" t="s">
        <v>2887</v>
      </c>
      <c r="D75" s="45" t="s">
        <v>2</v>
      </c>
      <c r="E75" s="48" t="s">
        <v>204</v>
      </c>
      <c r="F75" s="45" t="s">
        <v>2890</v>
      </c>
      <c r="G75" s="45" t="s">
        <v>2843</v>
      </c>
      <c r="H75" s="47">
        <v>2</v>
      </c>
      <c r="I75" s="3"/>
    </row>
    <row r="76" spans="1:9" ht="27.75" customHeight="1">
      <c r="A76" s="4" t="s">
        <v>730</v>
      </c>
      <c r="B76" s="4" t="s">
        <v>2891</v>
      </c>
      <c r="C76" s="4" t="s">
        <v>2892</v>
      </c>
      <c r="D76" s="4" t="s">
        <v>0</v>
      </c>
      <c r="E76" s="49" t="s">
        <v>731</v>
      </c>
      <c r="F76" s="49" t="s">
        <v>2893</v>
      </c>
      <c r="G76" s="49" t="s">
        <v>2894</v>
      </c>
      <c r="H76" s="4">
        <v>0</v>
      </c>
      <c r="I76" s="3">
        <v>0.73</v>
      </c>
    </row>
    <row r="77" spans="1:9" ht="27.75" customHeight="1">
      <c r="A77" s="4" t="s">
        <v>49</v>
      </c>
      <c r="B77" s="4" t="s">
        <v>2891</v>
      </c>
      <c r="C77" s="4" t="s">
        <v>2892</v>
      </c>
      <c r="D77" s="4" t="s">
        <v>0</v>
      </c>
      <c r="E77" s="4" t="s">
        <v>50</v>
      </c>
      <c r="F77" s="4" t="s">
        <v>2895</v>
      </c>
      <c r="G77" s="4" t="s">
        <v>2894</v>
      </c>
      <c r="H77" s="4">
        <v>1</v>
      </c>
      <c r="I77" s="3">
        <v>0.87</v>
      </c>
    </row>
    <row r="78" spans="1:9" ht="27.75" customHeight="1">
      <c r="A78" s="4" t="s">
        <v>49</v>
      </c>
      <c r="B78" s="4" t="s">
        <v>2891</v>
      </c>
      <c r="C78" s="4" t="s">
        <v>2896</v>
      </c>
      <c r="D78" s="4" t="s">
        <v>1</v>
      </c>
      <c r="E78" s="50" t="s">
        <v>51</v>
      </c>
      <c r="F78" s="4" t="s">
        <v>2897</v>
      </c>
      <c r="G78" s="4" t="s">
        <v>2898</v>
      </c>
      <c r="H78" s="4">
        <v>1</v>
      </c>
      <c r="I78" s="3"/>
    </row>
    <row r="79" spans="1:9" ht="27.75" customHeight="1">
      <c r="A79" s="4" t="s">
        <v>49</v>
      </c>
      <c r="B79" s="4" t="s">
        <v>2891</v>
      </c>
      <c r="C79" s="4" t="s">
        <v>2896</v>
      </c>
      <c r="D79" s="4" t="s">
        <v>2</v>
      </c>
      <c r="E79" s="4" t="s">
        <v>52</v>
      </c>
      <c r="F79" s="4" t="s">
        <v>2899</v>
      </c>
      <c r="G79" s="4" t="s">
        <v>2900</v>
      </c>
      <c r="H79" s="4">
        <v>1</v>
      </c>
      <c r="I79" s="3"/>
    </row>
    <row r="80" spans="1:9" ht="27.75" customHeight="1">
      <c r="A80" s="4" t="s">
        <v>49</v>
      </c>
      <c r="B80" s="4" t="s">
        <v>2891</v>
      </c>
      <c r="C80" s="4" t="s">
        <v>2896</v>
      </c>
      <c r="D80" s="4" t="s">
        <v>7</v>
      </c>
      <c r="E80" s="4" t="s">
        <v>53</v>
      </c>
      <c r="F80" s="4" t="s">
        <v>2901</v>
      </c>
      <c r="G80" s="4" t="s">
        <v>2902</v>
      </c>
      <c r="H80" s="4">
        <v>1</v>
      </c>
      <c r="I80" s="3"/>
    </row>
    <row r="81" spans="1:9" ht="20.25" customHeight="1">
      <c r="A81" s="4" t="s">
        <v>49</v>
      </c>
      <c r="B81" s="4" t="s">
        <v>2891</v>
      </c>
      <c r="C81" s="4" t="s">
        <v>2896</v>
      </c>
      <c r="D81" s="4" t="s">
        <v>9</v>
      </c>
      <c r="E81" s="4" t="s">
        <v>732</v>
      </c>
      <c r="F81" s="4" t="s">
        <v>2903</v>
      </c>
      <c r="G81" s="4" t="s">
        <v>2904</v>
      </c>
      <c r="H81" s="4">
        <v>1</v>
      </c>
      <c r="I81" s="3"/>
    </row>
    <row r="82" spans="1:9" ht="20.25" customHeight="1">
      <c r="A82" s="4" t="s">
        <v>49</v>
      </c>
      <c r="B82" s="4" t="s">
        <v>2891</v>
      </c>
      <c r="C82" s="4" t="s">
        <v>2896</v>
      </c>
      <c r="D82" s="4"/>
      <c r="E82" s="51" t="s">
        <v>733</v>
      </c>
      <c r="F82" s="52" t="s">
        <v>2905</v>
      </c>
      <c r="G82" s="52" t="s">
        <v>2896</v>
      </c>
      <c r="H82" s="49">
        <v>0</v>
      </c>
      <c r="I82" s="3"/>
    </row>
    <row r="83" spans="1:9" ht="20.25" customHeight="1">
      <c r="A83" s="4" t="s">
        <v>49</v>
      </c>
      <c r="B83" s="4" t="s">
        <v>2891</v>
      </c>
      <c r="C83" s="4" t="s">
        <v>2896</v>
      </c>
      <c r="D83" s="4"/>
      <c r="E83" s="51" t="s">
        <v>734</v>
      </c>
      <c r="F83" s="52" t="s">
        <v>2905</v>
      </c>
      <c r="G83" s="52" t="s">
        <v>2892</v>
      </c>
      <c r="H83" s="49">
        <v>1</v>
      </c>
      <c r="I83" s="3"/>
    </row>
    <row r="84" spans="1:9" ht="25.5">
      <c r="A84" s="4" t="s">
        <v>633</v>
      </c>
      <c r="B84" s="4" t="s">
        <v>2906</v>
      </c>
      <c r="C84" s="4" t="s">
        <v>2892</v>
      </c>
      <c r="D84" s="4" t="s">
        <v>0</v>
      </c>
      <c r="E84" s="51" t="s">
        <v>733</v>
      </c>
      <c r="F84" s="52" t="s">
        <v>2905</v>
      </c>
      <c r="G84" s="52" t="s">
        <v>2907</v>
      </c>
      <c r="H84" s="49">
        <v>0</v>
      </c>
      <c r="I84" s="3">
        <v>1.454</v>
      </c>
    </row>
    <row r="85" spans="1:9" ht="25.5">
      <c r="A85" s="4" t="s">
        <v>633</v>
      </c>
      <c r="B85" s="4" t="s">
        <v>2906</v>
      </c>
      <c r="C85" s="4" t="s">
        <v>2892</v>
      </c>
      <c r="D85" s="4" t="s">
        <v>0</v>
      </c>
      <c r="E85" s="51" t="s">
        <v>734</v>
      </c>
      <c r="F85" s="52" t="s">
        <v>2905</v>
      </c>
      <c r="G85" s="52" t="s">
        <v>2892</v>
      </c>
      <c r="H85" s="49">
        <v>1</v>
      </c>
      <c r="I85" s="3">
        <v>1.454</v>
      </c>
    </row>
    <row r="86" spans="1:9" ht="38.25">
      <c r="A86" s="4" t="s">
        <v>374</v>
      </c>
      <c r="B86" s="4" t="s">
        <v>2908</v>
      </c>
      <c r="C86" s="4" t="s">
        <v>2909</v>
      </c>
      <c r="D86" s="4" t="s">
        <v>0</v>
      </c>
      <c r="E86" s="53" t="s">
        <v>735</v>
      </c>
      <c r="F86" s="53" t="s">
        <v>2910</v>
      </c>
      <c r="G86" s="53" t="s">
        <v>2911</v>
      </c>
      <c r="H86" s="49">
        <v>0</v>
      </c>
      <c r="I86" s="3"/>
    </row>
    <row r="87" spans="1:9" ht="38.25">
      <c r="A87" s="4" t="s">
        <v>374</v>
      </c>
      <c r="B87" s="4" t="s">
        <v>2908</v>
      </c>
      <c r="C87" s="4" t="s">
        <v>2912</v>
      </c>
      <c r="D87" s="4" t="s">
        <v>0</v>
      </c>
      <c r="E87" s="53" t="s">
        <v>736</v>
      </c>
      <c r="F87" s="53" t="s">
        <v>2910</v>
      </c>
      <c r="G87" s="53" t="s">
        <v>2911</v>
      </c>
      <c r="H87" s="49">
        <v>1</v>
      </c>
      <c r="I87" s="3"/>
    </row>
    <row r="88" spans="1:9" ht="38.25">
      <c r="A88" s="4" t="s">
        <v>374</v>
      </c>
      <c r="B88" s="4" t="s">
        <v>2908</v>
      </c>
      <c r="C88" s="4" t="s">
        <v>2913</v>
      </c>
      <c r="D88" s="4" t="s">
        <v>1</v>
      </c>
      <c r="E88" s="4" t="s">
        <v>737</v>
      </c>
      <c r="F88" s="4" t="s">
        <v>2914</v>
      </c>
      <c r="G88" s="4" t="s">
        <v>2915</v>
      </c>
      <c r="H88" s="4">
        <v>1</v>
      </c>
      <c r="I88" s="3"/>
    </row>
    <row r="89" spans="1:9" ht="38.25">
      <c r="A89" s="4" t="s">
        <v>374</v>
      </c>
      <c r="B89" s="4" t="s">
        <v>2908</v>
      </c>
      <c r="C89" s="4" t="s">
        <v>2909</v>
      </c>
      <c r="D89" s="4" t="s">
        <v>2</v>
      </c>
      <c r="E89" s="4" t="s">
        <v>375</v>
      </c>
      <c r="F89" s="4" t="s">
        <v>2916</v>
      </c>
      <c r="G89" s="4" t="s">
        <v>2917</v>
      </c>
      <c r="H89" s="4">
        <v>1</v>
      </c>
      <c r="I89" s="3"/>
    </row>
    <row r="90" spans="1:9" ht="38.25">
      <c r="A90" s="4" t="s">
        <v>79</v>
      </c>
      <c r="B90" s="4" t="s">
        <v>2918</v>
      </c>
      <c r="C90" s="4" t="s">
        <v>2919</v>
      </c>
      <c r="D90" s="4" t="s">
        <v>0</v>
      </c>
      <c r="E90" s="4" t="s">
        <v>738</v>
      </c>
      <c r="F90" s="4" t="s">
        <v>2920</v>
      </c>
      <c r="G90" s="4" t="s">
        <v>2921</v>
      </c>
      <c r="H90" s="4">
        <v>1</v>
      </c>
      <c r="I90" s="3">
        <v>1.02</v>
      </c>
    </row>
    <row r="91" spans="1:9" ht="38.25">
      <c r="A91" s="4" t="s">
        <v>79</v>
      </c>
      <c r="B91" s="4" t="s">
        <v>2918</v>
      </c>
      <c r="C91" s="4" t="s">
        <v>2922</v>
      </c>
      <c r="D91" s="4" t="s">
        <v>0</v>
      </c>
      <c r="E91" s="54" t="s">
        <v>739</v>
      </c>
      <c r="F91" s="55" t="s">
        <v>2923</v>
      </c>
      <c r="G91" s="55" t="s">
        <v>2924</v>
      </c>
      <c r="H91" s="49">
        <v>0</v>
      </c>
      <c r="I91" s="3"/>
    </row>
    <row r="92" spans="1:9" ht="38.25">
      <c r="A92" s="4" t="s">
        <v>740</v>
      </c>
      <c r="B92" s="4" t="s">
        <v>2918</v>
      </c>
      <c r="C92" s="4" t="s">
        <v>2925</v>
      </c>
      <c r="D92" s="4" t="s">
        <v>0</v>
      </c>
      <c r="E92" s="4" t="s">
        <v>80</v>
      </c>
      <c r="F92" s="4" t="s">
        <v>2926</v>
      </c>
      <c r="G92" s="4" t="s">
        <v>2927</v>
      </c>
      <c r="H92" s="4">
        <v>1</v>
      </c>
      <c r="I92" s="3"/>
    </row>
    <row r="93" spans="1:9" ht="38.25">
      <c r="A93" s="4" t="s">
        <v>79</v>
      </c>
      <c r="B93" s="4" t="s">
        <v>2918</v>
      </c>
      <c r="C93" s="4" t="s">
        <v>2922</v>
      </c>
      <c r="D93" s="4" t="s">
        <v>0</v>
      </c>
      <c r="E93" s="55" t="s">
        <v>741</v>
      </c>
      <c r="F93" s="55" t="s">
        <v>2928</v>
      </c>
      <c r="G93" s="55" t="s">
        <v>2929</v>
      </c>
      <c r="H93" s="49">
        <v>0</v>
      </c>
      <c r="I93" s="3"/>
    </row>
    <row r="94" spans="1:9" ht="25.5">
      <c r="A94" s="4" t="s">
        <v>742</v>
      </c>
      <c r="B94" s="4" t="s">
        <v>2930</v>
      </c>
      <c r="C94" s="4" t="s">
        <v>2931</v>
      </c>
      <c r="D94" s="4" t="s">
        <v>0</v>
      </c>
      <c r="E94" s="4" t="s">
        <v>81</v>
      </c>
      <c r="F94" s="4" t="s">
        <v>2932</v>
      </c>
      <c r="G94" s="4" t="s">
        <v>2933</v>
      </c>
      <c r="H94" s="4">
        <v>1</v>
      </c>
      <c r="I94" s="3">
        <v>0.05</v>
      </c>
    </row>
    <row r="95" spans="1:9" ht="25.5">
      <c r="A95" s="4" t="s">
        <v>743</v>
      </c>
      <c r="B95" s="4" t="s">
        <v>2934</v>
      </c>
      <c r="C95" s="4" t="s">
        <v>2935</v>
      </c>
      <c r="D95" s="4" t="s">
        <v>0</v>
      </c>
      <c r="E95" s="49" t="s">
        <v>744</v>
      </c>
      <c r="F95" s="49" t="s">
        <v>2936</v>
      </c>
      <c r="G95" s="49" t="s">
        <v>2935</v>
      </c>
      <c r="H95" s="49">
        <v>0</v>
      </c>
      <c r="I95" s="3">
        <v>1.4650000000000001</v>
      </c>
    </row>
    <row r="96" spans="1:9" ht="25.5">
      <c r="A96" s="4" t="s">
        <v>743</v>
      </c>
      <c r="B96" s="4" t="s">
        <v>2934</v>
      </c>
      <c r="C96" s="4" t="s">
        <v>2935</v>
      </c>
      <c r="D96" s="4" t="s">
        <v>0</v>
      </c>
      <c r="E96" s="49" t="s">
        <v>745</v>
      </c>
      <c r="F96" s="49" t="s">
        <v>2937</v>
      </c>
      <c r="G96" s="49" t="s">
        <v>2935</v>
      </c>
      <c r="H96" s="49">
        <v>1</v>
      </c>
      <c r="I96" s="3">
        <v>1.4650000000000001</v>
      </c>
    </row>
    <row r="97" spans="1:9" ht="25.5">
      <c r="A97" s="4" t="s">
        <v>82</v>
      </c>
      <c r="B97" s="4" t="s">
        <v>2934</v>
      </c>
      <c r="C97" s="4" t="s">
        <v>2935</v>
      </c>
      <c r="D97" s="4" t="s">
        <v>1</v>
      </c>
      <c r="E97" s="4" t="s">
        <v>83</v>
      </c>
      <c r="F97" s="4" t="s">
        <v>2938</v>
      </c>
      <c r="G97" s="4" t="s">
        <v>2939</v>
      </c>
      <c r="H97" s="4">
        <v>1</v>
      </c>
      <c r="I97" s="3"/>
    </row>
    <row r="98" spans="1:9" ht="25.5">
      <c r="A98" s="4" t="s">
        <v>82</v>
      </c>
      <c r="B98" s="4" t="s">
        <v>2934</v>
      </c>
      <c r="C98" s="4" t="s">
        <v>2940</v>
      </c>
      <c r="D98" s="30"/>
      <c r="E98" s="56" t="s">
        <v>746</v>
      </c>
      <c r="F98" s="52" t="s">
        <v>2941</v>
      </c>
      <c r="G98" s="52" t="s">
        <v>2942</v>
      </c>
      <c r="H98" s="49">
        <v>0</v>
      </c>
      <c r="I98" s="3"/>
    </row>
    <row r="99" spans="1:9" ht="25.5">
      <c r="A99" s="4" t="s">
        <v>82</v>
      </c>
      <c r="B99" s="4" t="s">
        <v>2934</v>
      </c>
      <c r="C99" s="4" t="s">
        <v>2940</v>
      </c>
      <c r="D99" s="30"/>
      <c r="E99" s="52" t="s">
        <v>747</v>
      </c>
      <c r="F99" s="52" t="s">
        <v>2941</v>
      </c>
      <c r="G99" s="52" t="s">
        <v>2942</v>
      </c>
      <c r="H99" s="49">
        <v>1</v>
      </c>
      <c r="I99" s="3"/>
    </row>
    <row r="100" spans="1:9" ht="25.5">
      <c r="A100" s="4" t="s">
        <v>456</v>
      </c>
      <c r="B100" s="4" t="s">
        <v>2943</v>
      </c>
      <c r="C100" s="4" t="s">
        <v>2944</v>
      </c>
      <c r="D100" s="4" t="s">
        <v>0</v>
      </c>
      <c r="E100" s="4" t="s">
        <v>457</v>
      </c>
      <c r="F100" s="4" t="s">
        <v>2945</v>
      </c>
      <c r="G100" s="4" t="s">
        <v>2946</v>
      </c>
      <c r="H100" s="4">
        <v>1</v>
      </c>
      <c r="I100" s="3">
        <v>0.54</v>
      </c>
    </row>
    <row r="101" spans="1:9" ht="25.5">
      <c r="A101" s="4" t="s">
        <v>456</v>
      </c>
      <c r="B101" s="4" t="s">
        <v>2943</v>
      </c>
      <c r="C101" s="4" t="s">
        <v>2944</v>
      </c>
      <c r="D101" s="4" t="s">
        <v>0</v>
      </c>
      <c r="E101" s="4" t="s">
        <v>748</v>
      </c>
      <c r="F101" s="4" t="s">
        <v>2947</v>
      </c>
      <c r="G101" s="4" t="s">
        <v>2948</v>
      </c>
      <c r="H101" s="4">
        <v>1</v>
      </c>
      <c r="I101" s="3"/>
    </row>
    <row r="102" spans="1:9" ht="25.5">
      <c r="A102" s="4" t="s">
        <v>456</v>
      </c>
      <c r="B102" s="4" t="s">
        <v>2943</v>
      </c>
      <c r="C102" s="4" t="s">
        <v>2944</v>
      </c>
      <c r="D102" s="4" t="s">
        <v>1</v>
      </c>
      <c r="E102" s="4" t="s">
        <v>59</v>
      </c>
      <c r="F102" s="4" t="s">
        <v>2836</v>
      </c>
      <c r="G102" s="4" t="s">
        <v>2738</v>
      </c>
      <c r="H102" s="4">
        <v>4</v>
      </c>
      <c r="I102" s="3"/>
    </row>
    <row r="103" spans="1:9" ht="25.5">
      <c r="A103" s="4" t="s">
        <v>461</v>
      </c>
      <c r="B103" s="4" t="s">
        <v>2949</v>
      </c>
      <c r="C103" s="4" t="s">
        <v>2950</v>
      </c>
      <c r="D103" s="4" t="s">
        <v>0</v>
      </c>
      <c r="E103" s="4" t="s">
        <v>749</v>
      </c>
      <c r="F103" s="4" t="s">
        <v>2951</v>
      </c>
      <c r="G103" s="4" t="s">
        <v>2952</v>
      </c>
      <c r="H103" s="4">
        <v>0</v>
      </c>
      <c r="I103" s="3">
        <v>0.54</v>
      </c>
    </row>
    <row r="104" spans="1:9" ht="25.5">
      <c r="A104" s="4" t="s">
        <v>461</v>
      </c>
      <c r="B104" s="4" t="s">
        <v>2949</v>
      </c>
      <c r="C104" s="4" t="s">
        <v>2953</v>
      </c>
      <c r="D104" s="4" t="s">
        <v>0</v>
      </c>
      <c r="E104" s="4" t="s">
        <v>462</v>
      </c>
      <c r="F104" s="4" t="s">
        <v>2951</v>
      </c>
      <c r="G104" s="4" t="s">
        <v>2952</v>
      </c>
      <c r="H104" s="4">
        <v>1</v>
      </c>
      <c r="I104" s="3">
        <v>0.54</v>
      </c>
    </row>
    <row r="105" spans="1:9" ht="25.5">
      <c r="A105" s="4" t="s">
        <v>461</v>
      </c>
      <c r="B105" s="4" t="s">
        <v>2949</v>
      </c>
      <c r="C105" s="4" t="s">
        <v>2953</v>
      </c>
      <c r="D105" s="4" t="s">
        <v>0</v>
      </c>
      <c r="E105" s="4" t="s">
        <v>750</v>
      </c>
      <c r="F105" s="4" t="s">
        <v>2954</v>
      </c>
      <c r="G105" s="4" t="s">
        <v>2955</v>
      </c>
      <c r="H105" s="4">
        <v>0</v>
      </c>
      <c r="I105" s="3">
        <v>0.54</v>
      </c>
    </row>
    <row r="106" spans="1:9" ht="25.5">
      <c r="A106" s="4" t="s">
        <v>461</v>
      </c>
      <c r="B106" s="4" t="s">
        <v>2949</v>
      </c>
      <c r="C106" s="4" t="s">
        <v>2953</v>
      </c>
      <c r="D106" s="4" t="s">
        <v>0</v>
      </c>
      <c r="E106" s="4" t="s">
        <v>463</v>
      </c>
      <c r="F106" s="4" t="s">
        <v>2954</v>
      </c>
      <c r="G106" s="4" t="s">
        <v>2955</v>
      </c>
      <c r="H106" s="4">
        <v>1</v>
      </c>
      <c r="I106" s="3">
        <v>0.54</v>
      </c>
    </row>
    <row r="107" spans="1:9" ht="20.25" customHeight="1">
      <c r="A107" s="4" t="s">
        <v>54</v>
      </c>
      <c r="B107" s="4" t="s">
        <v>2956</v>
      </c>
      <c r="C107" s="4" t="s">
        <v>2957</v>
      </c>
      <c r="D107" s="4" t="s">
        <v>0</v>
      </c>
      <c r="E107" s="4" t="s">
        <v>55</v>
      </c>
      <c r="F107" s="4" t="s">
        <v>2958</v>
      </c>
      <c r="G107" s="4" t="s">
        <v>2959</v>
      </c>
      <c r="H107" s="4">
        <v>1</v>
      </c>
      <c r="I107" s="3">
        <v>0.41</v>
      </c>
    </row>
    <row r="108" spans="1:9" ht="20.25" customHeight="1">
      <c r="A108" s="4" t="s">
        <v>54</v>
      </c>
      <c r="B108" s="4" t="s">
        <v>2956</v>
      </c>
      <c r="C108" s="4" t="s">
        <v>2957</v>
      </c>
      <c r="D108" s="4" t="s">
        <v>1</v>
      </c>
      <c r="E108" s="4" t="s">
        <v>751</v>
      </c>
      <c r="F108" s="4" t="s">
        <v>2960</v>
      </c>
      <c r="G108" s="4" t="s">
        <v>2961</v>
      </c>
      <c r="H108" s="4">
        <v>1</v>
      </c>
      <c r="I108" s="3"/>
    </row>
    <row r="109" spans="1:9" ht="20.25" customHeight="1">
      <c r="A109" s="4" t="s">
        <v>54</v>
      </c>
      <c r="B109" s="4" t="s">
        <v>2956</v>
      </c>
      <c r="C109" s="4" t="s">
        <v>2962</v>
      </c>
      <c r="D109" s="4" t="s">
        <v>2</v>
      </c>
      <c r="E109" s="4" t="s">
        <v>56</v>
      </c>
      <c r="F109" s="4" t="s">
        <v>2963</v>
      </c>
      <c r="G109" s="4" t="s">
        <v>2964</v>
      </c>
      <c r="H109" s="4">
        <v>8</v>
      </c>
      <c r="I109" s="3"/>
    </row>
    <row r="110" spans="1:9" ht="20.25" customHeight="1">
      <c r="A110" s="4" t="s">
        <v>54</v>
      </c>
      <c r="B110" s="4" t="s">
        <v>2956</v>
      </c>
      <c r="C110" s="4" t="s">
        <v>2957</v>
      </c>
      <c r="D110" s="4"/>
      <c r="E110" s="4" t="s">
        <v>57</v>
      </c>
      <c r="F110" s="4" t="s">
        <v>2965</v>
      </c>
      <c r="G110" s="4" t="s">
        <v>2966</v>
      </c>
      <c r="H110" s="4">
        <v>1</v>
      </c>
      <c r="I110" s="3"/>
    </row>
    <row r="111" spans="1:9" ht="20.25" customHeight="1">
      <c r="A111" s="4" t="s">
        <v>58</v>
      </c>
      <c r="B111" s="4" t="s">
        <v>2967</v>
      </c>
      <c r="C111" s="4" t="s">
        <v>2968</v>
      </c>
      <c r="D111" s="4" t="s">
        <v>0</v>
      </c>
      <c r="E111" s="4" t="s">
        <v>57</v>
      </c>
      <c r="F111" s="4" t="s">
        <v>2965</v>
      </c>
      <c r="G111" s="4" t="s">
        <v>2969</v>
      </c>
      <c r="H111" s="4">
        <v>1</v>
      </c>
      <c r="I111" s="3">
        <v>0.72</v>
      </c>
    </row>
    <row r="112" spans="1:9" ht="38.25">
      <c r="A112" s="4" t="s">
        <v>58</v>
      </c>
      <c r="B112" s="4" t="s">
        <v>2967</v>
      </c>
      <c r="C112" s="4" t="s">
        <v>2968</v>
      </c>
      <c r="D112" s="4" t="s">
        <v>1</v>
      </c>
      <c r="E112" s="4" t="s">
        <v>59</v>
      </c>
      <c r="F112" s="4" t="s">
        <v>2836</v>
      </c>
      <c r="G112" s="4" t="s">
        <v>2861</v>
      </c>
      <c r="H112" s="4">
        <v>11</v>
      </c>
      <c r="I112" s="3"/>
    </row>
    <row r="113" spans="1:9" ht="38.25">
      <c r="A113" s="4" t="s">
        <v>58</v>
      </c>
      <c r="B113" s="4" t="s">
        <v>2967</v>
      </c>
      <c r="C113" s="4" t="s">
        <v>2970</v>
      </c>
      <c r="D113" s="4" t="s">
        <v>2</v>
      </c>
      <c r="E113" s="4" t="s">
        <v>56</v>
      </c>
      <c r="F113" s="4" t="s">
        <v>2963</v>
      </c>
      <c r="G113" s="4" t="s">
        <v>2964</v>
      </c>
      <c r="H113" s="4">
        <v>1</v>
      </c>
      <c r="I113" s="3"/>
    </row>
    <row r="114" spans="1:9" ht="38.25">
      <c r="A114" s="4" t="s">
        <v>60</v>
      </c>
      <c r="B114" s="4" t="s">
        <v>2971</v>
      </c>
      <c r="C114" s="4" t="s">
        <v>2972</v>
      </c>
      <c r="D114" s="4" t="s">
        <v>0</v>
      </c>
      <c r="E114" s="4" t="s">
        <v>752</v>
      </c>
      <c r="F114" s="4" t="s">
        <v>2973</v>
      </c>
      <c r="G114" s="4" t="s">
        <v>2974</v>
      </c>
      <c r="H114" s="4">
        <v>1</v>
      </c>
      <c r="I114" s="3">
        <v>0.11</v>
      </c>
    </row>
    <row r="115" spans="1:9" ht="38.25">
      <c r="A115" s="4" t="s">
        <v>60</v>
      </c>
      <c r="B115" s="4" t="s">
        <v>2971</v>
      </c>
      <c r="C115" s="4" t="s">
        <v>2972</v>
      </c>
      <c r="D115" s="4" t="s">
        <v>1</v>
      </c>
      <c r="E115" s="4" t="s">
        <v>753</v>
      </c>
      <c r="F115" s="4" t="s">
        <v>2975</v>
      </c>
      <c r="G115" s="4" t="s">
        <v>2976</v>
      </c>
      <c r="H115" s="4">
        <v>1</v>
      </c>
      <c r="I115" s="3"/>
    </row>
    <row r="116" spans="1:9" ht="38.25">
      <c r="A116" s="4" t="s">
        <v>60</v>
      </c>
      <c r="B116" s="4" t="s">
        <v>2971</v>
      </c>
      <c r="C116" s="4" t="s">
        <v>2972</v>
      </c>
      <c r="D116" s="4"/>
      <c r="E116" s="4" t="s">
        <v>61</v>
      </c>
      <c r="F116" s="4" t="s">
        <v>2977</v>
      </c>
      <c r="G116" s="4" t="s">
        <v>2978</v>
      </c>
      <c r="H116" s="4">
        <v>1</v>
      </c>
      <c r="I116" s="3"/>
    </row>
    <row r="117" spans="1:9" ht="38.25">
      <c r="A117" s="4" t="s">
        <v>62</v>
      </c>
      <c r="B117" s="4" t="s">
        <v>2979</v>
      </c>
      <c r="C117" s="4" t="s">
        <v>2980</v>
      </c>
      <c r="D117" s="4" t="s">
        <v>0</v>
      </c>
      <c r="E117" s="4" t="s">
        <v>754</v>
      </c>
      <c r="F117" s="4" t="s">
        <v>2981</v>
      </c>
      <c r="G117" s="4" t="s">
        <v>2982</v>
      </c>
      <c r="H117" s="4">
        <v>1</v>
      </c>
      <c r="I117" s="3">
        <v>0.11</v>
      </c>
    </row>
    <row r="118" spans="1:9" ht="25.5">
      <c r="A118" s="4" t="s">
        <v>62</v>
      </c>
      <c r="B118" s="4" t="s">
        <v>2979</v>
      </c>
      <c r="C118" s="4" t="s">
        <v>2983</v>
      </c>
      <c r="D118" s="4" t="s">
        <v>1</v>
      </c>
      <c r="E118" s="4" t="s">
        <v>755</v>
      </c>
      <c r="F118" s="4" t="s">
        <v>2984</v>
      </c>
      <c r="G118" s="4" t="s">
        <v>2985</v>
      </c>
      <c r="H118" s="4">
        <v>1</v>
      </c>
      <c r="I118" s="3"/>
    </row>
    <row r="119" spans="1:9" ht="25.5">
      <c r="A119" s="4" t="s">
        <v>62</v>
      </c>
      <c r="B119" s="4" t="s">
        <v>2979</v>
      </c>
      <c r="C119" s="4" t="s">
        <v>2983</v>
      </c>
      <c r="D119" s="4"/>
      <c r="E119" s="4" t="s">
        <v>63</v>
      </c>
      <c r="F119" s="4" t="s">
        <v>2986</v>
      </c>
      <c r="G119" s="4" t="s">
        <v>2987</v>
      </c>
      <c r="H119" s="4">
        <v>1</v>
      </c>
      <c r="I119" s="3"/>
    </row>
    <row r="120" spans="1:9" ht="25.5">
      <c r="A120" s="4" t="s">
        <v>64</v>
      </c>
      <c r="B120" s="4" t="s">
        <v>2988</v>
      </c>
      <c r="C120" s="4" t="s">
        <v>2989</v>
      </c>
      <c r="D120" s="4" t="s">
        <v>0</v>
      </c>
      <c r="E120" s="4" t="s">
        <v>61</v>
      </c>
      <c r="F120" s="4" t="s">
        <v>2977</v>
      </c>
      <c r="G120" s="4" t="s">
        <v>2978</v>
      </c>
      <c r="H120" s="4">
        <v>1</v>
      </c>
      <c r="I120" s="3">
        <v>0.34</v>
      </c>
    </row>
    <row r="121" spans="1:9" ht="25.5">
      <c r="A121" s="4" t="s">
        <v>64</v>
      </c>
      <c r="B121" s="4" t="s">
        <v>2988</v>
      </c>
      <c r="C121" s="4" t="s">
        <v>2989</v>
      </c>
      <c r="D121" s="4" t="s">
        <v>1</v>
      </c>
      <c r="E121" s="4" t="s">
        <v>63</v>
      </c>
      <c r="F121" s="4" t="s">
        <v>2986</v>
      </c>
      <c r="G121" s="4" t="s">
        <v>2990</v>
      </c>
      <c r="H121" s="4">
        <v>1</v>
      </c>
      <c r="I121" s="3"/>
    </row>
    <row r="122" spans="1:9" ht="25.5">
      <c r="A122" s="4" t="s">
        <v>64</v>
      </c>
      <c r="B122" s="4" t="s">
        <v>2988</v>
      </c>
      <c r="C122" s="4" t="s">
        <v>2989</v>
      </c>
      <c r="D122" s="4" t="s">
        <v>2</v>
      </c>
      <c r="E122" s="4" t="s">
        <v>65</v>
      </c>
      <c r="F122" s="4" t="s">
        <v>2991</v>
      </c>
      <c r="G122" s="4" t="s">
        <v>2992</v>
      </c>
      <c r="H122" s="4">
        <v>2</v>
      </c>
      <c r="I122" s="3"/>
    </row>
    <row r="123" spans="1:9" ht="25.5">
      <c r="A123" s="4" t="s">
        <v>64</v>
      </c>
      <c r="B123" s="4" t="s">
        <v>2988</v>
      </c>
      <c r="C123" s="4" t="s">
        <v>2989</v>
      </c>
      <c r="D123" s="4" t="s">
        <v>7</v>
      </c>
      <c r="E123" s="4" t="s">
        <v>66</v>
      </c>
      <c r="F123" s="4" t="s">
        <v>2993</v>
      </c>
      <c r="G123" s="4" t="s">
        <v>2994</v>
      </c>
      <c r="H123" s="4">
        <v>2</v>
      </c>
      <c r="I123" s="3"/>
    </row>
    <row r="124" spans="1:9" ht="25.5">
      <c r="A124" s="4" t="s">
        <v>399</v>
      </c>
      <c r="B124" s="4" t="s">
        <v>2995</v>
      </c>
      <c r="C124" s="4" t="s">
        <v>2996</v>
      </c>
      <c r="D124" s="4" t="s">
        <v>0</v>
      </c>
      <c r="E124" s="4" t="s">
        <v>400</v>
      </c>
      <c r="F124" s="4" t="s">
        <v>2997</v>
      </c>
      <c r="G124" s="4" t="s">
        <v>2996</v>
      </c>
      <c r="H124" s="4">
        <v>1</v>
      </c>
      <c r="I124" s="3">
        <v>0.28000000000000003</v>
      </c>
    </row>
    <row r="125" spans="1:9" ht="25.5">
      <c r="A125" s="4" t="s">
        <v>399</v>
      </c>
      <c r="B125" s="4" t="s">
        <v>2995</v>
      </c>
      <c r="C125" s="4" t="s">
        <v>2996</v>
      </c>
      <c r="D125" s="4" t="s">
        <v>1</v>
      </c>
      <c r="E125" s="4" t="s">
        <v>289</v>
      </c>
      <c r="F125" s="4" t="s">
        <v>2998</v>
      </c>
      <c r="G125" s="4" t="s">
        <v>2999</v>
      </c>
      <c r="H125" s="4">
        <v>3</v>
      </c>
      <c r="I125" s="3"/>
    </row>
    <row r="126" spans="1:9" ht="38.25">
      <c r="A126" s="4" t="s">
        <v>287</v>
      </c>
      <c r="B126" s="4" t="s">
        <v>3000</v>
      </c>
      <c r="C126" s="4" t="s">
        <v>3001</v>
      </c>
      <c r="D126" s="4" t="s">
        <v>0</v>
      </c>
      <c r="E126" s="4" t="s">
        <v>288</v>
      </c>
      <c r="F126" s="4" t="s">
        <v>3002</v>
      </c>
      <c r="G126" s="4" t="s">
        <v>3003</v>
      </c>
      <c r="H126" s="4">
        <v>1</v>
      </c>
      <c r="I126" s="3">
        <v>0.28000000000000003</v>
      </c>
    </row>
    <row r="127" spans="1:9" ht="38.25">
      <c r="A127" s="4" t="s">
        <v>287</v>
      </c>
      <c r="B127" s="4" t="s">
        <v>3000</v>
      </c>
      <c r="C127" s="4" t="s">
        <v>3004</v>
      </c>
      <c r="D127" s="4" t="s">
        <v>1</v>
      </c>
      <c r="E127" s="4" t="s">
        <v>289</v>
      </c>
      <c r="F127" s="4" t="s">
        <v>2998</v>
      </c>
      <c r="G127" s="4" t="s">
        <v>2999</v>
      </c>
      <c r="H127" s="4">
        <v>3</v>
      </c>
      <c r="I127" s="3"/>
    </row>
    <row r="128" spans="1:9" ht="25.5">
      <c r="A128" s="4" t="s">
        <v>290</v>
      </c>
      <c r="B128" s="4" t="s">
        <v>3005</v>
      </c>
      <c r="C128" s="4" t="s">
        <v>3006</v>
      </c>
      <c r="D128" s="4" t="s">
        <v>0</v>
      </c>
      <c r="E128" s="4" t="s">
        <v>291</v>
      </c>
      <c r="F128" s="4" t="s">
        <v>3007</v>
      </c>
      <c r="G128" s="4" t="s">
        <v>3008</v>
      </c>
      <c r="H128" s="4">
        <v>1</v>
      </c>
      <c r="I128" s="3">
        <v>0.15</v>
      </c>
    </row>
    <row r="129" spans="1:9" ht="25.5">
      <c r="A129" s="4" t="s">
        <v>290</v>
      </c>
      <c r="B129" s="4" t="s">
        <v>3005</v>
      </c>
      <c r="C129" s="4" t="s">
        <v>3009</v>
      </c>
      <c r="D129" s="4" t="s">
        <v>1</v>
      </c>
      <c r="E129" s="4" t="s">
        <v>18</v>
      </c>
      <c r="F129" s="4" t="s">
        <v>2767</v>
      </c>
      <c r="G129" s="4" t="s">
        <v>2768</v>
      </c>
      <c r="H129" s="4">
        <v>1</v>
      </c>
      <c r="I129" s="3"/>
    </row>
    <row r="130" spans="1:9" ht="25.5">
      <c r="A130" s="4" t="s">
        <v>67</v>
      </c>
      <c r="B130" s="4" t="s">
        <v>3010</v>
      </c>
      <c r="C130" s="4" t="s">
        <v>3011</v>
      </c>
      <c r="D130" s="4" t="s">
        <v>0</v>
      </c>
      <c r="E130" s="4" t="s">
        <v>68</v>
      </c>
      <c r="F130" s="4" t="s">
        <v>3012</v>
      </c>
      <c r="G130" s="4" t="s">
        <v>3013</v>
      </c>
      <c r="H130" s="4">
        <v>2</v>
      </c>
      <c r="I130" s="3">
        <v>0.33</v>
      </c>
    </row>
    <row r="131" spans="1:9" ht="25.5">
      <c r="A131" s="4" t="s">
        <v>67</v>
      </c>
      <c r="B131" s="4" t="s">
        <v>3010</v>
      </c>
      <c r="C131" s="4" t="s">
        <v>3011</v>
      </c>
      <c r="D131" s="4" t="s">
        <v>1</v>
      </c>
      <c r="E131" s="4" t="s">
        <v>69</v>
      </c>
      <c r="F131" s="4" t="s">
        <v>3014</v>
      </c>
      <c r="G131" s="4" t="s">
        <v>3015</v>
      </c>
      <c r="H131" s="4">
        <v>1</v>
      </c>
      <c r="I131" s="3"/>
    </row>
    <row r="132" spans="1:9" ht="25.5">
      <c r="A132" s="4" t="s">
        <v>67</v>
      </c>
      <c r="B132" s="4" t="s">
        <v>3010</v>
      </c>
      <c r="C132" s="4" t="s">
        <v>3011</v>
      </c>
      <c r="D132" s="4" t="s">
        <v>2</v>
      </c>
      <c r="E132" s="4" t="s">
        <v>70</v>
      </c>
      <c r="F132" s="4" t="s">
        <v>3016</v>
      </c>
      <c r="G132" s="4" t="s">
        <v>3017</v>
      </c>
      <c r="H132" s="4">
        <v>1</v>
      </c>
      <c r="I132" s="3"/>
    </row>
    <row r="133" spans="1:9" ht="25.5">
      <c r="A133" s="4" t="s">
        <v>67</v>
      </c>
      <c r="B133" s="4" t="s">
        <v>3010</v>
      </c>
      <c r="C133" s="4" t="s">
        <v>3018</v>
      </c>
      <c r="D133" s="4"/>
      <c r="E133" s="4" t="s">
        <v>71</v>
      </c>
      <c r="F133" s="4" t="s">
        <v>3019</v>
      </c>
      <c r="G133" s="4" t="s">
        <v>3020</v>
      </c>
      <c r="H133" s="4">
        <v>1</v>
      </c>
      <c r="I133" s="3"/>
    </row>
    <row r="134" spans="1:9" ht="25.5">
      <c r="A134" s="4" t="s">
        <v>72</v>
      </c>
      <c r="B134" s="4" t="s">
        <v>3021</v>
      </c>
      <c r="C134" s="4" t="s">
        <v>3022</v>
      </c>
      <c r="D134" s="4" t="s">
        <v>0</v>
      </c>
      <c r="E134" s="4" t="s">
        <v>71</v>
      </c>
      <c r="F134" s="4" t="s">
        <v>3019</v>
      </c>
      <c r="G134" s="4" t="s">
        <v>3020</v>
      </c>
      <c r="H134" s="4">
        <v>1</v>
      </c>
      <c r="I134" s="3">
        <v>0.49</v>
      </c>
    </row>
    <row r="135" spans="1:9" ht="25.5">
      <c r="A135" s="4" t="s">
        <v>72</v>
      </c>
      <c r="B135" s="4" t="s">
        <v>3021</v>
      </c>
      <c r="C135" s="4" t="s">
        <v>3023</v>
      </c>
      <c r="D135" s="4" t="s">
        <v>1</v>
      </c>
      <c r="E135" s="4" t="s">
        <v>73</v>
      </c>
      <c r="F135" s="4" t="s">
        <v>3024</v>
      </c>
      <c r="G135" s="4" t="s">
        <v>3025</v>
      </c>
      <c r="H135" s="4">
        <v>7</v>
      </c>
      <c r="I135" s="3"/>
    </row>
    <row r="136" spans="1:9" ht="51">
      <c r="A136" s="4" t="s">
        <v>420</v>
      </c>
      <c r="B136" s="4" t="s">
        <v>3026</v>
      </c>
      <c r="C136" s="4" t="s">
        <v>3027</v>
      </c>
      <c r="D136" s="4" t="s">
        <v>0</v>
      </c>
      <c r="E136" s="4" t="s">
        <v>421</v>
      </c>
      <c r="F136" s="4" t="s">
        <v>3028</v>
      </c>
      <c r="G136" s="4" t="s">
        <v>3029</v>
      </c>
      <c r="H136" s="4">
        <v>1</v>
      </c>
      <c r="I136" s="3">
        <v>0.14000000000000001</v>
      </c>
    </row>
    <row r="137" spans="1:9" ht="38.25">
      <c r="A137" s="4" t="s">
        <v>420</v>
      </c>
      <c r="B137" s="4" t="s">
        <v>3026</v>
      </c>
      <c r="C137" s="4" t="s">
        <v>3030</v>
      </c>
      <c r="D137" s="4" t="s">
        <v>0</v>
      </c>
      <c r="E137" s="4" t="s">
        <v>422</v>
      </c>
      <c r="F137" s="4" t="s">
        <v>3031</v>
      </c>
      <c r="G137" s="4" t="s">
        <v>3032</v>
      </c>
      <c r="H137" s="4">
        <v>1</v>
      </c>
      <c r="I137" s="3"/>
    </row>
    <row r="138" spans="1:9">
      <c r="A138" s="4" t="s">
        <v>592</v>
      </c>
      <c r="B138" s="4" t="s">
        <v>3033</v>
      </c>
      <c r="C138" s="4" t="s">
        <v>3034</v>
      </c>
      <c r="D138" s="4" t="s">
        <v>0</v>
      </c>
      <c r="E138" s="4" t="s">
        <v>593</v>
      </c>
      <c r="F138" s="4" t="s">
        <v>3035</v>
      </c>
      <c r="G138" s="4" t="s">
        <v>3036</v>
      </c>
      <c r="H138" s="4">
        <v>1</v>
      </c>
      <c r="I138" s="3">
        <v>0.3</v>
      </c>
    </row>
    <row r="139" spans="1:9">
      <c r="A139" s="4" t="s">
        <v>592</v>
      </c>
      <c r="B139" s="4" t="s">
        <v>3033</v>
      </c>
      <c r="C139" s="4" t="s">
        <v>3034</v>
      </c>
      <c r="D139" s="4" t="s">
        <v>0</v>
      </c>
      <c r="E139" s="4" t="s">
        <v>594</v>
      </c>
      <c r="F139" s="4" t="s">
        <v>3037</v>
      </c>
      <c r="G139" s="4" t="s">
        <v>3038</v>
      </c>
      <c r="H139" s="4">
        <v>1</v>
      </c>
      <c r="I139" s="3"/>
    </row>
    <row r="140" spans="1:9" ht="25.5">
      <c r="A140" s="4" t="s">
        <v>74</v>
      </c>
      <c r="B140" s="4" t="s">
        <v>3039</v>
      </c>
      <c r="C140" s="4" t="s">
        <v>3040</v>
      </c>
      <c r="D140" s="4" t="s">
        <v>0</v>
      </c>
      <c r="E140" s="4" t="s">
        <v>75</v>
      </c>
      <c r="F140" s="4" t="s">
        <v>3041</v>
      </c>
      <c r="G140" s="4" t="s">
        <v>3042</v>
      </c>
      <c r="H140" s="4">
        <v>1</v>
      </c>
      <c r="I140" s="3">
        <v>0.05</v>
      </c>
    </row>
    <row r="141" spans="1:9" ht="25.5">
      <c r="A141" s="4" t="s">
        <v>74</v>
      </c>
      <c r="B141" s="4" t="s">
        <v>3039</v>
      </c>
      <c r="C141" s="4" t="s">
        <v>3043</v>
      </c>
      <c r="D141" s="4" t="s">
        <v>1</v>
      </c>
      <c r="E141" s="4" t="s">
        <v>26</v>
      </c>
      <c r="F141" s="4" t="s">
        <v>2767</v>
      </c>
      <c r="G141" s="4" t="s">
        <v>3044</v>
      </c>
      <c r="H141" s="4">
        <v>1</v>
      </c>
      <c r="I141" s="3"/>
    </row>
    <row r="142" spans="1:9" ht="25.5">
      <c r="A142" s="4" t="s">
        <v>74</v>
      </c>
      <c r="B142" s="4" t="s">
        <v>3039</v>
      </c>
      <c r="C142" s="4" t="s">
        <v>3045</v>
      </c>
      <c r="D142" s="4"/>
      <c r="E142" s="4" t="s">
        <v>76</v>
      </c>
      <c r="F142" s="4" t="s">
        <v>3046</v>
      </c>
      <c r="G142" s="4" t="s">
        <v>3047</v>
      </c>
      <c r="H142" s="4">
        <v>1</v>
      </c>
      <c r="I142" s="3"/>
    </row>
    <row r="143" spans="1:9">
      <c r="A143" s="4" t="s">
        <v>360</v>
      </c>
      <c r="B143" s="4" t="s">
        <v>3048</v>
      </c>
      <c r="C143" s="4" t="s">
        <v>3049</v>
      </c>
      <c r="D143" s="4" t="s">
        <v>0</v>
      </c>
      <c r="E143" s="4" t="s">
        <v>361</v>
      </c>
      <c r="F143" s="4" t="s">
        <v>3050</v>
      </c>
      <c r="G143" s="4" t="s">
        <v>3051</v>
      </c>
      <c r="H143" s="4">
        <v>1</v>
      </c>
      <c r="I143" s="3">
        <v>0.45</v>
      </c>
    </row>
    <row r="144" spans="1:9" ht="25.5">
      <c r="A144" s="4" t="s">
        <v>360</v>
      </c>
      <c r="B144" s="4" t="s">
        <v>3048</v>
      </c>
      <c r="C144" s="4" t="s">
        <v>3049</v>
      </c>
      <c r="D144" s="4" t="s">
        <v>1</v>
      </c>
      <c r="E144" s="4" t="s">
        <v>756</v>
      </c>
      <c r="F144" s="4" t="s">
        <v>3046</v>
      </c>
      <c r="G144" s="4" t="s">
        <v>3047</v>
      </c>
      <c r="H144" s="4">
        <v>1</v>
      </c>
      <c r="I144" s="3"/>
    </row>
    <row r="145" spans="1:9">
      <c r="A145" s="4" t="s">
        <v>360</v>
      </c>
      <c r="B145" s="4" t="s">
        <v>3048</v>
      </c>
      <c r="C145" s="4" t="s">
        <v>3049</v>
      </c>
      <c r="D145" s="4" t="s">
        <v>2</v>
      </c>
      <c r="E145" s="4" t="s">
        <v>26</v>
      </c>
      <c r="F145" s="4" t="s">
        <v>2767</v>
      </c>
      <c r="G145" s="4" t="s">
        <v>3044</v>
      </c>
      <c r="H145" s="4">
        <v>1</v>
      </c>
      <c r="I145" s="3"/>
    </row>
    <row r="146" spans="1:9">
      <c r="A146" s="4" t="s">
        <v>360</v>
      </c>
      <c r="B146" s="4" t="s">
        <v>3048</v>
      </c>
      <c r="C146" s="4" t="s">
        <v>3052</v>
      </c>
      <c r="D146" s="4" t="s">
        <v>7</v>
      </c>
      <c r="E146" s="4" t="s">
        <v>362</v>
      </c>
      <c r="F146" s="4" t="s">
        <v>3053</v>
      </c>
      <c r="G146" s="4" t="s">
        <v>3054</v>
      </c>
      <c r="H146" s="4">
        <v>1</v>
      </c>
      <c r="I146" s="3"/>
    </row>
    <row r="147" spans="1:9" ht="25.5">
      <c r="A147" s="4" t="s">
        <v>363</v>
      </c>
      <c r="B147" s="4" t="s">
        <v>3055</v>
      </c>
      <c r="C147" s="4" t="s">
        <v>3056</v>
      </c>
      <c r="D147" s="4" t="s">
        <v>0</v>
      </c>
      <c r="E147" s="4" t="s">
        <v>364</v>
      </c>
      <c r="F147" s="4" t="s">
        <v>3057</v>
      </c>
      <c r="G147" s="4" t="s">
        <v>3058</v>
      </c>
      <c r="H147" s="4">
        <v>1</v>
      </c>
      <c r="I147" s="3">
        <v>0.09</v>
      </c>
    </row>
    <row r="148" spans="1:9" ht="38.25">
      <c r="A148" s="4" t="s">
        <v>162</v>
      </c>
      <c r="B148" s="4" t="s">
        <v>3059</v>
      </c>
      <c r="C148" s="4" t="s">
        <v>3060</v>
      </c>
      <c r="D148" s="4" t="s">
        <v>0</v>
      </c>
      <c r="E148" s="57" t="s">
        <v>757</v>
      </c>
      <c r="F148" s="57" t="s">
        <v>3061</v>
      </c>
      <c r="G148" s="57" t="s">
        <v>3062</v>
      </c>
      <c r="H148" s="4">
        <v>1</v>
      </c>
      <c r="I148" s="3">
        <v>1.05</v>
      </c>
    </row>
    <row r="149" spans="1:9" ht="38.25">
      <c r="A149" s="4" t="s">
        <v>162</v>
      </c>
      <c r="B149" s="4" t="s">
        <v>3059</v>
      </c>
      <c r="C149" s="4" t="s">
        <v>3060</v>
      </c>
      <c r="D149" s="4" t="s">
        <v>1</v>
      </c>
      <c r="E149" s="4" t="s">
        <v>5</v>
      </c>
      <c r="F149" s="4" t="s">
        <v>2767</v>
      </c>
      <c r="G149" s="4" t="s">
        <v>3063</v>
      </c>
      <c r="H149" s="4">
        <v>5</v>
      </c>
      <c r="I149" s="3"/>
    </row>
    <row r="150" spans="1:9" ht="38.25">
      <c r="A150" s="4" t="s">
        <v>162</v>
      </c>
      <c r="B150" s="4" t="s">
        <v>3059</v>
      </c>
      <c r="C150" s="4" t="s">
        <v>3064</v>
      </c>
      <c r="D150" s="4" t="s">
        <v>2</v>
      </c>
      <c r="E150" s="4" t="s">
        <v>163</v>
      </c>
      <c r="F150" s="4" t="s">
        <v>3065</v>
      </c>
      <c r="G150" s="4" t="s">
        <v>3066</v>
      </c>
      <c r="H150" s="4">
        <v>4</v>
      </c>
      <c r="I150" s="3"/>
    </row>
    <row r="151" spans="1:9" ht="25.5">
      <c r="A151" s="11" t="s">
        <v>758</v>
      </c>
      <c r="B151" s="11" t="s">
        <v>3067</v>
      </c>
      <c r="C151" s="11" t="s">
        <v>3068</v>
      </c>
      <c r="D151" s="15" t="s">
        <v>0</v>
      </c>
      <c r="E151" s="15" t="s">
        <v>658</v>
      </c>
      <c r="F151" s="178" t="s">
        <v>3069</v>
      </c>
      <c r="G151" s="178" t="s">
        <v>3070</v>
      </c>
      <c r="H151" s="4"/>
      <c r="I151" s="3">
        <v>0.82</v>
      </c>
    </row>
    <row r="152" spans="1:9" ht="25.5">
      <c r="A152" s="11" t="s">
        <v>657</v>
      </c>
      <c r="B152" s="11" t="s">
        <v>3067</v>
      </c>
      <c r="C152" s="11" t="s">
        <v>3071</v>
      </c>
      <c r="D152" s="1" t="s">
        <v>1</v>
      </c>
      <c r="E152" s="34" t="s">
        <v>759</v>
      </c>
      <c r="F152" s="11" t="s">
        <v>3072</v>
      </c>
      <c r="G152" s="11" t="s">
        <v>3071</v>
      </c>
      <c r="H152" s="4">
        <v>0</v>
      </c>
      <c r="I152" s="3"/>
    </row>
    <row r="153" spans="1:9" ht="25.5">
      <c r="A153" s="11" t="s">
        <v>657</v>
      </c>
      <c r="B153" s="11" t="s">
        <v>3067</v>
      </c>
      <c r="C153" s="11" t="s">
        <v>3071</v>
      </c>
      <c r="D153" s="15" t="s">
        <v>2</v>
      </c>
      <c r="E153" s="15" t="s">
        <v>250</v>
      </c>
      <c r="F153" s="178" t="s">
        <v>3073</v>
      </c>
      <c r="G153" s="178" t="s">
        <v>3074</v>
      </c>
      <c r="H153" s="4">
        <v>0</v>
      </c>
      <c r="I153" s="3"/>
    </row>
    <row r="154" spans="1:9" ht="25.5">
      <c r="A154" s="11" t="s">
        <v>657</v>
      </c>
      <c r="B154" s="11" t="s">
        <v>3067</v>
      </c>
      <c r="C154" s="11" t="s">
        <v>3071</v>
      </c>
      <c r="D154" s="15" t="s">
        <v>7</v>
      </c>
      <c r="E154" s="15" t="s">
        <v>6</v>
      </c>
      <c r="F154" s="178" t="s">
        <v>3075</v>
      </c>
      <c r="G154" s="178" t="s">
        <v>3076</v>
      </c>
      <c r="H154" s="4">
        <v>0</v>
      </c>
      <c r="I154" s="3"/>
    </row>
    <row r="155" spans="1:9" ht="25.5">
      <c r="A155" s="11" t="s">
        <v>657</v>
      </c>
      <c r="B155" s="11" t="s">
        <v>3067</v>
      </c>
      <c r="C155" s="11" t="s">
        <v>3071</v>
      </c>
      <c r="D155" s="1" t="s">
        <v>9</v>
      </c>
      <c r="E155" s="16" t="s">
        <v>8</v>
      </c>
      <c r="F155" s="1" t="s">
        <v>3077</v>
      </c>
      <c r="G155" s="1" t="s">
        <v>3078</v>
      </c>
      <c r="H155" s="4">
        <v>0</v>
      </c>
      <c r="I155" s="3"/>
    </row>
    <row r="156" spans="1:9" ht="25.5">
      <c r="A156" s="4" t="s">
        <v>760</v>
      </c>
      <c r="B156" s="4" t="s">
        <v>3079</v>
      </c>
      <c r="C156" s="4" t="s">
        <v>3080</v>
      </c>
      <c r="D156" s="4" t="s">
        <v>0</v>
      </c>
      <c r="E156" s="27" t="s">
        <v>761</v>
      </c>
      <c r="F156" s="11" t="s">
        <v>3072</v>
      </c>
      <c r="G156" s="11" t="s">
        <v>3081</v>
      </c>
      <c r="H156" s="30" t="s">
        <v>41</v>
      </c>
      <c r="I156" s="3">
        <v>1.21</v>
      </c>
    </row>
    <row r="157" spans="1:9" ht="25.5">
      <c r="A157" s="4" t="s">
        <v>249</v>
      </c>
      <c r="B157" s="4" t="s">
        <v>3079</v>
      </c>
      <c r="C157" s="4" t="s">
        <v>3082</v>
      </c>
      <c r="D157" s="4" t="s">
        <v>1</v>
      </c>
      <c r="E157" s="4" t="s">
        <v>6</v>
      </c>
      <c r="F157" s="4" t="s">
        <v>3075</v>
      </c>
      <c r="G157" s="4" t="s">
        <v>3083</v>
      </c>
      <c r="H157" s="4">
        <v>5</v>
      </c>
      <c r="I157" s="3"/>
    </row>
    <row r="158" spans="1:9" ht="25.5">
      <c r="A158" s="4" t="s">
        <v>249</v>
      </c>
      <c r="B158" s="4" t="s">
        <v>3079</v>
      </c>
      <c r="C158" s="4" t="s">
        <v>3080</v>
      </c>
      <c r="D158" s="4" t="s">
        <v>2</v>
      </c>
      <c r="E158" s="4" t="s">
        <v>250</v>
      </c>
      <c r="F158" s="4" t="s">
        <v>3073</v>
      </c>
      <c r="G158" s="4" t="s">
        <v>3074</v>
      </c>
      <c r="H158" s="4">
        <v>1</v>
      </c>
      <c r="I158" s="3"/>
    </row>
    <row r="159" spans="1:9" ht="25.5">
      <c r="A159" s="4" t="s">
        <v>249</v>
      </c>
      <c r="B159" s="4" t="s">
        <v>3079</v>
      </c>
      <c r="C159" s="4" t="s">
        <v>3080</v>
      </c>
      <c r="D159" s="4" t="s">
        <v>7</v>
      </c>
      <c r="E159" s="34" t="s">
        <v>8</v>
      </c>
      <c r="F159" s="4" t="s">
        <v>3077</v>
      </c>
      <c r="G159" s="4" t="s">
        <v>3084</v>
      </c>
      <c r="H159" s="4">
        <v>1</v>
      </c>
      <c r="I159" s="3"/>
    </row>
    <row r="160" spans="1:9">
      <c r="A160" s="4" t="s">
        <v>222</v>
      </c>
      <c r="B160" s="4" t="s">
        <v>3085</v>
      </c>
      <c r="C160" s="4" t="s">
        <v>3086</v>
      </c>
      <c r="D160" s="4" t="s">
        <v>0</v>
      </c>
      <c r="E160" s="4" t="s">
        <v>762</v>
      </c>
      <c r="F160" s="4" t="s">
        <v>3087</v>
      </c>
      <c r="G160" s="4" t="s">
        <v>3088</v>
      </c>
      <c r="H160" s="4">
        <v>2</v>
      </c>
      <c r="I160" s="3">
        <v>0.54</v>
      </c>
    </row>
    <row r="161" spans="1:9">
      <c r="A161" s="4" t="s">
        <v>222</v>
      </c>
      <c r="B161" s="4" t="s">
        <v>3085</v>
      </c>
      <c r="C161" s="4" t="s">
        <v>3089</v>
      </c>
      <c r="D161" s="4" t="s">
        <v>1</v>
      </c>
      <c r="E161" s="4" t="s">
        <v>763</v>
      </c>
      <c r="F161" s="4" t="s">
        <v>3090</v>
      </c>
      <c r="G161" s="4" t="s">
        <v>3091</v>
      </c>
      <c r="H161" s="4">
        <v>1</v>
      </c>
      <c r="I161" s="3"/>
    </row>
    <row r="162" spans="1:9">
      <c r="A162" s="4" t="s">
        <v>222</v>
      </c>
      <c r="B162" s="4" t="s">
        <v>3085</v>
      </c>
      <c r="C162" s="4" t="s">
        <v>3089</v>
      </c>
      <c r="D162" s="4" t="s">
        <v>1</v>
      </c>
      <c r="E162" s="4" t="s">
        <v>764</v>
      </c>
      <c r="F162" s="4" t="s">
        <v>3092</v>
      </c>
      <c r="G162" s="4" t="s">
        <v>3093</v>
      </c>
      <c r="H162" s="4">
        <v>1</v>
      </c>
      <c r="I162" s="3"/>
    </row>
    <row r="163" spans="1:9" ht="38.25">
      <c r="A163" s="4" t="s">
        <v>222</v>
      </c>
      <c r="B163" s="4" t="s">
        <v>3085</v>
      </c>
      <c r="C163" s="4" t="s">
        <v>3086</v>
      </c>
      <c r="D163" s="4" t="s">
        <v>2</v>
      </c>
      <c r="E163" s="58" t="s">
        <v>223</v>
      </c>
      <c r="F163" s="4" t="s">
        <v>3077</v>
      </c>
      <c r="G163" s="4" t="s">
        <v>3094</v>
      </c>
      <c r="H163" s="4">
        <v>4</v>
      </c>
      <c r="I163" s="3"/>
    </row>
    <row r="164" spans="1:9" ht="25.5">
      <c r="A164" s="4" t="s">
        <v>224</v>
      </c>
      <c r="B164" s="4" t="s">
        <v>3095</v>
      </c>
      <c r="C164" s="4" t="s">
        <v>3096</v>
      </c>
      <c r="D164" s="4" t="s">
        <v>0</v>
      </c>
      <c r="E164" s="58" t="s">
        <v>22</v>
      </c>
      <c r="F164" s="58" t="s">
        <v>3097</v>
      </c>
      <c r="G164" s="58" t="s">
        <v>3098</v>
      </c>
      <c r="H164" s="4">
        <v>1</v>
      </c>
      <c r="I164" s="3">
        <v>0.63</v>
      </c>
    </row>
    <row r="165" spans="1:9" ht="25.5">
      <c r="A165" s="4" t="s">
        <v>224</v>
      </c>
      <c r="B165" s="4" t="s">
        <v>3095</v>
      </c>
      <c r="C165" s="4" t="s">
        <v>3096</v>
      </c>
      <c r="D165" s="4" t="s">
        <v>0</v>
      </c>
      <c r="E165" s="58" t="s">
        <v>225</v>
      </c>
      <c r="F165" s="58" t="s">
        <v>3097</v>
      </c>
      <c r="G165" s="58" t="s">
        <v>3098</v>
      </c>
      <c r="H165" s="4">
        <v>2</v>
      </c>
      <c r="I165" s="3"/>
    </row>
    <row r="166" spans="1:9" ht="25.5">
      <c r="A166" s="4" t="s">
        <v>765</v>
      </c>
      <c r="B166" s="4" t="s">
        <v>3099</v>
      </c>
      <c r="C166" s="4" t="s">
        <v>3100</v>
      </c>
      <c r="D166" s="4" t="s">
        <v>0</v>
      </c>
      <c r="E166" s="11" t="s">
        <v>766</v>
      </c>
      <c r="F166" s="11" t="s">
        <v>3101</v>
      </c>
      <c r="G166" s="11" t="s">
        <v>3102</v>
      </c>
      <c r="H166" s="4">
        <v>1</v>
      </c>
      <c r="I166" s="3">
        <v>0.86</v>
      </c>
    </row>
    <row r="167" spans="1:9" ht="38.25">
      <c r="A167" s="4" t="s">
        <v>611</v>
      </c>
      <c r="B167" s="4" t="s">
        <v>3099</v>
      </c>
      <c r="C167" s="4" t="s">
        <v>3100</v>
      </c>
      <c r="D167" s="4" t="s">
        <v>1</v>
      </c>
      <c r="E167" s="4" t="s">
        <v>612</v>
      </c>
      <c r="F167" s="4" t="s">
        <v>3103</v>
      </c>
      <c r="G167" s="4" t="s">
        <v>3104</v>
      </c>
      <c r="H167" s="4">
        <v>4</v>
      </c>
      <c r="I167" s="3"/>
    </row>
    <row r="168" spans="1:9" ht="25.5">
      <c r="A168" s="4" t="s">
        <v>611</v>
      </c>
      <c r="B168" s="4" t="s">
        <v>3099</v>
      </c>
      <c r="C168" s="4" t="s">
        <v>3100</v>
      </c>
      <c r="D168" s="4" t="s">
        <v>2</v>
      </c>
      <c r="E168" s="4" t="s">
        <v>5</v>
      </c>
      <c r="F168" s="4" t="s">
        <v>3105</v>
      </c>
      <c r="G168" s="4" t="s">
        <v>3106</v>
      </c>
      <c r="H168" s="4">
        <v>4</v>
      </c>
      <c r="I168" s="3"/>
    </row>
    <row r="169" spans="1:9" ht="25.5">
      <c r="A169" s="4" t="s">
        <v>611</v>
      </c>
      <c r="B169" s="4" t="s">
        <v>3099</v>
      </c>
      <c r="C169" s="4" t="s">
        <v>3100</v>
      </c>
      <c r="D169" s="4" t="s">
        <v>7</v>
      </c>
      <c r="E169" s="4" t="s">
        <v>73</v>
      </c>
      <c r="F169" s="4" t="s">
        <v>3024</v>
      </c>
      <c r="G169" s="4" t="s">
        <v>3025</v>
      </c>
      <c r="H169" s="4">
        <v>3</v>
      </c>
      <c r="I169" s="3"/>
    </row>
    <row r="170" spans="1:9" ht="25.5">
      <c r="A170" s="4" t="s">
        <v>613</v>
      </c>
      <c r="B170" s="4" t="s">
        <v>3107</v>
      </c>
      <c r="C170" s="4" t="s">
        <v>3108</v>
      </c>
      <c r="D170" s="4" t="s">
        <v>0</v>
      </c>
      <c r="E170" s="11" t="s">
        <v>767</v>
      </c>
      <c r="F170" s="11" t="s">
        <v>3109</v>
      </c>
      <c r="G170" s="11" t="s">
        <v>3110</v>
      </c>
      <c r="H170" s="4">
        <v>1</v>
      </c>
      <c r="I170" s="3">
        <v>1.2</v>
      </c>
    </row>
    <row r="171" spans="1:9" ht="25.5">
      <c r="A171" s="4" t="s">
        <v>613</v>
      </c>
      <c r="B171" s="4" t="s">
        <v>3107</v>
      </c>
      <c r="C171" s="4" t="s">
        <v>3111</v>
      </c>
      <c r="D171" s="4" t="s">
        <v>1</v>
      </c>
      <c r="E171" s="4" t="s">
        <v>278</v>
      </c>
      <c r="F171" s="4" t="s">
        <v>3112</v>
      </c>
      <c r="G171" s="4" t="s">
        <v>3113</v>
      </c>
      <c r="H171" s="4">
        <v>4</v>
      </c>
      <c r="I171" s="3"/>
    </row>
    <row r="172" spans="1:9" ht="25.5">
      <c r="A172" s="4" t="s">
        <v>613</v>
      </c>
      <c r="B172" s="4" t="s">
        <v>3107</v>
      </c>
      <c r="C172" s="4" t="s">
        <v>3111</v>
      </c>
      <c r="D172" s="4" t="s">
        <v>2</v>
      </c>
      <c r="E172" s="4" t="s">
        <v>88</v>
      </c>
      <c r="F172" s="4" t="s">
        <v>3024</v>
      </c>
      <c r="G172" s="4" t="s">
        <v>3025</v>
      </c>
      <c r="H172" s="4">
        <v>4</v>
      </c>
      <c r="I172" s="3"/>
    </row>
    <row r="173" spans="1:9" ht="25.5">
      <c r="A173" s="4" t="s">
        <v>613</v>
      </c>
      <c r="B173" s="4" t="s">
        <v>3107</v>
      </c>
      <c r="C173" s="4" t="s">
        <v>3108</v>
      </c>
      <c r="D173" s="4" t="s">
        <v>7</v>
      </c>
      <c r="E173" s="4" t="s">
        <v>86</v>
      </c>
      <c r="F173" s="4" t="s">
        <v>3114</v>
      </c>
      <c r="G173" s="4" t="s">
        <v>3115</v>
      </c>
      <c r="H173" s="4">
        <v>6</v>
      </c>
      <c r="I173" s="3"/>
    </row>
    <row r="174" spans="1:9" ht="25.5">
      <c r="A174" s="4" t="s">
        <v>613</v>
      </c>
      <c r="B174" s="4" t="s">
        <v>3107</v>
      </c>
      <c r="C174" s="4" t="s">
        <v>3108</v>
      </c>
      <c r="D174" s="4" t="s">
        <v>9</v>
      </c>
      <c r="E174" s="4" t="s">
        <v>614</v>
      </c>
      <c r="F174" s="4" t="s">
        <v>3116</v>
      </c>
      <c r="G174" s="4" t="s">
        <v>3117</v>
      </c>
      <c r="H174" s="4">
        <v>4</v>
      </c>
      <c r="I174" s="3"/>
    </row>
    <row r="175" spans="1:9" ht="25.5">
      <c r="A175" s="4" t="s">
        <v>613</v>
      </c>
      <c r="B175" s="4" t="s">
        <v>3107</v>
      </c>
      <c r="C175" s="4" t="s">
        <v>3108</v>
      </c>
      <c r="D175" s="4" t="s">
        <v>10</v>
      </c>
      <c r="E175" s="50" t="s">
        <v>73</v>
      </c>
      <c r="F175" s="4" t="s">
        <v>3024</v>
      </c>
      <c r="G175" s="4" t="s">
        <v>3025</v>
      </c>
      <c r="H175" s="4">
        <v>3</v>
      </c>
      <c r="I175" s="3"/>
    </row>
    <row r="176" spans="1:9" ht="38.25">
      <c r="A176" s="4" t="s">
        <v>276</v>
      </c>
      <c r="B176" s="4" t="s">
        <v>3118</v>
      </c>
      <c r="C176" s="4" t="s">
        <v>3119</v>
      </c>
      <c r="D176" s="4" t="s">
        <v>0</v>
      </c>
      <c r="E176" s="4" t="s">
        <v>768</v>
      </c>
      <c r="F176" s="4" t="s">
        <v>3120</v>
      </c>
      <c r="G176" s="4" t="s">
        <v>3121</v>
      </c>
      <c r="H176" s="4">
        <v>1</v>
      </c>
      <c r="I176" s="3">
        <v>0.66</v>
      </c>
    </row>
    <row r="177" spans="1:9" ht="38.25">
      <c r="A177" s="4" t="s">
        <v>276</v>
      </c>
      <c r="B177" s="4" t="s">
        <v>3118</v>
      </c>
      <c r="C177" s="4" t="s">
        <v>3122</v>
      </c>
      <c r="D177" s="4" t="s">
        <v>0</v>
      </c>
      <c r="E177" s="4" t="s">
        <v>277</v>
      </c>
      <c r="F177" s="4" t="s">
        <v>3123</v>
      </c>
      <c r="G177" s="4" t="s">
        <v>3124</v>
      </c>
      <c r="H177" s="4">
        <v>1</v>
      </c>
      <c r="I177" s="3"/>
    </row>
    <row r="178" spans="1:9" ht="38.25">
      <c r="A178" s="4" t="s">
        <v>276</v>
      </c>
      <c r="B178" s="4" t="s">
        <v>3118</v>
      </c>
      <c r="C178" s="4" t="s">
        <v>3122</v>
      </c>
      <c r="D178" s="4" t="s">
        <v>1</v>
      </c>
      <c r="E178" s="4" t="s">
        <v>278</v>
      </c>
      <c r="F178" s="4" t="s">
        <v>3112</v>
      </c>
      <c r="G178" s="4" t="s">
        <v>3113</v>
      </c>
      <c r="H178" s="4">
        <v>8</v>
      </c>
      <c r="I178" s="3"/>
    </row>
    <row r="179" spans="1:9" ht="38.25">
      <c r="A179" s="4" t="s">
        <v>276</v>
      </c>
      <c r="B179" s="4" t="s">
        <v>3118</v>
      </c>
      <c r="C179" s="4" t="s">
        <v>3125</v>
      </c>
      <c r="D179" s="4" t="s">
        <v>2</v>
      </c>
      <c r="E179" s="4" t="s">
        <v>86</v>
      </c>
      <c r="F179" s="4" t="s">
        <v>3114</v>
      </c>
      <c r="G179" s="4" t="s">
        <v>3078</v>
      </c>
      <c r="H179" s="4">
        <v>1</v>
      </c>
      <c r="I179" s="3"/>
    </row>
    <row r="180" spans="1:9" ht="25.5">
      <c r="A180" s="35" t="s">
        <v>304</v>
      </c>
      <c r="B180" s="35" t="s">
        <v>3126</v>
      </c>
      <c r="C180" s="35" t="s">
        <v>3127</v>
      </c>
      <c r="D180" s="4" t="s">
        <v>0</v>
      </c>
      <c r="E180" s="11" t="s">
        <v>769</v>
      </c>
      <c r="F180" s="11" t="s">
        <v>3128</v>
      </c>
      <c r="G180" s="11" t="s">
        <v>3129</v>
      </c>
      <c r="H180" s="55">
        <v>0</v>
      </c>
      <c r="I180" s="3">
        <v>0.34</v>
      </c>
    </row>
    <row r="181" spans="1:9" ht="25.5">
      <c r="A181" s="35" t="s">
        <v>304</v>
      </c>
      <c r="B181" s="35" t="s">
        <v>3126</v>
      </c>
      <c r="C181" s="35" t="s">
        <v>3127</v>
      </c>
      <c r="D181" s="4" t="s">
        <v>0</v>
      </c>
      <c r="E181" s="59" t="s">
        <v>770</v>
      </c>
      <c r="F181" s="59" t="s">
        <v>3128</v>
      </c>
      <c r="G181" s="59" t="s">
        <v>3129</v>
      </c>
      <c r="H181" s="55">
        <v>1</v>
      </c>
      <c r="I181" s="3"/>
    </row>
    <row r="182" spans="1:9" ht="25.5">
      <c r="A182" s="35" t="s">
        <v>304</v>
      </c>
      <c r="B182" s="35" t="s">
        <v>3126</v>
      </c>
      <c r="C182" s="35" t="s">
        <v>3127</v>
      </c>
      <c r="D182" s="4" t="s">
        <v>0</v>
      </c>
      <c r="E182" s="11" t="s">
        <v>771</v>
      </c>
      <c r="F182" s="11" t="s">
        <v>3130</v>
      </c>
      <c r="G182" s="11" t="s">
        <v>3131</v>
      </c>
      <c r="H182" s="55">
        <v>0</v>
      </c>
      <c r="I182" s="3"/>
    </row>
    <row r="183" spans="1:9" ht="25.5">
      <c r="A183" s="35" t="s">
        <v>304</v>
      </c>
      <c r="B183" s="35" t="s">
        <v>3126</v>
      </c>
      <c r="C183" s="35" t="s">
        <v>3132</v>
      </c>
      <c r="D183" s="4" t="s">
        <v>0</v>
      </c>
      <c r="E183" s="59" t="s">
        <v>772</v>
      </c>
      <c r="F183" s="59" t="s">
        <v>3130</v>
      </c>
      <c r="G183" s="59" t="s">
        <v>3133</v>
      </c>
      <c r="H183" s="55">
        <v>1</v>
      </c>
      <c r="I183" s="3"/>
    </row>
    <row r="184" spans="1:9" ht="25.5">
      <c r="A184" s="4" t="s">
        <v>384</v>
      </c>
      <c r="B184" s="4" t="s">
        <v>3134</v>
      </c>
      <c r="C184" s="4" t="s">
        <v>3135</v>
      </c>
      <c r="D184" s="4" t="s">
        <v>0</v>
      </c>
      <c r="E184" s="4" t="s">
        <v>773</v>
      </c>
      <c r="F184" s="4" t="s">
        <v>3136</v>
      </c>
      <c r="G184" s="4" t="s">
        <v>3135</v>
      </c>
      <c r="H184" s="4">
        <v>1</v>
      </c>
      <c r="I184" s="3">
        <v>0.12</v>
      </c>
    </row>
    <row r="185" spans="1:9" ht="25.5">
      <c r="A185" s="4" t="s">
        <v>385</v>
      </c>
      <c r="B185" s="4" t="s">
        <v>3137</v>
      </c>
      <c r="C185" s="4" t="s">
        <v>3138</v>
      </c>
      <c r="D185" s="4" t="s">
        <v>0</v>
      </c>
      <c r="E185" s="4" t="s">
        <v>386</v>
      </c>
      <c r="F185" s="4" t="s">
        <v>3139</v>
      </c>
      <c r="G185" s="4" t="s">
        <v>3138</v>
      </c>
      <c r="H185" s="4">
        <v>1</v>
      </c>
      <c r="I185" s="3">
        <v>0.14000000000000001</v>
      </c>
    </row>
    <row r="186" spans="1:9" ht="25.5">
      <c r="A186" s="4" t="s">
        <v>385</v>
      </c>
      <c r="B186" s="4" t="s">
        <v>3137</v>
      </c>
      <c r="C186" s="4" t="s">
        <v>3138</v>
      </c>
      <c r="D186" s="4" t="s">
        <v>1</v>
      </c>
      <c r="E186" s="4" t="s">
        <v>387</v>
      </c>
      <c r="F186" s="4" t="s">
        <v>2963</v>
      </c>
      <c r="G186" s="4" t="s">
        <v>3140</v>
      </c>
      <c r="H186" s="4">
        <v>1</v>
      </c>
      <c r="I186" s="3"/>
    </row>
    <row r="187" spans="1:9" ht="38.25">
      <c r="A187" s="4" t="s">
        <v>774</v>
      </c>
      <c r="B187" s="4" t="s">
        <v>3141</v>
      </c>
      <c r="C187" s="4" t="s">
        <v>3142</v>
      </c>
      <c r="D187" s="4" t="s">
        <v>0</v>
      </c>
      <c r="E187" s="4" t="s">
        <v>231</v>
      </c>
      <c r="F187" s="4" t="s">
        <v>3143</v>
      </c>
      <c r="G187" s="4" t="s">
        <v>3144</v>
      </c>
      <c r="H187" s="4" t="s">
        <v>42</v>
      </c>
      <c r="I187" s="3">
        <v>0.24</v>
      </c>
    </row>
    <row r="188" spans="1:9" ht="25.5">
      <c r="A188" s="4" t="s">
        <v>228</v>
      </c>
      <c r="B188" s="4" t="s">
        <v>3145</v>
      </c>
      <c r="C188" s="4" t="s">
        <v>3146</v>
      </c>
      <c r="D188" s="4" t="s">
        <v>0</v>
      </c>
      <c r="E188" s="4" t="s">
        <v>85</v>
      </c>
      <c r="F188" s="4" t="s">
        <v>2963</v>
      </c>
      <c r="G188" s="4" t="s">
        <v>3140</v>
      </c>
      <c r="H188" s="4">
        <v>4</v>
      </c>
      <c r="I188" s="3">
        <v>0.52</v>
      </c>
    </row>
    <row r="189" spans="1:9" ht="25.5">
      <c r="A189" s="4" t="s">
        <v>228</v>
      </c>
      <c r="B189" s="4" t="s">
        <v>3145</v>
      </c>
      <c r="C189" s="4" t="s">
        <v>3147</v>
      </c>
      <c r="D189" s="4" t="s">
        <v>1</v>
      </c>
      <c r="E189" s="4" t="s">
        <v>229</v>
      </c>
      <c r="F189" s="4" t="s">
        <v>3148</v>
      </c>
      <c r="G189" s="4" t="s">
        <v>3149</v>
      </c>
      <c r="H189" s="4">
        <v>1</v>
      </c>
      <c r="I189" s="3"/>
    </row>
    <row r="190" spans="1:9" ht="25.5">
      <c r="A190" s="4" t="s">
        <v>228</v>
      </c>
      <c r="B190" s="4" t="s">
        <v>3145</v>
      </c>
      <c r="C190" s="4" t="s">
        <v>3147</v>
      </c>
      <c r="D190" s="4" t="s">
        <v>1</v>
      </c>
      <c r="E190" s="4" t="s">
        <v>230</v>
      </c>
      <c r="F190" s="4" t="s">
        <v>3150</v>
      </c>
      <c r="G190" s="4" t="s">
        <v>3151</v>
      </c>
      <c r="H190" s="4">
        <v>1</v>
      </c>
      <c r="I190" s="3"/>
    </row>
    <row r="191" spans="1:9" ht="25.5">
      <c r="A191" s="4" t="s">
        <v>228</v>
      </c>
      <c r="B191" s="4" t="s">
        <v>3145</v>
      </c>
      <c r="C191" s="4" t="s">
        <v>3152</v>
      </c>
      <c r="D191" s="4" t="s">
        <v>2</v>
      </c>
      <c r="E191" s="4" t="s">
        <v>86</v>
      </c>
      <c r="F191" s="4" t="s">
        <v>3077</v>
      </c>
      <c r="G191" s="4" t="s">
        <v>3153</v>
      </c>
      <c r="H191" s="4">
        <v>4</v>
      </c>
      <c r="I191" s="3"/>
    </row>
    <row r="192" spans="1:9" ht="25.5">
      <c r="A192" s="4" t="s">
        <v>232</v>
      </c>
      <c r="B192" s="4" t="s">
        <v>3154</v>
      </c>
      <c r="C192" s="4" t="s">
        <v>3152</v>
      </c>
      <c r="D192" s="4" t="s">
        <v>0</v>
      </c>
      <c r="E192" s="30" t="s">
        <v>775</v>
      </c>
      <c r="F192" s="30" t="s">
        <v>3155</v>
      </c>
      <c r="G192" s="30" t="s">
        <v>3156</v>
      </c>
      <c r="H192" s="30">
        <v>0</v>
      </c>
      <c r="I192" s="3">
        <v>0.1</v>
      </c>
    </row>
    <row r="193" spans="1:9" ht="25.5">
      <c r="A193" s="4" t="s">
        <v>232</v>
      </c>
      <c r="B193" s="4" t="s">
        <v>3154</v>
      </c>
      <c r="C193" s="4" t="s">
        <v>3152</v>
      </c>
      <c r="D193" s="4" t="s">
        <v>0</v>
      </c>
      <c r="E193" s="60" t="s">
        <v>776</v>
      </c>
      <c r="F193" s="60" t="s">
        <v>3157</v>
      </c>
      <c r="G193" s="60" t="s">
        <v>3158</v>
      </c>
      <c r="H193" s="30">
        <v>1</v>
      </c>
      <c r="I193" s="3"/>
    </row>
    <row r="194" spans="1:9" ht="25.5">
      <c r="A194" s="4" t="s">
        <v>232</v>
      </c>
      <c r="B194" s="4" t="s">
        <v>3154</v>
      </c>
      <c r="C194" s="4" t="s">
        <v>3152</v>
      </c>
      <c r="D194" s="4" t="s">
        <v>0</v>
      </c>
      <c r="E194" s="30" t="s">
        <v>777</v>
      </c>
      <c r="F194" s="30" t="s">
        <v>3159</v>
      </c>
      <c r="G194" s="30" t="s">
        <v>3160</v>
      </c>
      <c r="H194" s="30">
        <v>0</v>
      </c>
      <c r="I194" s="3"/>
    </row>
    <row r="195" spans="1:9" ht="25.5">
      <c r="A195" s="4" t="s">
        <v>232</v>
      </c>
      <c r="B195" s="4" t="s">
        <v>3154</v>
      </c>
      <c r="C195" s="4" t="s">
        <v>3152</v>
      </c>
      <c r="D195" s="4" t="s">
        <v>0</v>
      </c>
      <c r="E195" s="60" t="s">
        <v>778</v>
      </c>
      <c r="F195" s="60" t="s">
        <v>3159</v>
      </c>
      <c r="G195" s="60" t="s">
        <v>3160</v>
      </c>
      <c r="H195" s="30">
        <v>1</v>
      </c>
      <c r="I195" s="3"/>
    </row>
    <row r="196" spans="1:9" ht="25.5">
      <c r="A196" s="4" t="s">
        <v>358</v>
      </c>
      <c r="B196" s="4" t="s">
        <v>3161</v>
      </c>
      <c r="C196" s="4" t="s">
        <v>3162</v>
      </c>
      <c r="D196" s="4" t="s">
        <v>0</v>
      </c>
      <c r="E196" s="4" t="s">
        <v>779</v>
      </c>
      <c r="F196" s="4" t="s">
        <v>3163</v>
      </c>
      <c r="G196" s="4" t="s">
        <v>3164</v>
      </c>
      <c r="H196" s="4">
        <v>1</v>
      </c>
      <c r="I196" s="3">
        <v>0.38</v>
      </c>
    </row>
    <row r="197" spans="1:9" ht="25.5">
      <c r="A197" s="4" t="s">
        <v>358</v>
      </c>
      <c r="B197" s="4" t="s">
        <v>3161</v>
      </c>
      <c r="C197" s="4" t="s">
        <v>3162</v>
      </c>
      <c r="D197" s="4" t="s">
        <v>0</v>
      </c>
      <c r="E197" s="4" t="s">
        <v>359</v>
      </c>
      <c r="F197" s="4" t="s">
        <v>3165</v>
      </c>
      <c r="G197" s="4" t="s">
        <v>3166</v>
      </c>
      <c r="H197" s="4">
        <v>1</v>
      </c>
      <c r="I197" s="3"/>
    </row>
    <row r="198" spans="1:9" ht="25.5">
      <c r="A198" s="4" t="s">
        <v>233</v>
      </c>
      <c r="B198" s="4" t="s">
        <v>3167</v>
      </c>
      <c r="C198" s="4" t="s">
        <v>3168</v>
      </c>
      <c r="D198" s="4" t="s">
        <v>0</v>
      </c>
      <c r="E198" s="4" t="s">
        <v>234</v>
      </c>
      <c r="F198" s="4" t="s">
        <v>3169</v>
      </c>
      <c r="G198" s="4" t="s">
        <v>3170</v>
      </c>
      <c r="H198" s="4">
        <v>1</v>
      </c>
      <c r="I198" s="3">
        <v>0.54</v>
      </c>
    </row>
    <row r="199" spans="1:9" ht="25.5">
      <c r="A199" s="4" t="s">
        <v>233</v>
      </c>
      <c r="B199" s="4" t="s">
        <v>3167</v>
      </c>
      <c r="C199" s="4" t="s">
        <v>3168</v>
      </c>
      <c r="D199" s="4" t="s">
        <v>0</v>
      </c>
      <c r="E199" s="4" t="s">
        <v>235</v>
      </c>
      <c r="F199" s="4" t="s">
        <v>3171</v>
      </c>
      <c r="G199" s="4" t="s">
        <v>3172</v>
      </c>
      <c r="H199" s="4">
        <v>1</v>
      </c>
      <c r="I199" s="3"/>
    </row>
    <row r="200" spans="1:9" ht="25.5">
      <c r="A200" s="4" t="s">
        <v>233</v>
      </c>
      <c r="B200" s="4" t="s">
        <v>3167</v>
      </c>
      <c r="C200" s="4" t="s">
        <v>3173</v>
      </c>
      <c r="D200" s="4" t="s">
        <v>1</v>
      </c>
      <c r="E200" s="4" t="s">
        <v>85</v>
      </c>
      <c r="F200" s="4" t="s">
        <v>2963</v>
      </c>
      <c r="G200" s="4" t="s">
        <v>3140</v>
      </c>
      <c r="H200" s="4">
        <v>2</v>
      </c>
      <c r="I200" s="3"/>
    </row>
    <row r="201" spans="1:9" ht="25.5">
      <c r="A201" s="4" t="s">
        <v>233</v>
      </c>
      <c r="B201" s="4" t="s">
        <v>3167</v>
      </c>
      <c r="C201" s="4" t="s">
        <v>3168</v>
      </c>
      <c r="D201" s="4" t="s">
        <v>2</v>
      </c>
      <c r="E201" s="4" t="s">
        <v>86</v>
      </c>
      <c r="F201" s="4" t="s">
        <v>3077</v>
      </c>
      <c r="G201" s="4" t="s">
        <v>2792</v>
      </c>
      <c r="H201" s="4">
        <v>2</v>
      </c>
      <c r="I201" s="3"/>
    </row>
    <row r="202" spans="1:9" ht="25.5">
      <c r="A202" s="4" t="s">
        <v>233</v>
      </c>
      <c r="B202" s="4" t="s">
        <v>3167</v>
      </c>
      <c r="C202" s="4" t="s">
        <v>3173</v>
      </c>
      <c r="D202" s="4" t="s">
        <v>7</v>
      </c>
      <c r="E202" s="34" t="s">
        <v>780</v>
      </c>
      <c r="F202" s="60" t="s">
        <v>3174</v>
      </c>
      <c r="G202" s="60" t="s">
        <v>3175</v>
      </c>
      <c r="H202" s="30">
        <v>0</v>
      </c>
      <c r="I202" s="3"/>
    </row>
    <row r="203" spans="1:9" ht="25.5">
      <c r="A203" s="4" t="s">
        <v>233</v>
      </c>
      <c r="B203" s="4" t="s">
        <v>3167</v>
      </c>
      <c r="C203" s="4" t="s">
        <v>3173</v>
      </c>
      <c r="D203" s="4" t="s">
        <v>7</v>
      </c>
      <c r="E203" s="30" t="s">
        <v>781</v>
      </c>
      <c r="F203" s="30" t="s">
        <v>3176</v>
      </c>
      <c r="G203" s="30" t="s">
        <v>3175</v>
      </c>
      <c r="H203" s="30">
        <v>1</v>
      </c>
      <c r="I203" s="3"/>
    </row>
    <row r="204" spans="1:9" ht="25.5">
      <c r="A204" s="4" t="s">
        <v>233</v>
      </c>
      <c r="B204" s="4" t="s">
        <v>3167</v>
      </c>
      <c r="C204" s="4" t="s">
        <v>3173</v>
      </c>
      <c r="D204" s="4" t="s">
        <v>7</v>
      </c>
      <c r="E204" s="34" t="s">
        <v>782</v>
      </c>
      <c r="F204" s="60" t="s">
        <v>3177</v>
      </c>
      <c r="G204" s="60" t="s">
        <v>3178</v>
      </c>
      <c r="H204" s="30">
        <v>0</v>
      </c>
      <c r="I204" s="3"/>
    </row>
    <row r="205" spans="1:9" ht="25.5">
      <c r="A205" s="4" t="s">
        <v>233</v>
      </c>
      <c r="B205" s="4" t="s">
        <v>3167</v>
      </c>
      <c r="C205" s="4" t="s">
        <v>3173</v>
      </c>
      <c r="D205" s="4" t="s">
        <v>7</v>
      </c>
      <c r="E205" s="30" t="s">
        <v>783</v>
      </c>
      <c r="F205" s="30" t="s">
        <v>3177</v>
      </c>
      <c r="G205" s="30" t="s">
        <v>3178</v>
      </c>
      <c r="H205" s="30">
        <v>1</v>
      </c>
      <c r="I205" s="3"/>
    </row>
    <row r="206" spans="1:9" ht="25.5">
      <c r="A206" s="4" t="s">
        <v>784</v>
      </c>
      <c r="B206" s="4" t="s">
        <v>3179</v>
      </c>
      <c r="C206" s="4" t="s">
        <v>3180</v>
      </c>
      <c r="D206" s="4" t="s">
        <v>0</v>
      </c>
      <c r="E206" s="4" t="s">
        <v>785</v>
      </c>
      <c r="F206" s="4" t="s">
        <v>3181</v>
      </c>
      <c r="G206" s="4" t="s">
        <v>3182</v>
      </c>
      <c r="H206" s="4">
        <v>1</v>
      </c>
      <c r="I206" s="3">
        <v>0.92</v>
      </c>
    </row>
    <row r="207" spans="1:9" ht="25.5">
      <c r="A207" s="4" t="s">
        <v>84</v>
      </c>
      <c r="B207" s="4" t="s">
        <v>3179</v>
      </c>
      <c r="C207" s="4" t="s">
        <v>3180</v>
      </c>
      <c r="D207" s="4" t="s">
        <v>0</v>
      </c>
      <c r="E207" s="11" t="s">
        <v>786</v>
      </c>
      <c r="F207" s="11" t="s">
        <v>3183</v>
      </c>
      <c r="G207" s="11" t="s">
        <v>3184</v>
      </c>
      <c r="H207" s="4">
        <v>1</v>
      </c>
      <c r="I207" s="3"/>
    </row>
    <row r="208" spans="1:9" ht="25.5">
      <c r="A208" s="4" t="s">
        <v>84</v>
      </c>
      <c r="B208" s="4" t="s">
        <v>3179</v>
      </c>
      <c r="C208" s="4" t="s">
        <v>3180</v>
      </c>
      <c r="D208" s="4" t="s">
        <v>1</v>
      </c>
      <c r="E208" s="4" t="s">
        <v>85</v>
      </c>
      <c r="F208" s="4" t="s">
        <v>2963</v>
      </c>
      <c r="G208" s="4" t="s">
        <v>3140</v>
      </c>
      <c r="H208" s="4">
        <v>2</v>
      </c>
      <c r="I208" s="3"/>
    </row>
    <row r="209" spans="1:9" ht="25.5">
      <c r="A209" s="4" t="s">
        <v>84</v>
      </c>
      <c r="B209" s="4" t="s">
        <v>3179</v>
      </c>
      <c r="C209" s="4" t="s">
        <v>3180</v>
      </c>
      <c r="D209" s="4" t="s">
        <v>2</v>
      </c>
      <c r="E209" s="4" t="s">
        <v>86</v>
      </c>
      <c r="F209" s="4" t="s">
        <v>3077</v>
      </c>
      <c r="G209" s="4" t="s">
        <v>3078</v>
      </c>
      <c r="H209" s="4">
        <v>2</v>
      </c>
      <c r="I209" s="3"/>
    </row>
    <row r="210" spans="1:9" ht="25.5">
      <c r="A210" s="4" t="s">
        <v>84</v>
      </c>
      <c r="B210" s="4" t="s">
        <v>3179</v>
      </c>
      <c r="C210" s="4" t="s">
        <v>3180</v>
      </c>
      <c r="D210" s="4" t="s">
        <v>7</v>
      </c>
      <c r="E210" s="4" t="s">
        <v>87</v>
      </c>
      <c r="F210" s="4" t="s">
        <v>3185</v>
      </c>
      <c r="G210" s="4" t="s">
        <v>3186</v>
      </c>
      <c r="H210" s="4">
        <v>2</v>
      </c>
      <c r="I210" s="3"/>
    </row>
    <row r="211" spans="1:9" ht="25.5">
      <c r="A211" s="4" t="s">
        <v>84</v>
      </c>
      <c r="B211" s="4" t="s">
        <v>3179</v>
      </c>
      <c r="C211" s="4" t="s">
        <v>3180</v>
      </c>
      <c r="D211" s="4" t="s">
        <v>9</v>
      </c>
      <c r="E211" s="4" t="s">
        <v>88</v>
      </c>
      <c r="F211" s="4" t="s">
        <v>3024</v>
      </c>
      <c r="G211" s="4" t="s">
        <v>3025</v>
      </c>
      <c r="H211" s="4">
        <v>4</v>
      </c>
      <c r="I211" s="3"/>
    </row>
    <row r="212" spans="1:9" ht="25.5">
      <c r="A212" s="4" t="s">
        <v>423</v>
      </c>
      <c r="B212" s="4" t="s">
        <v>3187</v>
      </c>
      <c r="C212" s="4" t="s">
        <v>3188</v>
      </c>
      <c r="D212" s="4" t="s">
        <v>0</v>
      </c>
      <c r="E212" s="4" t="s">
        <v>424</v>
      </c>
      <c r="F212" s="4" t="s">
        <v>3189</v>
      </c>
      <c r="G212" s="4" t="s">
        <v>3190</v>
      </c>
      <c r="H212" s="4">
        <v>1</v>
      </c>
      <c r="I212" s="3">
        <v>0.22</v>
      </c>
    </row>
    <row r="213" spans="1:9" ht="25.5">
      <c r="A213" s="4" t="s">
        <v>423</v>
      </c>
      <c r="B213" s="4" t="s">
        <v>3187</v>
      </c>
      <c r="C213" s="4" t="s">
        <v>3188</v>
      </c>
      <c r="D213" s="4" t="s">
        <v>0</v>
      </c>
      <c r="E213" s="4" t="s">
        <v>425</v>
      </c>
      <c r="F213" s="4" t="s">
        <v>3191</v>
      </c>
      <c r="G213" s="4" t="s">
        <v>3192</v>
      </c>
      <c r="H213" s="4">
        <v>1</v>
      </c>
      <c r="I213" s="3"/>
    </row>
    <row r="214" spans="1:9" ht="25.5">
      <c r="A214" s="1" t="s">
        <v>627</v>
      </c>
      <c r="B214" s="1" t="s">
        <v>3193</v>
      </c>
      <c r="C214" s="1" t="s">
        <v>3194</v>
      </c>
      <c r="D214" s="1" t="s">
        <v>0</v>
      </c>
      <c r="E214" s="30" t="s">
        <v>787</v>
      </c>
      <c r="F214" s="30" t="s">
        <v>3195</v>
      </c>
      <c r="G214" s="30" t="s">
        <v>3196</v>
      </c>
      <c r="H214" s="1">
        <v>1</v>
      </c>
      <c r="I214" s="3">
        <v>0.22</v>
      </c>
    </row>
    <row r="215" spans="1:9" ht="25.5">
      <c r="A215" s="1" t="s">
        <v>627</v>
      </c>
      <c r="B215" s="1" t="s">
        <v>3193</v>
      </c>
      <c r="C215" s="1" t="s">
        <v>3194</v>
      </c>
      <c r="D215" s="1" t="s">
        <v>0</v>
      </c>
      <c r="E215" s="30" t="s">
        <v>788</v>
      </c>
      <c r="F215" s="30" t="s">
        <v>3197</v>
      </c>
      <c r="G215" s="30" t="s">
        <v>3198</v>
      </c>
      <c r="H215" s="1">
        <v>1</v>
      </c>
      <c r="I215" s="3"/>
    </row>
    <row r="216" spans="1:9" ht="25.5">
      <c r="A216" s="4" t="s">
        <v>426</v>
      </c>
      <c r="B216" s="4" t="s">
        <v>3199</v>
      </c>
      <c r="C216" s="4" t="s">
        <v>3200</v>
      </c>
      <c r="D216" s="4" t="s">
        <v>0</v>
      </c>
      <c r="E216" s="4" t="s">
        <v>427</v>
      </c>
      <c r="F216" s="4" t="s">
        <v>3201</v>
      </c>
      <c r="G216" s="4" t="s">
        <v>3202</v>
      </c>
      <c r="H216" s="4">
        <v>1</v>
      </c>
      <c r="I216" s="3">
        <v>0.14000000000000001</v>
      </c>
    </row>
    <row r="217" spans="1:9" ht="25.5">
      <c r="A217" s="4" t="s">
        <v>426</v>
      </c>
      <c r="B217" s="4" t="s">
        <v>3199</v>
      </c>
      <c r="C217" s="4" t="s">
        <v>3200</v>
      </c>
      <c r="D217" s="4" t="s">
        <v>0</v>
      </c>
      <c r="E217" s="4" t="s">
        <v>428</v>
      </c>
      <c r="F217" s="4" t="s">
        <v>3203</v>
      </c>
      <c r="G217" s="4" t="s">
        <v>3204</v>
      </c>
      <c r="H217" s="4">
        <v>1</v>
      </c>
      <c r="I217" s="3"/>
    </row>
    <row r="218" spans="1:9" ht="25.5">
      <c r="A218" s="4" t="s">
        <v>537</v>
      </c>
      <c r="B218" s="4" t="s">
        <v>3205</v>
      </c>
      <c r="C218" s="4" t="s">
        <v>3206</v>
      </c>
      <c r="D218" s="4" t="s">
        <v>0</v>
      </c>
      <c r="E218" s="4" t="s">
        <v>85</v>
      </c>
      <c r="F218" s="4" t="s">
        <v>2963</v>
      </c>
      <c r="G218" s="4" t="s">
        <v>3140</v>
      </c>
      <c r="H218" s="4">
        <v>2</v>
      </c>
      <c r="I218" s="3">
        <v>1.34</v>
      </c>
    </row>
    <row r="219" spans="1:9" ht="25.5">
      <c r="A219" s="4" t="s">
        <v>537</v>
      </c>
      <c r="B219" s="4" t="s">
        <v>3207</v>
      </c>
      <c r="C219" s="4" t="s">
        <v>3208</v>
      </c>
      <c r="D219" s="4" t="s">
        <v>1</v>
      </c>
      <c r="E219" s="11" t="s">
        <v>789</v>
      </c>
      <c r="F219" s="11" t="s">
        <v>3209</v>
      </c>
      <c r="G219" s="11" t="s">
        <v>3210</v>
      </c>
      <c r="H219" s="4">
        <v>1</v>
      </c>
      <c r="I219" s="3"/>
    </row>
    <row r="220" spans="1:9" ht="25.5">
      <c r="A220" s="4" t="s">
        <v>537</v>
      </c>
      <c r="B220" s="4" t="s">
        <v>3207</v>
      </c>
      <c r="C220" s="4" t="s">
        <v>3208</v>
      </c>
      <c r="D220" s="4" t="s">
        <v>1</v>
      </c>
      <c r="E220" s="11" t="s">
        <v>790</v>
      </c>
      <c r="F220" s="11" t="s">
        <v>3211</v>
      </c>
      <c r="G220" s="11" t="s">
        <v>3212</v>
      </c>
      <c r="H220" s="4">
        <v>1</v>
      </c>
      <c r="I220" s="3"/>
    </row>
    <row r="221" spans="1:9" ht="38.25">
      <c r="A221" s="4" t="s">
        <v>537</v>
      </c>
      <c r="B221" s="4" t="s">
        <v>3207</v>
      </c>
      <c r="C221" s="4" t="s">
        <v>3213</v>
      </c>
      <c r="D221" s="4" t="s">
        <v>2</v>
      </c>
      <c r="E221" s="4" t="s">
        <v>19</v>
      </c>
      <c r="F221" s="4" t="s">
        <v>3214</v>
      </c>
      <c r="G221" s="4" t="s">
        <v>3215</v>
      </c>
      <c r="H221" s="4">
        <v>4</v>
      </c>
      <c r="I221" s="3"/>
    </row>
    <row r="222" spans="1:9" ht="25.5">
      <c r="A222" s="4" t="s">
        <v>537</v>
      </c>
      <c r="B222" s="4" t="s">
        <v>3207</v>
      </c>
      <c r="C222" s="4" t="s">
        <v>3213</v>
      </c>
      <c r="D222" s="4" t="s">
        <v>7</v>
      </c>
      <c r="E222" s="4" t="s">
        <v>527</v>
      </c>
      <c r="F222" s="4" t="s">
        <v>3077</v>
      </c>
      <c r="G222" s="4" t="s">
        <v>3216</v>
      </c>
      <c r="H222" s="4">
        <v>4</v>
      </c>
      <c r="I222" s="3"/>
    </row>
    <row r="223" spans="1:9" ht="38.25">
      <c r="A223" s="4" t="s">
        <v>537</v>
      </c>
      <c r="B223" s="4" t="s">
        <v>3207</v>
      </c>
      <c r="C223" s="4" t="s">
        <v>3206</v>
      </c>
      <c r="D223" s="4" t="s">
        <v>9</v>
      </c>
      <c r="E223" s="4" t="s">
        <v>791</v>
      </c>
      <c r="F223" s="4" t="s">
        <v>3217</v>
      </c>
      <c r="G223" s="4" t="s">
        <v>3218</v>
      </c>
      <c r="H223" s="4">
        <v>2</v>
      </c>
      <c r="I223" s="3"/>
    </row>
    <row r="224" spans="1:9" ht="25.5">
      <c r="A224" s="4" t="s">
        <v>538</v>
      </c>
      <c r="B224" s="4" t="s">
        <v>3219</v>
      </c>
      <c r="C224" s="4" t="s">
        <v>3220</v>
      </c>
      <c r="D224" s="4" t="s">
        <v>0</v>
      </c>
      <c r="E224" s="4" t="s">
        <v>85</v>
      </c>
      <c r="F224" s="4" t="s">
        <v>2963</v>
      </c>
      <c r="G224" s="4" t="s">
        <v>3140</v>
      </c>
      <c r="H224" s="4">
        <v>2</v>
      </c>
      <c r="I224" s="3">
        <v>1.04</v>
      </c>
    </row>
    <row r="225" spans="1:9" ht="25.5">
      <c r="A225" s="4" t="s">
        <v>538</v>
      </c>
      <c r="B225" s="4" t="s">
        <v>3219</v>
      </c>
      <c r="C225" s="4" t="s">
        <v>3221</v>
      </c>
      <c r="D225" s="4" t="s">
        <v>1</v>
      </c>
      <c r="E225" s="11" t="s">
        <v>792</v>
      </c>
      <c r="F225" s="11" t="s">
        <v>3222</v>
      </c>
      <c r="G225" s="11" t="s">
        <v>3223</v>
      </c>
      <c r="H225" s="4">
        <v>1</v>
      </c>
      <c r="I225" s="3"/>
    </row>
    <row r="226" spans="1:9" ht="25.5">
      <c r="A226" s="4" t="s">
        <v>538</v>
      </c>
      <c r="B226" s="4" t="s">
        <v>3219</v>
      </c>
      <c r="C226" s="4" t="s">
        <v>3224</v>
      </c>
      <c r="D226" s="4" t="s">
        <v>1</v>
      </c>
      <c r="E226" s="11" t="s">
        <v>793</v>
      </c>
      <c r="F226" s="11" t="s">
        <v>3225</v>
      </c>
      <c r="G226" s="11" t="s">
        <v>3226</v>
      </c>
      <c r="H226" s="4">
        <v>1</v>
      </c>
      <c r="I226" s="3"/>
    </row>
    <row r="227" spans="1:9" ht="38.25">
      <c r="A227" s="4" t="s">
        <v>538</v>
      </c>
      <c r="B227" s="4" t="s">
        <v>3219</v>
      </c>
      <c r="C227" s="4" t="s">
        <v>3224</v>
      </c>
      <c r="D227" s="4" t="s">
        <v>2</v>
      </c>
      <c r="E227" s="4" t="s">
        <v>19</v>
      </c>
      <c r="F227" s="4" t="s">
        <v>3214</v>
      </c>
      <c r="G227" s="4" t="s">
        <v>3215</v>
      </c>
      <c r="H227" s="4">
        <v>4</v>
      </c>
      <c r="I227" s="3"/>
    </row>
    <row r="228" spans="1:9" ht="25.5">
      <c r="A228" s="4" t="s">
        <v>538</v>
      </c>
      <c r="B228" s="4" t="s">
        <v>3219</v>
      </c>
      <c r="C228" s="4" t="s">
        <v>3227</v>
      </c>
      <c r="D228" s="4" t="s">
        <v>7</v>
      </c>
      <c r="E228" s="4" t="s">
        <v>86</v>
      </c>
      <c r="F228" s="4" t="s">
        <v>3077</v>
      </c>
      <c r="G228" s="4" t="s">
        <v>3153</v>
      </c>
      <c r="H228" s="4">
        <v>2</v>
      </c>
      <c r="I228" s="3"/>
    </row>
    <row r="229" spans="1:9" ht="25.5">
      <c r="A229" s="4" t="s">
        <v>538</v>
      </c>
      <c r="B229" s="4" t="s">
        <v>3219</v>
      </c>
      <c r="C229" s="4" t="s">
        <v>3227</v>
      </c>
      <c r="D229" s="4" t="s">
        <v>9</v>
      </c>
      <c r="E229" s="4" t="s">
        <v>794</v>
      </c>
      <c r="F229" s="4" t="s">
        <v>3228</v>
      </c>
      <c r="G229" s="4" t="s">
        <v>3229</v>
      </c>
      <c r="H229" s="4">
        <v>1</v>
      </c>
      <c r="I229" s="3"/>
    </row>
    <row r="230" spans="1:9" ht="38.25">
      <c r="A230" s="4" t="s">
        <v>538</v>
      </c>
      <c r="B230" s="4" t="s">
        <v>3219</v>
      </c>
      <c r="C230" s="4" t="s">
        <v>3227</v>
      </c>
      <c r="D230" s="4" t="s">
        <v>9</v>
      </c>
      <c r="E230" s="4" t="s">
        <v>795</v>
      </c>
      <c r="F230" s="4" t="s">
        <v>3230</v>
      </c>
      <c r="G230" s="4" t="s">
        <v>3231</v>
      </c>
      <c r="H230" s="4">
        <v>1</v>
      </c>
      <c r="I230" s="3"/>
    </row>
    <row r="231" spans="1:9" ht="25.5">
      <c r="A231" s="4" t="s">
        <v>796</v>
      </c>
      <c r="B231" s="4" t="s">
        <v>3232</v>
      </c>
      <c r="C231" s="4" t="s">
        <v>3233</v>
      </c>
      <c r="D231" s="4" t="s">
        <v>0</v>
      </c>
      <c r="E231" s="4" t="s">
        <v>516</v>
      </c>
      <c r="F231" s="4" t="s">
        <v>3234</v>
      </c>
      <c r="G231" s="4" t="s">
        <v>3235</v>
      </c>
      <c r="H231" s="4">
        <v>1</v>
      </c>
      <c r="I231" s="3">
        <v>0.52</v>
      </c>
    </row>
    <row r="232" spans="1:9" ht="25.5">
      <c r="A232" s="4" t="s">
        <v>797</v>
      </c>
      <c r="B232" s="4" t="s">
        <v>3232</v>
      </c>
      <c r="C232" s="4" t="s">
        <v>3236</v>
      </c>
      <c r="D232" s="4" t="s">
        <v>0</v>
      </c>
      <c r="E232" s="4" t="s">
        <v>518</v>
      </c>
      <c r="F232" s="4" t="s">
        <v>3237</v>
      </c>
      <c r="G232" s="4" t="s">
        <v>3238</v>
      </c>
      <c r="H232" s="4">
        <v>1</v>
      </c>
      <c r="I232" s="3"/>
    </row>
    <row r="233" spans="1:9" ht="25.5">
      <c r="A233" s="4" t="s">
        <v>515</v>
      </c>
      <c r="B233" s="4" t="s">
        <v>3232</v>
      </c>
      <c r="C233" s="4" t="s">
        <v>3236</v>
      </c>
      <c r="D233" s="4" t="s">
        <v>0</v>
      </c>
      <c r="E233" s="4" t="s">
        <v>588</v>
      </c>
      <c r="F233" s="4" t="s">
        <v>3239</v>
      </c>
      <c r="G233" s="4" t="s">
        <v>3240</v>
      </c>
      <c r="H233" s="30">
        <v>1</v>
      </c>
      <c r="I233" s="3"/>
    </row>
    <row r="234" spans="1:9" ht="25.5">
      <c r="A234" s="4" t="s">
        <v>797</v>
      </c>
      <c r="B234" s="4" t="s">
        <v>3232</v>
      </c>
      <c r="C234" s="4" t="s">
        <v>3236</v>
      </c>
      <c r="D234" s="4" t="s">
        <v>0</v>
      </c>
      <c r="E234" s="4" t="s">
        <v>517</v>
      </c>
      <c r="F234" s="4" t="s">
        <v>3241</v>
      </c>
      <c r="G234" s="4" t="s">
        <v>3242</v>
      </c>
      <c r="H234" s="4">
        <v>1</v>
      </c>
      <c r="I234" s="3"/>
    </row>
    <row r="235" spans="1:9" ht="25.5">
      <c r="A235" s="4" t="s">
        <v>195</v>
      </c>
      <c r="B235" s="4" t="s">
        <v>3243</v>
      </c>
      <c r="C235" s="4" t="s">
        <v>3244</v>
      </c>
      <c r="D235" s="4" t="s">
        <v>0</v>
      </c>
      <c r="E235" s="4" t="s">
        <v>196</v>
      </c>
      <c r="F235" s="4" t="s">
        <v>3245</v>
      </c>
      <c r="G235" s="4" t="s">
        <v>3246</v>
      </c>
      <c r="H235" s="4">
        <v>14</v>
      </c>
      <c r="I235" s="3">
        <v>1.54</v>
      </c>
    </row>
    <row r="236" spans="1:9" ht="25.5">
      <c r="A236" s="4" t="s">
        <v>195</v>
      </c>
      <c r="B236" s="4" t="s">
        <v>3243</v>
      </c>
      <c r="C236" s="4" t="s">
        <v>3244</v>
      </c>
      <c r="D236" s="4" t="s">
        <v>1</v>
      </c>
      <c r="E236" s="33" t="s">
        <v>197</v>
      </c>
      <c r="F236" s="33" t="s">
        <v>3247</v>
      </c>
      <c r="G236" s="33" t="s">
        <v>3248</v>
      </c>
      <c r="H236" s="4">
        <v>1</v>
      </c>
      <c r="I236" s="3"/>
    </row>
    <row r="237" spans="1:9" ht="25.5">
      <c r="A237" s="4" t="s">
        <v>195</v>
      </c>
      <c r="B237" s="4" t="s">
        <v>3243</v>
      </c>
      <c r="C237" s="4" t="s">
        <v>3244</v>
      </c>
      <c r="D237" s="4" t="s">
        <v>1</v>
      </c>
      <c r="E237" s="33" t="s">
        <v>798</v>
      </c>
      <c r="F237" s="33" t="s">
        <v>3249</v>
      </c>
      <c r="G237" s="33" t="s">
        <v>3250</v>
      </c>
      <c r="H237" s="4">
        <v>1</v>
      </c>
      <c r="I237" s="3"/>
    </row>
    <row r="238" spans="1:9" ht="25.5">
      <c r="A238" s="4" t="s">
        <v>195</v>
      </c>
      <c r="B238" s="4" t="s">
        <v>3243</v>
      </c>
      <c r="C238" s="4" t="s">
        <v>3244</v>
      </c>
      <c r="D238" s="4" t="s">
        <v>2</v>
      </c>
      <c r="E238" s="4" t="s">
        <v>198</v>
      </c>
      <c r="F238" s="4" t="s">
        <v>3251</v>
      </c>
      <c r="G238" s="4" t="s">
        <v>3252</v>
      </c>
      <c r="H238" s="4">
        <v>12</v>
      </c>
      <c r="I238" s="3"/>
    </row>
    <row r="239" spans="1:9" ht="25.5">
      <c r="A239" s="4" t="s">
        <v>416</v>
      </c>
      <c r="B239" s="4" t="s">
        <v>3253</v>
      </c>
      <c r="C239" s="4" t="s">
        <v>3254</v>
      </c>
      <c r="D239" s="4" t="s">
        <v>0</v>
      </c>
      <c r="E239" s="33" t="s">
        <v>417</v>
      </c>
      <c r="F239" s="33" t="s">
        <v>3255</v>
      </c>
      <c r="G239" s="33" t="s">
        <v>3256</v>
      </c>
      <c r="H239" s="4">
        <v>1</v>
      </c>
      <c r="I239" s="3">
        <v>0.44</v>
      </c>
    </row>
    <row r="240" spans="1:9" ht="25.5">
      <c r="A240" s="4" t="s">
        <v>416</v>
      </c>
      <c r="B240" s="4" t="s">
        <v>3253</v>
      </c>
      <c r="C240" s="4" t="s">
        <v>3257</v>
      </c>
      <c r="D240" s="4" t="s">
        <v>0</v>
      </c>
      <c r="E240" s="33" t="s">
        <v>799</v>
      </c>
      <c r="F240" s="33" t="s">
        <v>3258</v>
      </c>
      <c r="G240" s="33" t="s">
        <v>3259</v>
      </c>
      <c r="H240" s="4">
        <v>1</v>
      </c>
      <c r="I240" s="3"/>
    </row>
    <row r="241" spans="1:9" ht="25.5">
      <c r="A241" s="4" t="s">
        <v>800</v>
      </c>
      <c r="B241" s="4" t="s">
        <v>3260</v>
      </c>
      <c r="C241" s="4" t="s">
        <v>3261</v>
      </c>
      <c r="D241" s="4" t="s">
        <v>0</v>
      </c>
      <c r="E241" s="33" t="s">
        <v>801</v>
      </c>
      <c r="F241" s="33" t="s">
        <v>3262</v>
      </c>
      <c r="G241" s="33" t="s">
        <v>3263</v>
      </c>
      <c r="H241" s="4">
        <v>1</v>
      </c>
      <c r="I241" s="3">
        <v>0.4</v>
      </c>
    </row>
    <row r="242" spans="1:9" ht="25.5">
      <c r="A242" s="4" t="s">
        <v>418</v>
      </c>
      <c r="B242" s="4" t="s">
        <v>3260</v>
      </c>
      <c r="C242" s="4" t="s">
        <v>3264</v>
      </c>
      <c r="D242" s="4" t="s">
        <v>0</v>
      </c>
      <c r="E242" s="33" t="s">
        <v>419</v>
      </c>
      <c r="F242" s="33" t="s">
        <v>3265</v>
      </c>
      <c r="G242" s="33" t="s">
        <v>3266</v>
      </c>
      <c r="H242" s="4">
        <v>1</v>
      </c>
      <c r="I242" s="3"/>
    </row>
    <row r="243" spans="1:9" ht="25.5">
      <c r="A243" s="4" t="s">
        <v>388</v>
      </c>
      <c r="B243" s="4" t="s">
        <v>3267</v>
      </c>
      <c r="C243" s="4" t="s">
        <v>3268</v>
      </c>
      <c r="D243" s="4" t="s">
        <v>0</v>
      </c>
      <c r="E243" s="4" t="s">
        <v>389</v>
      </c>
      <c r="F243" s="4" t="s">
        <v>3269</v>
      </c>
      <c r="G243" s="4" t="s">
        <v>3270</v>
      </c>
      <c r="H243" s="4">
        <v>1</v>
      </c>
      <c r="I243" s="3">
        <v>0.32</v>
      </c>
    </row>
    <row r="244" spans="1:9" ht="25.5">
      <c r="A244" s="4" t="s">
        <v>388</v>
      </c>
      <c r="B244" s="4" t="s">
        <v>3267</v>
      </c>
      <c r="C244" s="4" t="s">
        <v>3268</v>
      </c>
      <c r="D244" s="4" t="s">
        <v>0</v>
      </c>
      <c r="E244" s="4" t="s">
        <v>390</v>
      </c>
      <c r="F244" s="4" t="s">
        <v>3271</v>
      </c>
      <c r="G244" s="4" t="s">
        <v>3272</v>
      </c>
      <c r="H244" s="4">
        <v>1</v>
      </c>
      <c r="I244" s="3"/>
    </row>
    <row r="245" spans="1:9" ht="25.5">
      <c r="A245" s="4" t="s">
        <v>391</v>
      </c>
      <c r="B245" s="4" t="s">
        <v>3273</v>
      </c>
      <c r="C245" s="4" t="s">
        <v>3274</v>
      </c>
      <c r="D245" s="4" t="s">
        <v>0</v>
      </c>
      <c r="E245" s="4" t="s">
        <v>392</v>
      </c>
      <c r="F245" s="4" t="s">
        <v>3275</v>
      </c>
      <c r="G245" s="4" t="s">
        <v>3276</v>
      </c>
      <c r="H245" s="4">
        <v>1</v>
      </c>
      <c r="I245" s="3">
        <v>0.28000000000000003</v>
      </c>
    </row>
    <row r="246" spans="1:9" ht="25.5">
      <c r="A246" s="4" t="s">
        <v>391</v>
      </c>
      <c r="B246" s="4" t="s">
        <v>3273</v>
      </c>
      <c r="C246" s="4" t="s">
        <v>3274</v>
      </c>
      <c r="D246" s="4" t="s">
        <v>0</v>
      </c>
      <c r="E246" s="4" t="s">
        <v>393</v>
      </c>
      <c r="F246" s="4" t="s">
        <v>3277</v>
      </c>
      <c r="G246" s="4" t="s">
        <v>3278</v>
      </c>
      <c r="H246" s="4">
        <v>1</v>
      </c>
      <c r="I246" s="3"/>
    </row>
    <row r="247" spans="1:9" ht="25.5">
      <c r="A247" s="4" t="s">
        <v>596</v>
      </c>
      <c r="B247" s="4" t="s">
        <v>3279</v>
      </c>
      <c r="C247" s="4" t="s">
        <v>3280</v>
      </c>
      <c r="D247" s="4" t="s">
        <v>0</v>
      </c>
      <c r="E247" s="4" t="s">
        <v>597</v>
      </c>
      <c r="F247" s="4" t="s">
        <v>3281</v>
      </c>
      <c r="G247" s="4" t="s">
        <v>3282</v>
      </c>
      <c r="H247" s="4">
        <v>1</v>
      </c>
      <c r="I247" s="3">
        <v>0.28000000000000003</v>
      </c>
    </row>
    <row r="248" spans="1:9" ht="25.5">
      <c r="A248" s="4" t="s">
        <v>596</v>
      </c>
      <c r="B248" s="4" t="s">
        <v>3279</v>
      </c>
      <c r="C248" s="4" t="s">
        <v>3280</v>
      </c>
      <c r="D248" s="4" t="s">
        <v>1</v>
      </c>
      <c r="E248" s="4" t="s">
        <v>88</v>
      </c>
      <c r="F248" s="4" t="s">
        <v>3024</v>
      </c>
      <c r="G248" s="4" t="s">
        <v>3283</v>
      </c>
      <c r="H248" s="4">
        <v>5</v>
      </c>
      <c r="I248" s="3"/>
    </row>
    <row r="249" spans="1:9" ht="25.5">
      <c r="A249" s="61" t="s">
        <v>296</v>
      </c>
      <c r="B249" s="61" t="s">
        <v>3284</v>
      </c>
      <c r="C249" s="61" t="s">
        <v>3285</v>
      </c>
      <c r="D249" s="61" t="s">
        <v>0</v>
      </c>
      <c r="E249" s="30" t="s">
        <v>802</v>
      </c>
      <c r="F249" s="62" t="s">
        <v>3286</v>
      </c>
      <c r="G249" s="62" t="s">
        <v>3287</v>
      </c>
      <c r="H249" s="47">
        <v>1</v>
      </c>
      <c r="I249" s="3">
        <v>0.15</v>
      </c>
    </row>
    <row r="250" spans="1:9" ht="25.5">
      <c r="A250" s="61" t="s">
        <v>297</v>
      </c>
      <c r="B250" s="61" t="s">
        <v>3288</v>
      </c>
      <c r="C250" s="61" t="s">
        <v>3289</v>
      </c>
      <c r="D250" s="61" t="s">
        <v>0</v>
      </c>
      <c r="E250" s="30" t="s">
        <v>803</v>
      </c>
      <c r="F250" s="62" t="s">
        <v>3290</v>
      </c>
      <c r="G250" s="62" t="s">
        <v>3291</v>
      </c>
      <c r="H250" s="47">
        <v>1</v>
      </c>
      <c r="I250" s="3">
        <v>0.42</v>
      </c>
    </row>
    <row r="251" spans="1:9" ht="25.5">
      <c r="A251" s="61" t="s">
        <v>804</v>
      </c>
      <c r="B251" s="61" t="s">
        <v>3288</v>
      </c>
      <c r="C251" s="61" t="s">
        <v>3289</v>
      </c>
      <c r="D251" s="61" t="s">
        <v>0</v>
      </c>
      <c r="E251" s="30" t="s">
        <v>805</v>
      </c>
      <c r="F251" s="62" t="s">
        <v>3292</v>
      </c>
      <c r="G251" s="62" t="s">
        <v>3293</v>
      </c>
      <c r="H251" s="47">
        <v>1</v>
      </c>
      <c r="I251" s="3"/>
    </row>
    <row r="252" spans="1:9" ht="25.5">
      <c r="A252" s="61" t="s">
        <v>804</v>
      </c>
      <c r="B252" s="61" t="s">
        <v>3288</v>
      </c>
      <c r="C252" s="61" t="s">
        <v>3289</v>
      </c>
      <c r="D252" s="61" t="s">
        <v>1</v>
      </c>
      <c r="E252" s="63" t="s">
        <v>806</v>
      </c>
      <c r="F252" s="61" t="s">
        <v>3294</v>
      </c>
      <c r="G252" s="61" t="s">
        <v>3140</v>
      </c>
      <c r="H252" s="47">
        <v>2</v>
      </c>
      <c r="I252" s="3"/>
    </row>
    <row r="253" spans="1:9" ht="25.5">
      <c r="A253" s="61" t="s">
        <v>297</v>
      </c>
      <c r="B253" s="61" t="s">
        <v>3288</v>
      </c>
      <c r="C253" s="61" t="s">
        <v>3295</v>
      </c>
      <c r="D253" s="61" t="s">
        <v>2</v>
      </c>
      <c r="E253" s="63" t="s">
        <v>807</v>
      </c>
      <c r="F253" s="61" t="s">
        <v>3296</v>
      </c>
      <c r="G253" s="61" t="s">
        <v>3084</v>
      </c>
      <c r="H253" s="47">
        <v>2</v>
      </c>
      <c r="I253" s="3"/>
    </row>
    <row r="254" spans="1:9" ht="25.5">
      <c r="A254" s="61" t="s">
        <v>808</v>
      </c>
      <c r="B254" s="61" t="s">
        <v>3297</v>
      </c>
      <c r="C254" s="61" t="s">
        <v>3298</v>
      </c>
      <c r="D254" s="61" t="s">
        <v>0</v>
      </c>
      <c r="E254" s="62" t="s">
        <v>809</v>
      </c>
      <c r="F254" s="62" t="s">
        <v>3299</v>
      </c>
      <c r="G254" s="62" t="s">
        <v>3300</v>
      </c>
      <c r="H254" s="47">
        <v>1</v>
      </c>
      <c r="I254" s="3">
        <v>0.5</v>
      </c>
    </row>
    <row r="255" spans="1:9" ht="25.5">
      <c r="A255" s="61" t="s">
        <v>810</v>
      </c>
      <c r="B255" s="61" t="s">
        <v>3297</v>
      </c>
      <c r="C255" s="61" t="s">
        <v>3301</v>
      </c>
      <c r="D255" s="61" t="s">
        <v>1</v>
      </c>
      <c r="E255" s="63" t="s">
        <v>806</v>
      </c>
      <c r="F255" s="61" t="s">
        <v>3294</v>
      </c>
      <c r="G255" s="61" t="s">
        <v>3140</v>
      </c>
      <c r="H255" s="47">
        <v>2</v>
      </c>
      <c r="I255" s="3"/>
    </row>
    <row r="256" spans="1:9" ht="25.5">
      <c r="A256" s="61" t="s">
        <v>298</v>
      </c>
      <c r="B256" s="61" t="s">
        <v>3297</v>
      </c>
      <c r="C256" s="61" t="s">
        <v>3301</v>
      </c>
      <c r="D256" s="61" t="s">
        <v>2</v>
      </c>
      <c r="E256" s="63" t="s">
        <v>807</v>
      </c>
      <c r="F256" s="61" t="s">
        <v>3296</v>
      </c>
      <c r="G256" s="61" t="s">
        <v>2792</v>
      </c>
      <c r="H256" s="47">
        <v>2</v>
      </c>
      <c r="I256" s="3"/>
    </row>
    <row r="257" spans="1:9" ht="25.5">
      <c r="A257" s="4" t="s">
        <v>368</v>
      </c>
      <c r="B257" s="4" t="s">
        <v>3302</v>
      </c>
      <c r="C257" s="4" t="s">
        <v>3303</v>
      </c>
      <c r="D257" s="4" t="s">
        <v>0</v>
      </c>
      <c r="E257" s="4" t="s">
        <v>369</v>
      </c>
      <c r="F257" s="4" t="s">
        <v>3304</v>
      </c>
      <c r="G257" s="4" t="s">
        <v>3305</v>
      </c>
      <c r="H257" s="4">
        <v>1</v>
      </c>
      <c r="I257" s="3">
        <v>0.17</v>
      </c>
    </row>
    <row r="258" spans="1:9" ht="25.5">
      <c r="A258" s="64" t="s">
        <v>811</v>
      </c>
      <c r="B258" s="64" t="s">
        <v>3306</v>
      </c>
      <c r="C258" s="64" t="s">
        <v>3307</v>
      </c>
      <c r="D258" s="65" t="s">
        <v>701</v>
      </c>
      <c r="E258" s="66" t="s">
        <v>812</v>
      </c>
      <c r="F258" s="66" t="s">
        <v>3308</v>
      </c>
      <c r="G258" s="66" t="s">
        <v>3309</v>
      </c>
      <c r="H258" s="67">
        <v>1</v>
      </c>
      <c r="I258" s="3"/>
    </row>
    <row r="259" spans="1:9" ht="25.5">
      <c r="A259" s="64" t="s">
        <v>811</v>
      </c>
      <c r="B259" s="64" t="s">
        <v>3306</v>
      </c>
      <c r="C259" s="64" t="s">
        <v>3307</v>
      </c>
      <c r="D259" s="65" t="s">
        <v>701</v>
      </c>
      <c r="E259" s="66" t="s">
        <v>813</v>
      </c>
      <c r="F259" s="66" t="s">
        <v>3310</v>
      </c>
      <c r="G259" s="66" t="s">
        <v>3311</v>
      </c>
      <c r="H259" s="67">
        <v>1</v>
      </c>
      <c r="I259" s="3"/>
    </row>
    <row r="260" spans="1:9" ht="25.5">
      <c r="A260" s="4" t="s">
        <v>394</v>
      </c>
      <c r="B260" s="4" t="s">
        <v>3312</v>
      </c>
      <c r="C260" s="4" t="s">
        <v>3313</v>
      </c>
      <c r="D260" s="4" t="s">
        <v>0</v>
      </c>
      <c r="E260" s="4" t="s">
        <v>196</v>
      </c>
      <c r="F260" s="4" t="s">
        <v>3245</v>
      </c>
      <c r="G260" s="4" t="s">
        <v>3246</v>
      </c>
      <c r="H260" s="4">
        <v>2</v>
      </c>
      <c r="I260" s="3">
        <v>0.66</v>
      </c>
    </row>
    <row r="261" spans="1:9" ht="25.5">
      <c r="A261" s="4" t="s">
        <v>394</v>
      </c>
      <c r="B261" s="4" t="s">
        <v>3312</v>
      </c>
      <c r="C261" s="4" t="s">
        <v>3313</v>
      </c>
      <c r="D261" s="4" t="s">
        <v>1</v>
      </c>
      <c r="E261" s="33" t="s">
        <v>814</v>
      </c>
      <c r="F261" s="33" t="s">
        <v>3314</v>
      </c>
      <c r="G261" s="33" t="s">
        <v>3315</v>
      </c>
      <c r="H261" s="4">
        <v>1</v>
      </c>
      <c r="I261" s="3"/>
    </row>
    <row r="262" spans="1:9" ht="25.5">
      <c r="A262" s="4" t="s">
        <v>394</v>
      </c>
      <c r="B262" s="4" t="s">
        <v>3312</v>
      </c>
      <c r="C262" s="4" t="s">
        <v>3313</v>
      </c>
      <c r="D262" s="4" t="s">
        <v>1</v>
      </c>
      <c r="E262" s="33" t="s">
        <v>815</v>
      </c>
      <c r="F262" s="33" t="s">
        <v>3316</v>
      </c>
      <c r="G262" s="33" t="s">
        <v>3317</v>
      </c>
      <c r="H262" s="4">
        <v>1</v>
      </c>
      <c r="I262" s="3"/>
    </row>
    <row r="263" spans="1:9" ht="25.5">
      <c r="A263" s="4" t="s">
        <v>394</v>
      </c>
      <c r="B263" s="4" t="s">
        <v>3312</v>
      </c>
      <c r="C263" s="4" t="s">
        <v>3313</v>
      </c>
      <c r="D263" s="4" t="s">
        <v>2</v>
      </c>
      <c r="E263" s="4" t="s">
        <v>198</v>
      </c>
      <c r="F263" s="4" t="s">
        <v>3251</v>
      </c>
      <c r="G263" s="4" t="s">
        <v>3252</v>
      </c>
      <c r="H263" s="4">
        <v>4</v>
      </c>
      <c r="I263" s="3"/>
    </row>
    <row r="264" spans="1:9" ht="38.25">
      <c r="A264" s="64" t="s">
        <v>816</v>
      </c>
      <c r="B264" s="64" t="s">
        <v>3318</v>
      </c>
      <c r="C264" s="64" t="s">
        <v>3319</v>
      </c>
      <c r="D264" s="65" t="s">
        <v>721</v>
      </c>
      <c r="E264" s="66" t="s">
        <v>817</v>
      </c>
      <c r="F264" s="66" t="s">
        <v>3320</v>
      </c>
      <c r="G264" s="66" t="s">
        <v>3321</v>
      </c>
      <c r="H264" s="67">
        <v>1</v>
      </c>
      <c r="I264" s="3">
        <v>1.1100000000000001</v>
      </c>
    </row>
    <row r="265" spans="1:9" ht="38.25">
      <c r="A265" s="64" t="s">
        <v>816</v>
      </c>
      <c r="B265" s="64" t="s">
        <v>3318</v>
      </c>
      <c r="C265" s="64" t="s">
        <v>3319</v>
      </c>
      <c r="D265" s="65" t="s">
        <v>721</v>
      </c>
      <c r="E265" s="66" t="s">
        <v>818</v>
      </c>
      <c r="F265" s="66" t="s">
        <v>3322</v>
      </c>
      <c r="G265" s="66" t="s">
        <v>3323</v>
      </c>
      <c r="H265" s="67">
        <v>1</v>
      </c>
      <c r="I265" s="3"/>
    </row>
    <row r="266" spans="1:9" ht="25.5">
      <c r="A266" s="64" t="s">
        <v>816</v>
      </c>
      <c r="B266" s="64" t="s">
        <v>3318</v>
      </c>
      <c r="C266" s="64" t="s">
        <v>3324</v>
      </c>
      <c r="D266" s="65" t="s">
        <v>701</v>
      </c>
      <c r="E266" s="66" t="s">
        <v>819</v>
      </c>
      <c r="F266" s="66" t="s">
        <v>3325</v>
      </c>
      <c r="G266" s="66" t="s">
        <v>3283</v>
      </c>
      <c r="H266" s="67">
        <v>31</v>
      </c>
      <c r="I266" s="3"/>
    </row>
    <row r="267" spans="1:9" ht="25.5">
      <c r="A267" s="4" t="s">
        <v>329</v>
      </c>
      <c r="B267" s="4" t="s">
        <v>3326</v>
      </c>
      <c r="C267" s="4" t="s">
        <v>3327</v>
      </c>
      <c r="D267" s="4" t="s">
        <v>0</v>
      </c>
      <c r="E267" s="33" t="s">
        <v>330</v>
      </c>
      <c r="F267" s="33" t="s">
        <v>3328</v>
      </c>
      <c r="G267" s="33" t="s">
        <v>3329</v>
      </c>
      <c r="H267" s="4">
        <v>1</v>
      </c>
      <c r="I267" s="3">
        <v>0.72</v>
      </c>
    </row>
    <row r="268" spans="1:9" ht="38.25">
      <c r="A268" s="4" t="s">
        <v>329</v>
      </c>
      <c r="B268" s="4" t="s">
        <v>3326</v>
      </c>
      <c r="C268" s="4" t="s">
        <v>3330</v>
      </c>
      <c r="D268" s="4" t="s">
        <v>0</v>
      </c>
      <c r="E268" s="33" t="s">
        <v>331</v>
      </c>
      <c r="F268" s="33" t="s">
        <v>3331</v>
      </c>
      <c r="G268" s="33" t="s">
        <v>3332</v>
      </c>
      <c r="H268" s="4">
        <v>1</v>
      </c>
      <c r="I268" s="3"/>
    </row>
    <row r="269" spans="1:9" ht="25.5">
      <c r="A269" s="4" t="s">
        <v>329</v>
      </c>
      <c r="B269" s="4" t="s">
        <v>3326</v>
      </c>
      <c r="C269" s="4" t="s">
        <v>3327</v>
      </c>
      <c r="D269" s="4" t="s">
        <v>1</v>
      </c>
      <c r="E269" s="4" t="s">
        <v>56</v>
      </c>
      <c r="F269" s="4" t="s">
        <v>3333</v>
      </c>
      <c r="G269" s="4" t="s">
        <v>3334</v>
      </c>
      <c r="H269" s="4">
        <v>10</v>
      </c>
      <c r="I269" s="3"/>
    </row>
    <row r="270" spans="1:9" ht="25.5">
      <c r="A270" s="4" t="s">
        <v>329</v>
      </c>
      <c r="B270" s="4" t="s">
        <v>3326</v>
      </c>
      <c r="C270" s="4" t="s">
        <v>3335</v>
      </c>
      <c r="D270" s="4" t="s">
        <v>2</v>
      </c>
      <c r="E270" s="4" t="s">
        <v>88</v>
      </c>
      <c r="F270" s="4" t="s">
        <v>3024</v>
      </c>
      <c r="G270" s="4" t="s">
        <v>3336</v>
      </c>
      <c r="H270" s="4">
        <v>2</v>
      </c>
      <c r="I270" s="3"/>
    </row>
    <row r="271" spans="1:9" ht="25.5">
      <c r="A271" s="4" t="s">
        <v>329</v>
      </c>
      <c r="B271" s="4" t="s">
        <v>3326</v>
      </c>
      <c r="C271" s="4" t="s">
        <v>3327</v>
      </c>
      <c r="D271" s="4" t="s">
        <v>7</v>
      </c>
      <c r="E271" s="4" t="s">
        <v>73</v>
      </c>
      <c r="F271" s="4" t="s">
        <v>3024</v>
      </c>
      <c r="G271" s="4" t="s">
        <v>3283</v>
      </c>
      <c r="H271" s="4">
        <v>6</v>
      </c>
      <c r="I271" s="3"/>
    </row>
    <row r="272" spans="1:9" ht="25.5">
      <c r="A272" s="4" t="s">
        <v>332</v>
      </c>
      <c r="B272" s="4" t="s">
        <v>3337</v>
      </c>
      <c r="C272" s="4" t="s">
        <v>3338</v>
      </c>
      <c r="D272" s="4" t="s">
        <v>0</v>
      </c>
      <c r="E272" s="4" t="s">
        <v>333</v>
      </c>
      <c r="F272" s="4" t="s">
        <v>3339</v>
      </c>
      <c r="G272" s="4" t="s">
        <v>3340</v>
      </c>
      <c r="H272" s="4">
        <v>1</v>
      </c>
      <c r="I272" s="3">
        <v>0.67</v>
      </c>
    </row>
    <row r="273" spans="1:9" ht="25.5">
      <c r="A273" s="4" t="s">
        <v>332</v>
      </c>
      <c r="B273" s="4" t="s">
        <v>3337</v>
      </c>
      <c r="C273" s="4" t="s">
        <v>3341</v>
      </c>
      <c r="D273" s="4" t="s">
        <v>1</v>
      </c>
      <c r="E273" s="4" t="s">
        <v>178</v>
      </c>
      <c r="F273" s="4" t="s">
        <v>2767</v>
      </c>
      <c r="G273" s="4" t="s">
        <v>3342</v>
      </c>
      <c r="H273" s="4">
        <v>10</v>
      </c>
      <c r="I273" s="3"/>
    </row>
    <row r="274" spans="1:9" ht="25.5">
      <c r="A274" s="4" t="s">
        <v>820</v>
      </c>
      <c r="B274" s="4" t="s">
        <v>3343</v>
      </c>
      <c r="C274" s="4" t="s">
        <v>3344</v>
      </c>
      <c r="D274" s="4" t="s">
        <v>0</v>
      </c>
      <c r="E274" s="34" t="s">
        <v>821</v>
      </c>
      <c r="F274" s="34" t="s">
        <v>3345</v>
      </c>
      <c r="G274" s="34" t="s">
        <v>3346</v>
      </c>
      <c r="H274" s="4">
        <v>1</v>
      </c>
      <c r="I274" s="3">
        <v>0.44</v>
      </c>
    </row>
    <row r="275" spans="1:9" ht="25.5">
      <c r="A275" s="4" t="s">
        <v>395</v>
      </c>
      <c r="B275" s="4" t="s">
        <v>3343</v>
      </c>
      <c r="C275" s="4" t="s">
        <v>3347</v>
      </c>
      <c r="D275" s="4" t="s">
        <v>0</v>
      </c>
      <c r="E275" s="34" t="s">
        <v>396</v>
      </c>
      <c r="F275" s="34" t="s">
        <v>3348</v>
      </c>
      <c r="G275" s="34" t="s">
        <v>3349</v>
      </c>
      <c r="H275" s="4">
        <v>1</v>
      </c>
      <c r="I275" s="3"/>
    </row>
    <row r="276" spans="1:9" ht="25.5">
      <c r="A276" s="4" t="s">
        <v>395</v>
      </c>
      <c r="B276" s="4" t="s">
        <v>3343</v>
      </c>
      <c r="C276" s="4" t="s">
        <v>3347</v>
      </c>
      <c r="D276" s="4" t="s">
        <v>1</v>
      </c>
      <c r="E276" s="4" t="s">
        <v>73</v>
      </c>
      <c r="F276" s="4" t="s">
        <v>3024</v>
      </c>
      <c r="G276" s="4" t="s">
        <v>3025</v>
      </c>
      <c r="H276" s="4">
        <v>2</v>
      </c>
      <c r="I276" s="3"/>
    </row>
    <row r="277" spans="1:9" ht="25.5">
      <c r="A277" s="4" t="s">
        <v>395</v>
      </c>
      <c r="B277" s="4" t="s">
        <v>3343</v>
      </c>
      <c r="C277" s="4" t="s">
        <v>3347</v>
      </c>
      <c r="D277" s="4" t="s">
        <v>2</v>
      </c>
      <c r="E277" s="4" t="s">
        <v>198</v>
      </c>
      <c r="F277" s="4" t="s">
        <v>3251</v>
      </c>
      <c r="G277" s="4" t="s">
        <v>3350</v>
      </c>
      <c r="H277" s="4">
        <v>4</v>
      </c>
      <c r="I277" s="3"/>
    </row>
    <row r="278" spans="1:9" ht="25.5">
      <c r="A278" s="4" t="s">
        <v>334</v>
      </c>
      <c r="B278" s="4" t="s">
        <v>3351</v>
      </c>
      <c r="C278" s="4" t="s">
        <v>3352</v>
      </c>
      <c r="D278" s="4" t="s">
        <v>0</v>
      </c>
      <c r="E278" s="33" t="s">
        <v>335</v>
      </c>
      <c r="F278" s="33" t="s">
        <v>3353</v>
      </c>
      <c r="G278" s="33" t="s">
        <v>3354</v>
      </c>
      <c r="H278" s="4">
        <v>1</v>
      </c>
      <c r="I278" s="3">
        <v>0.44</v>
      </c>
    </row>
    <row r="279" spans="1:9">
      <c r="A279" s="4" t="s">
        <v>334</v>
      </c>
      <c r="B279" s="4" t="s">
        <v>3351</v>
      </c>
      <c r="C279" s="4" t="s">
        <v>3355</v>
      </c>
      <c r="D279" s="4" t="s">
        <v>0</v>
      </c>
      <c r="E279" s="33" t="s">
        <v>336</v>
      </c>
      <c r="F279" s="33" t="s">
        <v>3356</v>
      </c>
      <c r="G279" s="33" t="s">
        <v>3357</v>
      </c>
      <c r="H279" s="4">
        <v>1</v>
      </c>
      <c r="I279" s="3"/>
    </row>
    <row r="280" spans="1:9">
      <c r="A280" s="4" t="s">
        <v>334</v>
      </c>
      <c r="B280" s="4" t="s">
        <v>3351</v>
      </c>
      <c r="C280" s="4" t="s">
        <v>3355</v>
      </c>
      <c r="D280" s="4" t="s">
        <v>1</v>
      </c>
      <c r="E280" s="4" t="s">
        <v>73</v>
      </c>
      <c r="F280" s="4" t="s">
        <v>3024</v>
      </c>
      <c r="G280" s="4" t="s">
        <v>3025</v>
      </c>
      <c r="H280" s="4">
        <v>2</v>
      </c>
      <c r="I280" s="3"/>
    </row>
    <row r="281" spans="1:9" ht="25.5">
      <c r="A281" s="4" t="s">
        <v>334</v>
      </c>
      <c r="B281" s="4" t="s">
        <v>3351</v>
      </c>
      <c r="C281" s="4" t="s">
        <v>3358</v>
      </c>
      <c r="D281" s="4" t="s">
        <v>2</v>
      </c>
      <c r="E281" s="4" t="s">
        <v>198</v>
      </c>
      <c r="F281" s="4" t="s">
        <v>3251</v>
      </c>
      <c r="G281" s="4" t="s">
        <v>3350</v>
      </c>
      <c r="H281" s="4">
        <v>4</v>
      </c>
      <c r="I281" s="3"/>
    </row>
    <row r="282" spans="1:9" ht="25.5">
      <c r="A282" s="68" t="s">
        <v>822</v>
      </c>
      <c r="B282" s="68" t="s">
        <v>3359</v>
      </c>
      <c r="C282" s="68" t="s">
        <v>3360</v>
      </c>
      <c r="D282" s="4" t="s">
        <v>721</v>
      </c>
      <c r="E282" s="69" t="s">
        <v>823</v>
      </c>
      <c r="F282" s="69" t="s">
        <v>3361</v>
      </c>
      <c r="G282" s="69" t="s">
        <v>3362</v>
      </c>
      <c r="H282" s="70">
        <v>1</v>
      </c>
      <c r="I282" s="3">
        <v>0.69</v>
      </c>
    </row>
    <row r="283" spans="1:9" ht="25.5">
      <c r="A283" s="68" t="s">
        <v>822</v>
      </c>
      <c r="B283" s="68" t="s">
        <v>3359</v>
      </c>
      <c r="C283" s="68" t="s">
        <v>3363</v>
      </c>
      <c r="D283" s="4" t="s">
        <v>701</v>
      </c>
      <c r="E283" s="69" t="s">
        <v>819</v>
      </c>
      <c r="F283" s="69" t="s">
        <v>3325</v>
      </c>
      <c r="G283" s="69" t="s">
        <v>3025</v>
      </c>
      <c r="H283" s="70">
        <v>7</v>
      </c>
      <c r="I283" s="3"/>
    </row>
    <row r="284" spans="1:9" ht="25.5">
      <c r="A284" s="68" t="s">
        <v>822</v>
      </c>
      <c r="B284" s="68" t="s">
        <v>3359</v>
      </c>
      <c r="C284" s="68" t="s">
        <v>3362</v>
      </c>
      <c r="D284" s="4" t="s">
        <v>824</v>
      </c>
      <c r="E284" s="69" t="s">
        <v>825</v>
      </c>
      <c r="F284" s="69" t="s">
        <v>3325</v>
      </c>
      <c r="G284" s="69" t="s">
        <v>3364</v>
      </c>
      <c r="H284" s="70">
        <v>2</v>
      </c>
      <c r="I284" s="3"/>
    </row>
    <row r="285" spans="1:9" ht="38.25">
      <c r="A285" s="68" t="s">
        <v>822</v>
      </c>
      <c r="B285" s="68" t="s">
        <v>3359</v>
      </c>
      <c r="C285" s="68" t="s">
        <v>3362</v>
      </c>
      <c r="D285" s="4" t="s">
        <v>826</v>
      </c>
      <c r="E285" s="69" t="s">
        <v>827</v>
      </c>
      <c r="F285" s="69" t="s">
        <v>3365</v>
      </c>
      <c r="G285" s="69" t="s">
        <v>3366</v>
      </c>
      <c r="H285" s="70">
        <v>3</v>
      </c>
      <c r="I285" s="3"/>
    </row>
    <row r="286" spans="1:9" ht="25.5">
      <c r="A286" s="68" t="s">
        <v>822</v>
      </c>
      <c r="B286" s="68" t="s">
        <v>3359</v>
      </c>
      <c r="C286" s="68" t="s">
        <v>3362</v>
      </c>
      <c r="D286" s="4" t="s">
        <v>828</v>
      </c>
      <c r="E286" s="69" t="s">
        <v>829</v>
      </c>
      <c r="F286" s="69" t="s">
        <v>3367</v>
      </c>
      <c r="G286" s="69" t="s">
        <v>3368</v>
      </c>
      <c r="H286" s="70">
        <v>2</v>
      </c>
      <c r="I286" s="3"/>
    </row>
    <row r="287" spans="1:9" ht="51">
      <c r="A287" s="71" t="s">
        <v>830</v>
      </c>
      <c r="B287" s="46" t="s">
        <v>3369</v>
      </c>
      <c r="C287" s="46" t="s">
        <v>3370</v>
      </c>
      <c r="D287" s="71" t="s">
        <v>721</v>
      </c>
      <c r="E287" s="72" t="s">
        <v>831</v>
      </c>
      <c r="F287" s="72" t="s">
        <v>3371</v>
      </c>
      <c r="G287" s="72" t="s">
        <v>3370</v>
      </c>
      <c r="H287" s="3">
        <v>1</v>
      </c>
      <c r="I287" s="3">
        <v>0.32</v>
      </c>
    </row>
    <row r="288" spans="1:9" ht="51">
      <c r="A288" s="71" t="s">
        <v>830</v>
      </c>
      <c r="B288" s="46" t="s">
        <v>3369</v>
      </c>
      <c r="C288" s="46" t="s">
        <v>3370</v>
      </c>
      <c r="D288" s="71" t="s">
        <v>701</v>
      </c>
      <c r="E288" s="72" t="s">
        <v>598</v>
      </c>
      <c r="F288" s="72" t="s">
        <v>3372</v>
      </c>
      <c r="G288" s="72" t="s">
        <v>3373</v>
      </c>
      <c r="H288" s="3">
        <v>1</v>
      </c>
      <c r="I288" s="3"/>
    </row>
    <row r="289" spans="1:9" ht="38.25">
      <c r="A289" s="71" t="s">
        <v>830</v>
      </c>
      <c r="B289" s="46" t="s">
        <v>3369</v>
      </c>
      <c r="C289" s="46" t="s">
        <v>3374</v>
      </c>
      <c r="D289" s="71" t="s">
        <v>824</v>
      </c>
      <c r="E289" s="73" t="s">
        <v>832</v>
      </c>
      <c r="F289" s="46" t="s">
        <v>3325</v>
      </c>
      <c r="G289" s="46" t="s">
        <v>3025</v>
      </c>
      <c r="H289" s="3">
        <v>6</v>
      </c>
      <c r="I289" s="3"/>
    </row>
    <row r="290" spans="1:9" ht="38.25">
      <c r="A290" s="71" t="s">
        <v>833</v>
      </c>
      <c r="B290" s="46" t="s">
        <v>3375</v>
      </c>
      <c r="C290" s="46" t="s">
        <v>3376</v>
      </c>
      <c r="D290" s="71" t="s">
        <v>721</v>
      </c>
      <c r="E290" s="74" t="s">
        <v>599</v>
      </c>
      <c r="F290" s="74" t="s">
        <v>3377</v>
      </c>
      <c r="G290" s="74" t="s">
        <v>3376</v>
      </c>
      <c r="H290" s="3">
        <v>1</v>
      </c>
      <c r="I290" s="3">
        <v>0.26</v>
      </c>
    </row>
    <row r="291" spans="1:9" ht="38.25">
      <c r="A291" s="71" t="s">
        <v>833</v>
      </c>
      <c r="B291" s="46" t="s">
        <v>3375</v>
      </c>
      <c r="C291" s="46" t="s">
        <v>3376</v>
      </c>
      <c r="D291" s="71" t="s">
        <v>701</v>
      </c>
      <c r="E291" s="73" t="s">
        <v>832</v>
      </c>
      <c r="F291" s="46" t="s">
        <v>3325</v>
      </c>
      <c r="G291" s="46" t="s">
        <v>3378</v>
      </c>
      <c r="H291" s="3">
        <v>4</v>
      </c>
      <c r="I291" s="3"/>
    </row>
    <row r="292" spans="1:9" ht="38.25">
      <c r="A292" s="71" t="s">
        <v>833</v>
      </c>
      <c r="B292" s="46" t="s">
        <v>3375</v>
      </c>
      <c r="C292" s="46" t="s">
        <v>3376</v>
      </c>
      <c r="D292" s="71" t="s">
        <v>824</v>
      </c>
      <c r="E292" s="72" t="s">
        <v>598</v>
      </c>
      <c r="F292" s="72" t="s">
        <v>3372</v>
      </c>
      <c r="G292" s="72" t="s">
        <v>3379</v>
      </c>
      <c r="H292" s="3">
        <v>1</v>
      </c>
      <c r="I292" s="3"/>
    </row>
    <row r="293" spans="1:9" ht="38.25">
      <c r="A293" s="71" t="s">
        <v>834</v>
      </c>
      <c r="B293" s="46" t="s">
        <v>3380</v>
      </c>
      <c r="C293" s="46" t="s">
        <v>3381</v>
      </c>
      <c r="D293" s="71" t="s">
        <v>721</v>
      </c>
      <c r="E293" s="74" t="s">
        <v>600</v>
      </c>
      <c r="F293" s="74" t="s">
        <v>3382</v>
      </c>
      <c r="G293" s="74" t="s">
        <v>3383</v>
      </c>
      <c r="H293" s="3">
        <v>1</v>
      </c>
      <c r="I293" s="3">
        <v>0.66</v>
      </c>
    </row>
    <row r="294" spans="1:9" ht="38.25">
      <c r="A294" s="71" t="s">
        <v>834</v>
      </c>
      <c r="B294" s="46" t="s">
        <v>3380</v>
      </c>
      <c r="C294" s="46" t="s">
        <v>3383</v>
      </c>
      <c r="D294" s="71" t="s">
        <v>701</v>
      </c>
      <c r="E294" s="73" t="s">
        <v>832</v>
      </c>
      <c r="F294" s="46" t="s">
        <v>3325</v>
      </c>
      <c r="G294" s="46" t="s">
        <v>3025</v>
      </c>
      <c r="H294" s="3">
        <v>14</v>
      </c>
      <c r="I294" s="3"/>
    </row>
    <row r="295" spans="1:9" ht="25.5">
      <c r="A295" s="27" t="s">
        <v>835</v>
      </c>
      <c r="B295" s="27" t="s">
        <v>3384</v>
      </c>
      <c r="C295" s="27" t="s">
        <v>3385</v>
      </c>
      <c r="D295" s="27" t="s">
        <v>721</v>
      </c>
      <c r="E295" s="75" t="s">
        <v>836</v>
      </c>
      <c r="F295" s="27" t="s">
        <v>3386</v>
      </c>
      <c r="G295" s="27" t="s">
        <v>3385</v>
      </c>
      <c r="H295" s="76">
        <v>1</v>
      </c>
      <c r="I295" s="3">
        <v>0.15</v>
      </c>
    </row>
    <row r="296" spans="1:9" ht="25.5">
      <c r="A296" s="27" t="s">
        <v>835</v>
      </c>
      <c r="B296" s="27" t="s">
        <v>3384</v>
      </c>
      <c r="C296" s="27" t="s">
        <v>3385</v>
      </c>
      <c r="D296" s="27" t="s">
        <v>701</v>
      </c>
      <c r="E296" s="75" t="s">
        <v>837</v>
      </c>
      <c r="F296" s="27" t="s">
        <v>3387</v>
      </c>
      <c r="G296" s="27" t="s">
        <v>3388</v>
      </c>
      <c r="H296" s="76">
        <v>2</v>
      </c>
      <c r="I296" s="3"/>
    </row>
    <row r="297" spans="1:9" ht="25.5">
      <c r="A297" s="27" t="s">
        <v>838</v>
      </c>
      <c r="B297" s="27" t="s">
        <v>3389</v>
      </c>
      <c r="C297" s="27" t="s">
        <v>3390</v>
      </c>
      <c r="D297" s="27" t="s">
        <v>721</v>
      </c>
      <c r="E297" s="75" t="s">
        <v>89</v>
      </c>
      <c r="F297" s="27" t="s">
        <v>3391</v>
      </c>
      <c r="G297" s="27" t="s">
        <v>3392</v>
      </c>
      <c r="H297" s="65">
        <v>1</v>
      </c>
      <c r="I297" s="3">
        <v>0.33</v>
      </c>
    </row>
    <row r="298" spans="1:9" ht="25.5">
      <c r="A298" s="27" t="s">
        <v>838</v>
      </c>
      <c r="B298" s="27" t="s">
        <v>3389</v>
      </c>
      <c r="C298" s="27" t="s">
        <v>3390</v>
      </c>
      <c r="D298" s="27" t="s">
        <v>701</v>
      </c>
      <c r="E298" s="75" t="s">
        <v>839</v>
      </c>
      <c r="F298" s="27" t="s">
        <v>3387</v>
      </c>
      <c r="G298" s="27" t="s">
        <v>3393</v>
      </c>
      <c r="H298" s="65">
        <v>4</v>
      </c>
      <c r="I298" s="3"/>
    </row>
    <row r="299" spans="1:9" ht="25.5">
      <c r="A299" s="77" t="s">
        <v>90</v>
      </c>
      <c r="B299" s="61" t="s">
        <v>3394</v>
      </c>
      <c r="C299" s="61" t="s">
        <v>3395</v>
      </c>
      <c r="D299" s="61" t="s">
        <v>0</v>
      </c>
      <c r="E299" s="78" t="s">
        <v>840</v>
      </c>
      <c r="F299" s="78" t="s">
        <v>3396</v>
      </c>
      <c r="G299" s="78" t="s">
        <v>3397</v>
      </c>
      <c r="H299" s="46">
        <v>1</v>
      </c>
      <c r="I299" s="3">
        <v>0.17</v>
      </c>
    </row>
    <row r="300" spans="1:9">
      <c r="A300" s="46" t="s">
        <v>841</v>
      </c>
      <c r="B300" s="46" t="s">
        <v>3398</v>
      </c>
      <c r="C300" s="46" t="s">
        <v>3399</v>
      </c>
      <c r="D300" s="46" t="s">
        <v>721</v>
      </c>
      <c r="E300" s="79" t="s">
        <v>842</v>
      </c>
      <c r="F300" s="79" t="s">
        <v>3400</v>
      </c>
      <c r="G300" s="79" t="s">
        <v>3399</v>
      </c>
      <c r="H300" s="65">
        <v>1</v>
      </c>
      <c r="I300" s="3">
        <v>0.18</v>
      </c>
    </row>
    <row r="301" spans="1:9" ht="25.5">
      <c r="A301" s="61" t="s">
        <v>91</v>
      </c>
      <c r="B301" s="61" t="s">
        <v>3401</v>
      </c>
      <c r="C301" s="61" t="s">
        <v>3402</v>
      </c>
      <c r="D301" s="61" t="s">
        <v>0</v>
      </c>
      <c r="E301" s="63" t="s">
        <v>92</v>
      </c>
      <c r="F301" s="61" t="s">
        <v>3403</v>
      </c>
      <c r="G301" s="61" t="s">
        <v>3404</v>
      </c>
      <c r="H301" s="76">
        <v>1</v>
      </c>
      <c r="I301" s="3">
        <v>0.21</v>
      </c>
    </row>
    <row r="302" spans="1:9" ht="25.5">
      <c r="A302" s="61" t="s">
        <v>91</v>
      </c>
      <c r="B302" s="61" t="s">
        <v>3401</v>
      </c>
      <c r="C302" s="61" t="s">
        <v>3405</v>
      </c>
      <c r="D302" s="61" t="s">
        <v>1</v>
      </c>
      <c r="E302" s="80" t="s">
        <v>5</v>
      </c>
      <c r="F302" s="61" t="s">
        <v>2767</v>
      </c>
      <c r="G302" s="61" t="s">
        <v>2768</v>
      </c>
      <c r="H302" s="76">
        <v>2</v>
      </c>
      <c r="I302" s="3"/>
    </row>
    <row r="303" spans="1:9" ht="51">
      <c r="A303" s="81" t="s">
        <v>843</v>
      </c>
      <c r="B303" s="81" t="s">
        <v>3406</v>
      </c>
      <c r="C303" s="81" t="s">
        <v>3407</v>
      </c>
      <c r="D303" s="82" t="s">
        <v>721</v>
      </c>
      <c r="E303" s="83" t="s">
        <v>844</v>
      </c>
      <c r="F303" s="179" t="s">
        <v>3408</v>
      </c>
      <c r="G303" s="179" t="s">
        <v>3409</v>
      </c>
      <c r="H303" s="83">
        <v>1</v>
      </c>
      <c r="I303" s="3">
        <v>0.27</v>
      </c>
    </row>
    <row r="304" spans="1:9" ht="51">
      <c r="A304" s="81" t="s">
        <v>843</v>
      </c>
      <c r="B304" s="81" t="s">
        <v>3406</v>
      </c>
      <c r="C304" s="81" t="s">
        <v>3410</v>
      </c>
      <c r="D304" s="82" t="s">
        <v>701</v>
      </c>
      <c r="E304" s="84" t="s">
        <v>845</v>
      </c>
      <c r="F304" s="84" t="s">
        <v>3411</v>
      </c>
      <c r="G304" s="84" t="s">
        <v>3412</v>
      </c>
      <c r="H304" s="83">
        <v>2</v>
      </c>
      <c r="I304" s="3"/>
    </row>
    <row r="305" spans="1:9" ht="25.5">
      <c r="A305" s="85" t="s">
        <v>846</v>
      </c>
      <c r="B305" s="85" t="s">
        <v>3413</v>
      </c>
      <c r="C305" s="85" t="s">
        <v>3414</v>
      </c>
      <c r="D305" s="82" t="s">
        <v>721</v>
      </c>
      <c r="E305" s="83" t="s">
        <v>847</v>
      </c>
      <c r="F305" s="83" t="s">
        <v>3415</v>
      </c>
      <c r="G305" s="83" t="s">
        <v>3416</v>
      </c>
      <c r="H305" s="83">
        <v>1</v>
      </c>
      <c r="I305" s="3">
        <v>0.38</v>
      </c>
    </row>
    <row r="306" spans="1:9" ht="25.5">
      <c r="A306" s="85" t="s">
        <v>846</v>
      </c>
      <c r="B306" s="85" t="s">
        <v>3413</v>
      </c>
      <c r="C306" s="85" t="s">
        <v>3414</v>
      </c>
      <c r="D306" s="82" t="s">
        <v>824</v>
      </c>
      <c r="E306" s="83" t="s">
        <v>848</v>
      </c>
      <c r="F306" s="34" t="s">
        <v>3417</v>
      </c>
      <c r="G306" s="34" t="s">
        <v>3418</v>
      </c>
      <c r="H306" s="83">
        <v>1</v>
      </c>
      <c r="I306" s="3"/>
    </row>
    <row r="307" spans="1:9" ht="25.5">
      <c r="A307" s="85" t="s">
        <v>846</v>
      </c>
      <c r="B307" s="85" t="s">
        <v>3413</v>
      </c>
      <c r="C307" s="85" t="s">
        <v>3414</v>
      </c>
      <c r="D307" s="82" t="s">
        <v>826</v>
      </c>
      <c r="E307" s="84" t="s">
        <v>849</v>
      </c>
      <c r="F307" s="84" t="s">
        <v>3419</v>
      </c>
      <c r="G307" s="84" t="s">
        <v>3420</v>
      </c>
      <c r="H307" s="83">
        <v>1</v>
      </c>
      <c r="I307" s="3"/>
    </row>
    <row r="308" spans="1:9" ht="25.5">
      <c r="A308" s="85" t="s">
        <v>846</v>
      </c>
      <c r="B308" s="85" t="s">
        <v>3413</v>
      </c>
      <c r="C308" s="85" t="s">
        <v>3414</v>
      </c>
      <c r="D308" s="82" t="s">
        <v>828</v>
      </c>
      <c r="E308" s="83" t="s">
        <v>850</v>
      </c>
      <c r="F308" s="83" t="s">
        <v>3421</v>
      </c>
      <c r="G308" s="83" t="s">
        <v>3422</v>
      </c>
      <c r="H308" s="83">
        <v>1</v>
      </c>
      <c r="I308" s="3"/>
    </row>
    <row r="309" spans="1:9" ht="25.5">
      <c r="A309" s="85" t="s">
        <v>846</v>
      </c>
      <c r="B309" s="85" t="s">
        <v>3413</v>
      </c>
      <c r="C309" s="85" t="s">
        <v>3414</v>
      </c>
      <c r="D309" s="82" t="s">
        <v>851</v>
      </c>
      <c r="E309" s="68" t="s">
        <v>852</v>
      </c>
      <c r="F309" s="68" t="s">
        <v>3423</v>
      </c>
      <c r="G309" s="68" t="s">
        <v>3424</v>
      </c>
      <c r="H309" s="83">
        <v>1</v>
      </c>
      <c r="I309" s="3"/>
    </row>
    <row r="310" spans="1:9" ht="25.5">
      <c r="A310" s="85" t="s">
        <v>846</v>
      </c>
      <c r="B310" s="85" t="s">
        <v>3413</v>
      </c>
      <c r="C310" s="85" t="s">
        <v>3414</v>
      </c>
      <c r="D310" s="82" t="s">
        <v>853</v>
      </c>
      <c r="E310" s="68" t="s">
        <v>854</v>
      </c>
      <c r="F310" s="68" t="s">
        <v>3423</v>
      </c>
      <c r="G310" s="68" t="s">
        <v>3425</v>
      </c>
      <c r="H310" s="83">
        <v>1</v>
      </c>
      <c r="I310" s="3"/>
    </row>
    <row r="311" spans="1:9" ht="25.5">
      <c r="A311" s="85" t="s">
        <v>846</v>
      </c>
      <c r="B311" s="85" t="s">
        <v>3413</v>
      </c>
      <c r="C311" s="85" t="s">
        <v>3414</v>
      </c>
      <c r="D311" s="82" t="s">
        <v>855</v>
      </c>
      <c r="E311" s="68" t="s">
        <v>856</v>
      </c>
      <c r="F311" s="68" t="s">
        <v>3423</v>
      </c>
      <c r="G311" s="68" t="s">
        <v>3424</v>
      </c>
      <c r="H311" s="83">
        <v>1</v>
      </c>
      <c r="I311" s="3"/>
    </row>
    <row r="312" spans="1:9" ht="25.5">
      <c r="A312" s="85" t="s">
        <v>846</v>
      </c>
      <c r="B312" s="85" t="s">
        <v>3413</v>
      </c>
      <c r="C312" s="85" t="s">
        <v>3414</v>
      </c>
      <c r="D312" s="82"/>
      <c r="E312" s="83" t="s">
        <v>857</v>
      </c>
      <c r="F312" s="83" t="s">
        <v>3426</v>
      </c>
      <c r="G312" s="83" t="s">
        <v>3427</v>
      </c>
      <c r="H312" s="83">
        <v>1</v>
      </c>
      <c r="I312" s="3"/>
    </row>
    <row r="313" spans="1:9" ht="25.5">
      <c r="A313" s="11" t="s">
        <v>858</v>
      </c>
      <c r="B313" s="11" t="s">
        <v>3428</v>
      </c>
      <c r="C313" s="11" t="s">
        <v>3429</v>
      </c>
      <c r="D313" s="38" t="s">
        <v>0</v>
      </c>
      <c r="E313" s="11" t="s">
        <v>93</v>
      </c>
      <c r="F313" s="11" t="s">
        <v>3430</v>
      </c>
      <c r="G313" s="11" t="s">
        <v>3431</v>
      </c>
      <c r="H313" s="46">
        <v>1</v>
      </c>
      <c r="I313" s="3">
        <v>0.41</v>
      </c>
    </row>
    <row r="314" spans="1:9" ht="25.5">
      <c r="A314" s="30" t="s">
        <v>859</v>
      </c>
      <c r="B314" s="30" t="s">
        <v>3432</v>
      </c>
      <c r="C314" s="30" t="s">
        <v>3429</v>
      </c>
      <c r="D314" s="30" t="s">
        <v>721</v>
      </c>
      <c r="E314" s="28" t="s">
        <v>860</v>
      </c>
      <c r="F314" s="27" t="s">
        <v>3433</v>
      </c>
      <c r="G314" s="27" t="s">
        <v>3431</v>
      </c>
      <c r="H314" s="28">
        <v>1</v>
      </c>
      <c r="I314" s="3">
        <v>0.24</v>
      </c>
    </row>
    <row r="315" spans="1:9" ht="25.5">
      <c r="A315" s="86" t="s">
        <v>861</v>
      </c>
      <c r="B315" s="86" t="s">
        <v>3434</v>
      </c>
      <c r="C315" s="86" t="s">
        <v>3435</v>
      </c>
      <c r="D315" s="86" t="s">
        <v>697</v>
      </c>
      <c r="E315" s="87" t="s">
        <v>862</v>
      </c>
      <c r="F315" s="180" t="s">
        <v>3436</v>
      </c>
      <c r="G315" s="180" t="s">
        <v>3437</v>
      </c>
      <c r="H315" s="87">
        <v>1</v>
      </c>
      <c r="I315" s="3">
        <v>0.24</v>
      </c>
    </row>
    <row r="316" spans="1:9" ht="25.5">
      <c r="A316" s="86" t="s">
        <v>861</v>
      </c>
      <c r="B316" s="86" t="s">
        <v>3434</v>
      </c>
      <c r="C316" s="86" t="s">
        <v>3435</v>
      </c>
      <c r="D316" s="86" t="s">
        <v>717</v>
      </c>
      <c r="E316" s="87" t="s">
        <v>3</v>
      </c>
      <c r="F316" s="180" t="s">
        <v>2836</v>
      </c>
      <c r="G316" s="180" t="s">
        <v>3438</v>
      </c>
      <c r="H316" s="87">
        <v>1</v>
      </c>
      <c r="I316" s="3"/>
    </row>
    <row r="317" spans="1:9" ht="25.5">
      <c r="A317" s="86" t="s">
        <v>861</v>
      </c>
      <c r="B317" s="86" t="s">
        <v>3434</v>
      </c>
      <c r="C317" s="86" t="s">
        <v>3435</v>
      </c>
      <c r="D317" s="86" t="s">
        <v>863</v>
      </c>
      <c r="E317" s="87" t="s">
        <v>94</v>
      </c>
      <c r="F317" s="11" t="s">
        <v>3439</v>
      </c>
      <c r="G317" s="11" t="s">
        <v>3440</v>
      </c>
      <c r="H317" s="87">
        <v>1</v>
      </c>
      <c r="I317" s="3"/>
    </row>
    <row r="318" spans="1:9" ht="25.5">
      <c r="A318" s="86" t="s">
        <v>861</v>
      </c>
      <c r="B318" s="86" t="s">
        <v>3434</v>
      </c>
      <c r="C318" s="86" t="s">
        <v>3441</v>
      </c>
      <c r="D318" s="86" t="s">
        <v>864</v>
      </c>
      <c r="E318" s="87" t="s">
        <v>95</v>
      </c>
      <c r="F318" s="11" t="s">
        <v>3442</v>
      </c>
      <c r="G318" s="11" t="s">
        <v>3443</v>
      </c>
      <c r="H318" s="87">
        <v>1</v>
      </c>
      <c r="I318" s="3"/>
    </row>
    <row r="319" spans="1:9" ht="38.25">
      <c r="A319" s="86" t="s">
        <v>865</v>
      </c>
      <c r="B319" s="86" t="s">
        <v>3444</v>
      </c>
      <c r="C319" s="86" t="s">
        <v>3445</v>
      </c>
      <c r="D319" s="86" t="s">
        <v>697</v>
      </c>
      <c r="E319" s="87" t="s">
        <v>866</v>
      </c>
      <c r="F319" s="180" t="s">
        <v>3446</v>
      </c>
      <c r="G319" s="180" t="s">
        <v>3447</v>
      </c>
      <c r="H319" s="87">
        <v>1</v>
      </c>
      <c r="I319" s="3">
        <v>0.14000000000000001</v>
      </c>
    </row>
    <row r="320" spans="1:9" ht="38.25">
      <c r="A320" s="86" t="s">
        <v>96</v>
      </c>
      <c r="B320" s="86" t="s">
        <v>3444</v>
      </c>
      <c r="C320" s="86" t="s">
        <v>3445</v>
      </c>
      <c r="D320" s="86" t="s">
        <v>717</v>
      </c>
      <c r="E320" s="87" t="s">
        <v>3</v>
      </c>
      <c r="F320" s="180" t="s">
        <v>2836</v>
      </c>
      <c r="G320" s="180" t="s">
        <v>2861</v>
      </c>
      <c r="H320" s="87">
        <v>1</v>
      </c>
      <c r="I320" s="3"/>
    </row>
    <row r="321" spans="1:9" ht="25.5">
      <c r="A321" s="27" t="s">
        <v>867</v>
      </c>
      <c r="B321" s="27" t="s">
        <v>3448</v>
      </c>
      <c r="C321" s="27" t="s">
        <v>3449</v>
      </c>
      <c r="D321" s="27" t="s">
        <v>0</v>
      </c>
      <c r="E321" s="27" t="s">
        <v>97</v>
      </c>
      <c r="F321" s="27" t="s">
        <v>3450</v>
      </c>
      <c r="G321" s="27" t="s">
        <v>3451</v>
      </c>
      <c r="H321" s="27">
        <v>1</v>
      </c>
      <c r="I321" s="3">
        <v>0.1</v>
      </c>
    </row>
    <row r="322" spans="1:9" ht="25.5">
      <c r="A322" s="27" t="s">
        <v>98</v>
      </c>
      <c r="B322" s="27" t="s">
        <v>3448</v>
      </c>
      <c r="C322" s="27" t="s">
        <v>3449</v>
      </c>
      <c r="D322" s="27" t="s">
        <v>1</v>
      </c>
      <c r="E322" s="27" t="s">
        <v>868</v>
      </c>
      <c r="F322" s="27" t="s">
        <v>2836</v>
      </c>
      <c r="G322" s="27" t="s">
        <v>2738</v>
      </c>
      <c r="H322" s="27">
        <v>1</v>
      </c>
      <c r="I322" s="3"/>
    </row>
    <row r="323" spans="1:9" ht="25.5">
      <c r="A323" s="65" t="s">
        <v>869</v>
      </c>
      <c r="B323" s="65" t="s">
        <v>3452</v>
      </c>
      <c r="C323" s="65" t="s">
        <v>3453</v>
      </c>
      <c r="D323" s="65" t="s">
        <v>697</v>
      </c>
      <c r="E323" s="76" t="s">
        <v>870</v>
      </c>
      <c r="F323" s="76" t="s">
        <v>3454</v>
      </c>
      <c r="G323" s="76" t="s">
        <v>3455</v>
      </c>
      <c r="H323" s="65">
        <v>1</v>
      </c>
      <c r="I323" s="3">
        <v>0.31</v>
      </c>
    </row>
    <row r="324" spans="1:9" ht="38.25">
      <c r="A324" s="65" t="s">
        <v>869</v>
      </c>
      <c r="B324" s="65" t="s">
        <v>3452</v>
      </c>
      <c r="C324" s="65" t="s">
        <v>3456</v>
      </c>
      <c r="D324" s="65" t="s">
        <v>717</v>
      </c>
      <c r="E324" s="51" t="s">
        <v>4</v>
      </c>
      <c r="F324" s="51" t="s">
        <v>3103</v>
      </c>
      <c r="G324" s="51" t="s">
        <v>3366</v>
      </c>
      <c r="H324" s="65">
        <v>1</v>
      </c>
      <c r="I324" s="3"/>
    </row>
    <row r="325" spans="1:9" ht="38.25">
      <c r="A325" s="42" t="s">
        <v>871</v>
      </c>
      <c r="B325" s="42" t="s">
        <v>3457</v>
      </c>
      <c r="C325" s="42" t="s">
        <v>3458</v>
      </c>
      <c r="D325" s="88" t="s">
        <v>721</v>
      </c>
      <c r="E325" s="34" t="s">
        <v>872</v>
      </c>
      <c r="F325" s="34" t="s">
        <v>3459</v>
      </c>
      <c r="G325" s="34" t="s">
        <v>3460</v>
      </c>
      <c r="H325" s="83">
        <v>1</v>
      </c>
      <c r="I325" s="3">
        <v>0.28999999999999998</v>
      </c>
    </row>
    <row r="326" spans="1:9" ht="38.25">
      <c r="A326" s="42" t="s">
        <v>871</v>
      </c>
      <c r="B326" s="42" t="s">
        <v>3457</v>
      </c>
      <c r="C326" s="42" t="s">
        <v>3458</v>
      </c>
      <c r="D326" s="88" t="s">
        <v>701</v>
      </c>
      <c r="E326" s="34" t="s">
        <v>837</v>
      </c>
      <c r="F326" s="34" t="s">
        <v>3461</v>
      </c>
      <c r="G326" s="34" t="s">
        <v>3063</v>
      </c>
      <c r="H326" s="83">
        <v>1</v>
      </c>
      <c r="I326" s="3"/>
    </row>
    <row r="327" spans="1:9" ht="38.25">
      <c r="A327" s="65" t="s">
        <v>873</v>
      </c>
      <c r="B327" s="65" t="s">
        <v>3462</v>
      </c>
      <c r="C327" s="65" t="s">
        <v>3463</v>
      </c>
      <c r="D327" s="65" t="s">
        <v>697</v>
      </c>
      <c r="E327" s="75" t="s">
        <v>874</v>
      </c>
      <c r="F327" s="75" t="s">
        <v>3464</v>
      </c>
      <c r="G327" s="75" t="s">
        <v>3465</v>
      </c>
      <c r="H327" s="65">
        <v>1</v>
      </c>
      <c r="I327" s="3">
        <v>0.51</v>
      </c>
    </row>
    <row r="328" spans="1:9" ht="38.25">
      <c r="A328" s="65" t="s">
        <v>873</v>
      </c>
      <c r="B328" s="65" t="s">
        <v>3462</v>
      </c>
      <c r="C328" s="65" t="s">
        <v>3463</v>
      </c>
      <c r="D328" s="65" t="s">
        <v>717</v>
      </c>
      <c r="E328" s="75" t="s">
        <v>875</v>
      </c>
      <c r="F328" s="75" t="s">
        <v>3365</v>
      </c>
      <c r="G328" s="75" t="s">
        <v>3366</v>
      </c>
      <c r="H328" s="65">
        <v>3</v>
      </c>
      <c r="I328" s="3"/>
    </row>
    <row r="329" spans="1:9" ht="38.25">
      <c r="A329" s="65" t="s">
        <v>873</v>
      </c>
      <c r="B329" s="65" t="s">
        <v>3462</v>
      </c>
      <c r="C329" s="65" t="s">
        <v>3463</v>
      </c>
      <c r="D329" s="65" t="s">
        <v>863</v>
      </c>
      <c r="E329" s="75" t="s">
        <v>837</v>
      </c>
      <c r="F329" s="75" t="s">
        <v>3461</v>
      </c>
      <c r="G329" s="75" t="s">
        <v>3044</v>
      </c>
      <c r="H329" s="65">
        <v>2</v>
      </c>
      <c r="I329" s="3"/>
    </row>
    <row r="330" spans="1:9" ht="25.5">
      <c r="A330" s="37" t="s">
        <v>876</v>
      </c>
      <c r="B330" s="181" t="s">
        <v>3466</v>
      </c>
      <c r="C330" s="181" t="s">
        <v>3467</v>
      </c>
      <c r="D330" s="77" t="s">
        <v>0</v>
      </c>
      <c r="E330" s="89" t="s">
        <v>877</v>
      </c>
      <c r="F330" s="90" t="s">
        <v>3468</v>
      </c>
      <c r="G330" s="90" t="s">
        <v>3469</v>
      </c>
      <c r="H330" s="40">
        <v>1</v>
      </c>
      <c r="I330" s="3">
        <v>0.28999999999999998</v>
      </c>
    </row>
    <row r="331" spans="1:9" ht="38.25">
      <c r="A331" s="37" t="s">
        <v>99</v>
      </c>
      <c r="B331" s="181" t="s">
        <v>3466</v>
      </c>
      <c r="C331" s="181" t="s">
        <v>3467</v>
      </c>
      <c r="D331" s="77" t="s">
        <v>1</v>
      </c>
      <c r="E331" s="89" t="s">
        <v>878</v>
      </c>
      <c r="F331" s="90" t="s">
        <v>3103</v>
      </c>
      <c r="G331" s="90" t="s">
        <v>3470</v>
      </c>
      <c r="H331" s="40" t="s">
        <v>879</v>
      </c>
      <c r="I331" s="3"/>
    </row>
    <row r="332" spans="1:9" ht="38.25">
      <c r="A332" s="30" t="s">
        <v>880</v>
      </c>
      <c r="B332" s="30" t="s">
        <v>3471</v>
      </c>
      <c r="C332" s="30" t="s">
        <v>3472</v>
      </c>
      <c r="D332" s="30" t="s">
        <v>721</v>
      </c>
      <c r="E332" s="83" t="s">
        <v>881</v>
      </c>
      <c r="F332" s="83" t="s">
        <v>3473</v>
      </c>
      <c r="G332" s="83" t="s">
        <v>3474</v>
      </c>
      <c r="H332" s="83">
        <v>1</v>
      </c>
      <c r="I332" s="3">
        <v>0.24</v>
      </c>
    </row>
    <row r="333" spans="1:9" ht="38.25">
      <c r="A333" s="30" t="s">
        <v>880</v>
      </c>
      <c r="B333" s="30" t="s">
        <v>3471</v>
      </c>
      <c r="C333" s="30" t="s">
        <v>3472</v>
      </c>
      <c r="D333" s="30" t="s">
        <v>701</v>
      </c>
      <c r="E333" s="83" t="s">
        <v>882</v>
      </c>
      <c r="F333" s="83" t="s">
        <v>3475</v>
      </c>
      <c r="G333" s="83" t="s">
        <v>3476</v>
      </c>
      <c r="H333" s="83">
        <v>1</v>
      </c>
      <c r="I333" s="3"/>
    </row>
    <row r="334" spans="1:9" ht="38.25">
      <c r="A334" s="30" t="s">
        <v>880</v>
      </c>
      <c r="B334" s="30" t="s">
        <v>3471</v>
      </c>
      <c r="C334" s="30" t="s">
        <v>3472</v>
      </c>
      <c r="D334" s="30" t="s">
        <v>824</v>
      </c>
      <c r="E334" s="84" t="s">
        <v>3</v>
      </c>
      <c r="F334" s="84" t="s">
        <v>2836</v>
      </c>
      <c r="G334" s="84" t="s">
        <v>2738</v>
      </c>
      <c r="H334" s="83">
        <v>2</v>
      </c>
      <c r="I334" s="3"/>
    </row>
    <row r="335" spans="1:9" ht="38.25">
      <c r="A335" s="30" t="s">
        <v>880</v>
      </c>
      <c r="B335" s="30" t="s">
        <v>3471</v>
      </c>
      <c r="C335" s="30" t="s">
        <v>3472</v>
      </c>
      <c r="D335" s="30" t="s">
        <v>826</v>
      </c>
      <c r="E335" s="83" t="s">
        <v>883</v>
      </c>
      <c r="F335" s="83" t="s">
        <v>2837</v>
      </c>
      <c r="G335" s="83" t="s">
        <v>3477</v>
      </c>
      <c r="H335" s="83">
        <v>1</v>
      </c>
      <c r="I335" s="3"/>
    </row>
    <row r="336" spans="1:9" ht="38.25">
      <c r="A336" s="30" t="s">
        <v>880</v>
      </c>
      <c r="B336" s="30" t="s">
        <v>3471</v>
      </c>
      <c r="C336" s="30" t="s">
        <v>3472</v>
      </c>
      <c r="D336" s="30"/>
      <c r="E336" s="84" t="s">
        <v>884</v>
      </c>
      <c r="F336" s="84" t="s">
        <v>3478</v>
      </c>
      <c r="G336" s="84" t="s">
        <v>3479</v>
      </c>
      <c r="H336" s="83">
        <v>1</v>
      </c>
      <c r="I336" s="3"/>
    </row>
    <row r="337" spans="1:9" ht="25.5">
      <c r="A337" s="3" t="s">
        <v>885</v>
      </c>
      <c r="B337" s="27" t="s">
        <v>3480</v>
      </c>
      <c r="C337" s="27" t="s">
        <v>3481</v>
      </c>
      <c r="D337" s="4" t="s">
        <v>0</v>
      </c>
      <c r="E337" s="28" t="s">
        <v>886</v>
      </c>
      <c r="F337" s="28" t="s">
        <v>3482</v>
      </c>
      <c r="G337" s="28" t="s">
        <v>3483</v>
      </c>
      <c r="H337" s="29">
        <v>1</v>
      </c>
      <c r="I337" s="3">
        <v>0.21</v>
      </c>
    </row>
    <row r="338" spans="1:9" ht="25.5">
      <c r="A338" s="3" t="s">
        <v>100</v>
      </c>
      <c r="B338" s="27" t="s">
        <v>3480</v>
      </c>
      <c r="C338" s="27" t="s">
        <v>3481</v>
      </c>
      <c r="D338" s="4" t="s">
        <v>1</v>
      </c>
      <c r="E338" s="28" t="s">
        <v>101</v>
      </c>
      <c r="F338" s="28" t="s">
        <v>2836</v>
      </c>
      <c r="G338" s="28" t="s">
        <v>2738</v>
      </c>
      <c r="H338" s="29">
        <v>2</v>
      </c>
      <c r="I338" s="3"/>
    </row>
    <row r="339" spans="1:9" ht="25.5">
      <c r="A339" s="3" t="s">
        <v>887</v>
      </c>
      <c r="B339" s="27" t="s">
        <v>3484</v>
      </c>
      <c r="C339" s="27" t="s">
        <v>3485</v>
      </c>
      <c r="D339" s="4" t="s">
        <v>0</v>
      </c>
      <c r="E339" s="28" t="s">
        <v>102</v>
      </c>
      <c r="F339" s="28" t="s">
        <v>3486</v>
      </c>
      <c r="G339" s="28" t="s">
        <v>3487</v>
      </c>
      <c r="H339" s="29">
        <v>1</v>
      </c>
      <c r="I339" s="3">
        <v>7.0000000000000007E-2</v>
      </c>
    </row>
    <row r="340" spans="1:9" ht="25.5">
      <c r="A340" s="3" t="s">
        <v>103</v>
      </c>
      <c r="B340" s="27" t="s">
        <v>3484</v>
      </c>
      <c r="C340" s="27" t="s">
        <v>3485</v>
      </c>
      <c r="D340" s="4" t="s">
        <v>0</v>
      </c>
      <c r="E340" s="28" t="s">
        <v>104</v>
      </c>
      <c r="F340" s="28" t="s">
        <v>3486</v>
      </c>
      <c r="G340" s="28" t="s">
        <v>3487</v>
      </c>
      <c r="H340" s="29">
        <v>991</v>
      </c>
      <c r="I340" s="3"/>
    </row>
    <row r="341" spans="1:9" ht="25.5">
      <c r="A341" s="3" t="s">
        <v>103</v>
      </c>
      <c r="B341" s="27" t="s">
        <v>3484</v>
      </c>
      <c r="C341" s="27" t="s">
        <v>3485</v>
      </c>
      <c r="D341" s="4" t="s">
        <v>1</v>
      </c>
      <c r="E341" s="28" t="s">
        <v>888</v>
      </c>
      <c r="F341" s="28" t="s">
        <v>3488</v>
      </c>
      <c r="G341" s="28" t="s">
        <v>3489</v>
      </c>
      <c r="H341" s="29">
        <v>1</v>
      </c>
      <c r="I341" s="3"/>
    </row>
    <row r="342" spans="1:9" ht="25.5">
      <c r="A342" s="3" t="s">
        <v>103</v>
      </c>
      <c r="B342" s="27" t="s">
        <v>3484</v>
      </c>
      <c r="C342" s="27" t="s">
        <v>3485</v>
      </c>
      <c r="D342" s="4"/>
      <c r="E342" s="4" t="s">
        <v>886</v>
      </c>
      <c r="F342" s="28" t="s">
        <v>3482</v>
      </c>
      <c r="G342" s="28" t="s">
        <v>3490</v>
      </c>
      <c r="H342" s="29">
        <v>1</v>
      </c>
      <c r="I342" s="3"/>
    </row>
    <row r="343" spans="1:9" ht="27">
      <c r="A343" s="162" t="s">
        <v>889</v>
      </c>
      <c r="B343" s="162" t="s">
        <v>3491</v>
      </c>
      <c r="C343" s="162" t="s">
        <v>3492</v>
      </c>
      <c r="D343" s="162" t="s">
        <v>721</v>
      </c>
      <c r="E343" s="163" t="s">
        <v>890</v>
      </c>
      <c r="F343" s="163" t="s">
        <v>3493</v>
      </c>
      <c r="G343" s="163" t="s">
        <v>3492</v>
      </c>
      <c r="H343" s="163">
        <v>1</v>
      </c>
      <c r="I343" s="3"/>
    </row>
    <row r="344" spans="1:9" ht="27">
      <c r="A344" s="162" t="s">
        <v>889</v>
      </c>
      <c r="B344" s="162" t="s">
        <v>3491</v>
      </c>
      <c r="C344" s="162" t="s">
        <v>3492</v>
      </c>
      <c r="D344" s="162" t="s">
        <v>701</v>
      </c>
      <c r="E344" s="163" t="s">
        <v>891</v>
      </c>
      <c r="F344" s="163" t="s">
        <v>3494</v>
      </c>
      <c r="G344" s="163" t="s">
        <v>3495</v>
      </c>
      <c r="H344" s="163">
        <v>1</v>
      </c>
      <c r="I344" s="3"/>
    </row>
    <row r="345" spans="1:9" ht="25.5">
      <c r="A345" s="3" t="s">
        <v>892</v>
      </c>
      <c r="B345" s="3" t="s">
        <v>3496</v>
      </c>
      <c r="C345" s="3" t="s">
        <v>3497</v>
      </c>
      <c r="D345" s="65" t="s">
        <v>697</v>
      </c>
      <c r="E345" s="39" t="s">
        <v>893</v>
      </c>
      <c r="F345" s="39" t="s">
        <v>3498</v>
      </c>
      <c r="G345" s="39" t="s">
        <v>3499</v>
      </c>
      <c r="H345" s="87">
        <v>1</v>
      </c>
      <c r="I345" s="3">
        <v>0.1</v>
      </c>
    </row>
    <row r="346" spans="1:9" ht="25.5">
      <c r="A346" s="3" t="s">
        <v>892</v>
      </c>
      <c r="B346" s="3" t="s">
        <v>3496</v>
      </c>
      <c r="C346" s="3" t="s">
        <v>3497</v>
      </c>
      <c r="D346" s="65" t="s">
        <v>717</v>
      </c>
      <c r="E346" s="87" t="s">
        <v>3</v>
      </c>
      <c r="F346" s="180" t="s">
        <v>2836</v>
      </c>
      <c r="G346" s="180" t="s">
        <v>2738</v>
      </c>
      <c r="H346" s="87">
        <v>1</v>
      </c>
      <c r="I346" s="3"/>
    </row>
    <row r="347" spans="1:9" ht="51">
      <c r="A347" s="3" t="s">
        <v>894</v>
      </c>
      <c r="B347" s="3" t="s">
        <v>3500</v>
      </c>
      <c r="C347" s="3" t="s">
        <v>3501</v>
      </c>
      <c r="D347" s="30" t="s">
        <v>721</v>
      </c>
      <c r="E347" s="34" t="s">
        <v>895</v>
      </c>
      <c r="F347" s="34" t="s">
        <v>3502</v>
      </c>
      <c r="G347" s="34" t="s">
        <v>3503</v>
      </c>
      <c r="H347" s="91">
        <v>1</v>
      </c>
      <c r="I347" s="3">
        <v>0.1</v>
      </c>
    </row>
    <row r="348" spans="1:9" ht="51">
      <c r="A348" s="3" t="s">
        <v>894</v>
      </c>
      <c r="B348" s="3" t="s">
        <v>3500</v>
      </c>
      <c r="C348" s="3" t="s">
        <v>3504</v>
      </c>
      <c r="D348" s="30" t="s">
        <v>701</v>
      </c>
      <c r="E348" s="34" t="s">
        <v>719</v>
      </c>
      <c r="F348" s="34" t="s">
        <v>2737</v>
      </c>
      <c r="G348" s="34" t="s">
        <v>2738</v>
      </c>
      <c r="H348" s="91">
        <v>1</v>
      </c>
      <c r="I348" s="3"/>
    </row>
    <row r="349" spans="1:9" ht="25.5">
      <c r="A349" s="30" t="s">
        <v>896</v>
      </c>
      <c r="B349" s="30" t="s">
        <v>3505</v>
      </c>
      <c r="C349" s="30" t="s">
        <v>3506</v>
      </c>
      <c r="D349" s="30" t="s">
        <v>721</v>
      </c>
      <c r="E349" s="83" t="s">
        <v>897</v>
      </c>
      <c r="F349" s="83" t="s">
        <v>3507</v>
      </c>
      <c r="G349" s="83" t="s">
        <v>3508</v>
      </c>
      <c r="H349" s="83">
        <v>1</v>
      </c>
      <c r="I349" s="3">
        <v>0.24</v>
      </c>
    </row>
    <row r="350" spans="1:9" ht="25.5">
      <c r="A350" s="30" t="s">
        <v>896</v>
      </c>
      <c r="B350" s="30" t="s">
        <v>3505</v>
      </c>
      <c r="C350" s="30" t="s">
        <v>3506</v>
      </c>
      <c r="D350" s="30" t="s">
        <v>701</v>
      </c>
      <c r="E350" s="84" t="s">
        <v>3</v>
      </c>
      <c r="F350" s="84" t="s">
        <v>2836</v>
      </c>
      <c r="G350" s="84" t="s">
        <v>2738</v>
      </c>
      <c r="H350" s="83">
        <v>2</v>
      </c>
      <c r="I350" s="3"/>
    </row>
    <row r="351" spans="1:9" ht="25.5">
      <c r="A351" s="30" t="s">
        <v>898</v>
      </c>
      <c r="B351" s="30" t="s">
        <v>3509</v>
      </c>
      <c r="C351" s="30" t="s">
        <v>3510</v>
      </c>
      <c r="D351" s="30" t="s">
        <v>721</v>
      </c>
      <c r="E351" s="92" t="s">
        <v>899</v>
      </c>
      <c r="F351" s="28" t="s">
        <v>3511</v>
      </c>
      <c r="G351" s="28" t="s">
        <v>3512</v>
      </c>
      <c r="H351" s="28">
        <v>1</v>
      </c>
      <c r="I351" s="3">
        <v>0.26</v>
      </c>
    </row>
    <row r="352" spans="1:9" ht="25.5">
      <c r="A352" s="30" t="s">
        <v>898</v>
      </c>
      <c r="B352" s="30" t="s">
        <v>3509</v>
      </c>
      <c r="C352" s="30" t="s">
        <v>3510</v>
      </c>
      <c r="D352" s="30" t="s">
        <v>701</v>
      </c>
      <c r="E352" s="92" t="s">
        <v>900</v>
      </c>
      <c r="F352" s="28" t="s">
        <v>3513</v>
      </c>
      <c r="G352" s="28" t="s">
        <v>3514</v>
      </c>
      <c r="H352" s="28">
        <v>1</v>
      </c>
      <c r="I352" s="3"/>
    </row>
    <row r="353" spans="1:9" ht="25.5">
      <c r="A353" s="30" t="s">
        <v>898</v>
      </c>
      <c r="B353" s="30" t="s">
        <v>3509</v>
      </c>
      <c r="C353" s="30" t="s">
        <v>3510</v>
      </c>
      <c r="D353" s="30" t="s">
        <v>824</v>
      </c>
      <c r="E353" s="92" t="s">
        <v>901</v>
      </c>
      <c r="F353" s="28" t="s">
        <v>3515</v>
      </c>
      <c r="G353" s="28" t="s">
        <v>3516</v>
      </c>
      <c r="H353" s="28">
        <v>1</v>
      </c>
      <c r="I353" s="3"/>
    </row>
    <row r="354" spans="1:9" ht="25.5">
      <c r="A354" s="30" t="s">
        <v>898</v>
      </c>
      <c r="B354" s="30" t="s">
        <v>3509</v>
      </c>
      <c r="C354" s="30" t="s">
        <v>3510</v>
      </c>
      <c r="D354" s="30" t="s">
        <v>826</v>
      </c>
      <c r="E354" s="92" t="s">
        <v>902</v>
      </c>
      <c r="F354" s="28" t="s">
        <v>3517</v>
      </c>
      <c r="G354" s="28" t="s">
        <v>3518</v>
      </c>
      <c r="H354" s="28">
        <v>1</v>
      </c>
      <c r="I354" s="3"/>
    </row>
    <row r="355" spans="1:9" ht="25.5">
      <c r="A355" s="30" t="s">
        <v>898</v>
      </c>
      <c r="B355" s="30" t="s">
        <v>3509</v>
      </c>
      <c r="C355" s="30" t="s">
        <v>3519</v>
      </c>
      <c r="D355" s="30"/>
      <c r="E355" s="92" t="s">
        <v>903</v>
      </c>
      <c r="F355" s="28" t="s">
        <v>3520</v>
      </c>
      <c r="G355" s="28" t="s">
        <v>3521</v>
      </c>
      <c r="H355" s="28">
        <v>1</v>
      </c>
      <c r="I355" s="3"/>
    </row>
    <row r="356" spans="1:9" ht="25.5">
      <c r="A356" s="93" t="s">
        <v>904</v>
      </c>
      <c r="B356" s="93" t="s">
        <v>3522</v>
      </c>
      <c r="C356" s="93" t="s">
        <v>3523</v>
      </c>
      <c r="D356" s="93" t="s">
        <v>721</v>
      </c>
      <c r="E356" s="92" t="s">
        <v>903</v>
      </c>
      <c r="F356" s="94" t="s">
        <v>3520</v>
      </c>
      <c r="G356" s="94" t="s">
        <v>3521</v>
      </c>
      <c r="H356" s="94">
        <v>1</v>
      </c>
      <c r="I356" s="3">
        <v>0.42</v>
      </c>
    </row>
    <row r="357" spans="1:9" ht="25.5">
      <c r="A357" s="93" t="s">
        <v>904</v>
      </c>
      <c r="B357" s="93" t="s">
        <v>3522</v>
      </c>
      <c r="C357" s="93" t="s">
        <v>3523</v>
      </c>
      <c r="D357" s="93" t="s">
        <v>701</v>
      </c>
      <c r="E357" s="92" t="s">
        <v>905</v>
      </c>
      <c r="F357" s="94" t="s">
        <v>3524</v>
      </c>
      <c r="G357" s="94" t="s">
        <v>2999</v>
      </c>
      <c r="H357" s="94">
        <v>2</v>
      </c>
      <c r="I357" s="3"/>
    </row>
    <row r="358" spans="1:9" ht="25.5">
      <c r="A358" s="93" t="s">
        <v>904</v>
      </c>
      <c r="B358" s="93" t="s">
        <v>3522</v>
      </c>
      <c r="C358" s="93" t="s">
        <v>3523</v>
      </c>
      <c r="D358" s="93" t="s">
        <v>824</v>
      </c>
      <c r="E358" s="92" t="s">
        <v>906</v>
      </c>
      <c r="F358" s="94" t="s">
        <v>3524</v>
      </c>
      <c r="G358" s="94" t="s">
        <v>2999</v>
      </c>
      <c r="H358" s="94">
        <v>1</v>
      </c>
      <c r="I358" s="3"/>
    </row>
    <row r="359" spans="1:9" ht="25.5">
      <c r="A359" s="27" t="s">
        <v>907</v>
      </c>
      <c r="B359" s="27" t="s">
        <v>3525</v>
      </c>
      <c r="C359" s="27" t="s">
        <v>3526</v>
      </c>
      <c r="D359" s="27" t="s">
        <v>0</v>
      </c>
      <c r="E359" s="27" t="s">
        <v>105</v>
      </c>
      <c r="F359" s="27" t="s">
        <v>3527</v>
      </c>
      <c r="G359" s="27" t="s">
        <v>3528</v>
      </c>
      <c r="H359" s="27">
        <v>1</v>
      </c>
      <c r="I359" s="3">
        <v>0.15</v>
      </c>
    </row>
    <row r="360" spans="1:9" ht="25.5">
      <c r="A360" s="27" t="s">
        <v>106</v>
      </c>
      <c r="B360" s="27" t="s">
        <v>3525</v>
      </c>
      <c r="C360" s="27" t="s">
        <v>3526</v>
      </c>
      <c r="D360" s="27" t="s">
        <v>0</v>
      </c>
      <c r="E360" s="27" t="s">
        <v>3</v>
      </c>
      <c r="F360" s="27" t="s">
        <v>2836</v>
      </c>
      <c r="G360" s="27" t="s">
        <v>2861</v>
      </c>
      <c r="H360" s="27">
        <v>2</v>
      </c>
      <c r="I360" s="3"/>
    </row>
    <row r="361" spans="1:9">
      <c r="A361" s="27" t="s">
        <v>908</v>
      </c>
      <c r="B361" s="27" t="s">
        <v>3529</v>
      </c>
      <c r="C361" s="27" t="s">
        <v>3530</v>
      </c>
      <c r="D361" s="27" t="s">
        <v>0</v>
      </c>
      <c r="E361" s="27" t="s">
        <v>909</v>
      </c>
      <c r="F361" s="27" t="s">
        <v>3527</v>
      </c>
      <c r="G361" s="27" t="s">
        <v>3528</v>
      </c>
      <c r="H361" s="27">
        <v>1</v>
      </c>
      <c r="I361" s="3">
        <v>0.1</v>
      </c>
    </row>
    <row r="362" spans="1:9">
      <c r="A362" s="27" t="s">
        <v>107</v>
      </c>
      <c r="B362" s="27" t="s">
        <v>3529</v>
      </c>
      <c r="C362" s="27" t="s">
        <v>3530</v>
      </c>
      <c r="D362" s="27" t="s">
        <v>1</v>
      </c>
      <c r="E362" s="27" t="s">
        <v>3</v>
      </c>
      <c r="F362" s="27" t="s">
        <v>2836</v>
      </c>
      <c r="G362" s="27" t="s">
        <v>2738</v>
      </c>
      <c r="H362" s="27">
        <v>2</v>
      </c>
      <c r="I362" s="3"/>
    </row>
    <row r="363" spans="1:9" ht="25.5">
      <c r="A363" s="27" t="s">
        <v>910</v>
      </c>
      <c r="B363" s="27" t="s">
        <v>3531</v>
      </c>
      <c r="C363" s="27" t="s">
        <v>3530</v>
      </c>
      <c r="D363" s="27" t="s">
        <v>0</v>
      </c>
      <c r="E363" s="27" t="s">
        <v>911</v>
      </c>
      <c r="F363" s="27" t="s">
        <v>3532</v>
      </c>
      <c r="G363" s="27" t="s">
        <v>3533</v>
      </c>
      <c r="H363" s="27">
        <v>1</v>
      </c>
      <c r="I363" s="3">
        <v>0.19</v>
      </c>
    </row>
    <row r="364" spans="1:9" ht="25.5">
      <c r="A364" s="27" t="s">
        <v>910</v>
      </c>
      <c r="B364" s="27" t="s">
        <v>3531</v>
      </c>
      <c r="C364" s="27" t="s">
        <v>3534</v>
      </c>
      <c r="D364" s="27" t="s">
        <v>1</v>
      </c>
      <c r="E364" s="27" t="s">
        <v>912</v>
      </c>
      <c r="F364" s="27" t="s">
        <v>3535</v>
      </c>
      <c r="G364" s="27" t="s">
        <v>3536</v>
      </c>
      <c r="H364" s="27">
        <v>2</v>
      </c>
      <c r="I364" s="3"/>
    </row>
    <row r="365" spans="1:9" ht="25.5">
      <c r="A365" s="27" t="s">
        <v>913</v>
      </c>
      <c r="B365" s="27" t="s">
        <v>3537</v>
      </c>
      <c r="C365" s="27" t="s">
        <v>3538</v>
      </c>
      <c r="D365" s="27" t="s">
        <v>0</v>
      </c>
      <c r="E365" s="27" t="s">
        <v>108</v>
      </c>
      <c r="F365" s="27" t="s">
        <v>3539</v>
      </c>
      <c r="G365" s="27" t="s">
        <v>3540</v>
      </c>
      <c r="H365" s="95">
        <v>1</v>
      </c>
      <c r="I365" s="3">
        <v>0.05</v>
      </c>
    </row>
    <row r="366" spans="1:9" ht="51">
      <c r="A366" s="30" t="s">
        <v>914</v>
      </c>
      <c r="B366" s="30" t="s">
        <v>3541</v>
      </c>
      <c r="C366" s="30" t="s">
        <v>3542</v>
      </c>
      <c r="D366" s="30" t="s">
        <v>721</v>
      </c>
      <c r="E366" s="30" t="s">
        <v>915</v>
      </c>
      <c r="F366" s="30" t="s">
        <v>3543</v>
      </c>
      <c r="G366" s="30" t="s">
        <v>3544</v>
      </c>
      <c r="H366" s="30">
        <v>1</v>
      </c>
      <c r="I366" s="3">
        <v>0.57999999999999996</v>
      </c>
    </row>
    <row r="367" spans="1:9" ht="51">
      <c r="A367" s="30" t="s">
        <v>914</v>
      </c>
      <c r="B367" s="30" t="s">
        <v>3541</v>
      </c>
      <c r="C367" s="30" t="s">
        <v>3545</v>
      </c>
      <c r="D367" s="30" t="s">
        <v>701</v>
      </c>
      <c r="E367" s="30" t="s">
        <v>916</v>
      </c>
      <c r="F367" s="30" t="s">
        <v>3546</v>
      </c>
      <c r="G367" s="30" t="s">
        <v>3547</v>
      </c>
      <c r="H367" s="30">
        <v>1</v>
      </c>
      <c r="I367" s="3"/>
    </row>
    <row r="368" spans="1:9" ht="51">
      <c r="A368" s="30" t="s">
        <v>914</v>
      </c>
      <c r="B368" s="30" t="s">
        <v>3541</v>
      </c>
      <c r="C368" s="30" t="s">
        <v>3545</v>
      </c>
      <c r="D368" s="30" t="s">
        <v>824</v>
      </c>
      <c r="E368" s="30" t="s">
        <v>917</v>
      </c>
      <c r="F368" s="28" t="s">
        <v>3548</v>
      </c>
      <c r="G368" s="28" t="s">
        <v>3549</v>
      </c>
      <c r="H368" s="30">
        <v>1</v>
      </c>
      <c r="I368" s="3"/>
    </row>
    <row r="369" spans="1:9" ht="51">
      <c r="A369" s="30" t="s">
        <v>914</v>
      </c>
      <c r="B369" s="30" t="s">
        <v>3541</v>
      </c>
      <c r="C369" s="30" t="s">
        <v>3545</v>
      </c>
      <c r="D369" s="30" t="s">
        <v>826</v>
      </c>
      <c r="E369" s="28" t="s">
        <v>918</v>
      </c>
      <c r="F369" s="30" t="s">
        <v>3365</v>
      </c>
      <c r="G369" s="30" t="s">
        <v>3550</v>
      </c>
      <c r="H369" s="30">
        <v>1</v>
      </c>
      <c r="I369" s="3"/>
    </row>
    <row r="370" spans="1:9" ht="51">
      <c r="A370" s="30" t="s">
        <v>914</v>
      </c>
      <c r="B370" s="30" t="s">
        <v>3541</v>
      </c>
      <c r="C370" s="30" t="s">
        <v>3551</v>
      </c>
      <c r="D370" s="30" t="s">
        <v>828</v>
      </c>
      <c r="E370" s="28" t="s">
        <v>919</v>
      </c>
      <c r="F370" s="30" t="s">
        <v>3552</v>
      </c>
      <c r="G370" s="30" t="s">
        <v>3553</v>
      </c>
      <c r="H370" s="30">
        <v>1</v>
      </c>
      <c r="I370" s="3"/>
    </row>
    <row r="371" spans="1:9" ht="51">
      <c r="A371" s="30" t="s">
        <v>914</v>
      </c>
      <c r="B371" s="30" t="s">
        <v>3541</v>
      </c>
      <c r="C371" s="30" t="s">
        <v>3551</v>
      </c>
      <c r="D371" s="30" t="s">
        <v>920</v>
      </c>
      <c r="E371" s="28" t="s">
        <v>921</v>
      </c>
      <c r="F371" s="30" t="s">
        <v>3554</v>
      </c>
      <c r="G371" s="30" t="s">
        <v>3555</v>
      </c>
      <c r="H371" s="30">
        <v>1</v>
      </c>
      <c r="I371" s="3"/>
    </row>
    <row r="372" spans="1:9" ht="51">
      <c r="A372" s="30" t="s">
        <v>914</v>
      </c>
      <c r="B372" s="30" t="s">
        <v>3541</v>
      </c>
      <c r="C372" s="30" t="s">
        <v>3551</v>
      </c>
      <c r="D372" s="30" t="s">
        <v>922</v>
      </c>
      <c r="E372" s="28" t="s">
        <v>923</v>
      </c>
      <c r="F372" s="30" t="s">
        <v>3365</v>
      </c>
      <c r="G372" s="30" t="s">
        <v>3366</v>
      </c>
      <c r="H372" s="30">
        <v>1</v>
      </c>
      <c r="I372" s="3"/>
    </row>
    <row r="373" spans="1:9" ht="51">
      <c r="A373" s="30" t="s">
        <v>914</v>
      </c>
      <c r="B373" s="30" t="s">
        <v>3541</v>
      </c>
      <c r="C373" s="30" t="s">
        <v>3551</v>
      </c>
      <c r="D373" s="30" t="s">
        <v>924</v>
      </c>
      <c r="E373" s="28" t="s">
        <v>925</v>
      </c>
      <c r="F373" s="30" t="s">
        <v>3556</v>
      </c>
      <c r="G373" s="30" t="s">
        <v>3557</v>
      </c>
      <c r="H373" s="30">
        <v>1</v>
      </c>
      <c r="I373" s="3"/>
    </row>
    <row r="374" spans="1:9" ht="51">
      <c r="A374" s="30" t="s">
        <v>914</v>
      </c>
      <c r="B374" s="30" t="s">
        <v>3541</v>
      </c>
      <c r="C374" s="30" t="s">
        <v>3551</v>
      </c>
      <c r="D374" s="30" t="s">
        <v>926</v>
      </c>
      <c r="E374" s="30" t="s">
        <v>3558</v>
      </c>
      <c r="F374" s="30" t="s">
        <v>3559</v>
      </c>
      <c r="G374" s="30" t="s">
        <v>3560</v>
      </c>
      <c r="H374" s="30">
        <v>1</v>
      </c>
      <c r="I374" s="3"/>
    </row>
    <row r="375" spans="1:9" ht="51">
      <c r="A375" s="30" t="s">
        <v>914</v>
      </c>
      <c r="B375" s="30" t="s">
        <v>3541</v>
      </c>
      <c r="C375" s="30" t="s">
        <v>3551</v>
      </c>
      <c r="D375" s="30"/>
      <c r="E375" s="30" t="s">
        <v>927</v>
      </c>
      <c r="F375" s="30" t="s">
        <v>3561</v>
      </c>
      <c r="G375" s="30" t="s">
        <v>3562</v>
      </c>
      <c r="H375" s="30">
        <v>1</v>
      </c>
      <c r="I375" s="3"/>
    </row>
    <row r="376" spans="1:9" ht="51">
      <c r="A376" s="93" t="s">
        <v>928</v>
      </c>
      <c r="B376" s="93" t="s">
        <v>3563</v>
      </c>
      <c r="C376" s="93" t="s">
        <v>3564</v>
      </c>
      <c r="D376" s="93" t="s">
        <v>721</v>
      </c>
      <c r="E376" s="93" t="s">
        <v>927</v>
      </c>
      <c r="F376" s="93" t="s">
        <v>3561</v>
      </c>
      <c r="G376" s="93" t="s">
        <v>3562</v>
      </c>
      <c r="H376" s="93">
        <v>1</v>
      </c>
      <c r="I376" s="3">
        <v>0.65</v>
      </c>
    </row>
    <row r="377" spans="1:9" ht="51">
      <c r="A377" s="93" t="s">
        <v>928</v>
      </c>
      <c r="B377" s="93" t="s">
        <v>3563</v>
      </c>
      <c r="C377" s="93" t="s">
        <v>3564</v>
      </c>
      <c r="D377" s="93" t="s">
        <v>701</v>
      </c>
      <c r="E377" s="94" t="s">
        <v>929</v>
      </c>
      <c r="F377" s="93" t="s">
        <v>3365</v>
      </c>
      <c r="G377" s="93" t="s">
        <v>3366</v>
      </c>
      <c r="H377" s="93">
        <v>1</v>
      </c>
      <c r="I377" s="3"/>
    </row>
    <row r="378" spans="1:9" ht="51">
      <c r="A378" s="93" t="s">
        <v>928</v>
      </c>
      <c r="B378" s="93" t="s">
        <v>3563</v>
      </c>
      <c r="C378" s="93" t="s">
        <v>3564</v>
      </c>
      <c r="D378" s="93" t="s">
        <v>824</v>
      </c>
      <c r="E378" s="94" t="s">
        <v>925</v>
      </c>
      <c r="F378" s="93" t="s">
        <v>3556</v>
      </c>
      <c r="G378" s="93" t="s">
        <v>3565</v>
      </c>
      <c r="H378" s="93">
        <v>2</v>
      </c>
      <c r="I378" s="3"/>
    </row>
    <row r="379" spans="1:9" ht="51">
      <c r="A379" s="93" t="s">
        <v>928</v>
      </c>
      <c r="B379" s="93" t="s">
        <v>3563</v>
      </c>
      <c r="C379" s="93" t="s">
        <v>3564</v>
      </c>
      <c r="D379" s="93" t="s">
        <v>826</v>
      </c>
      <c r="E379" s="94" t="s">
        <v>930</v>
      </c>
      <c r="F379" s="93" t="s">
        <v>3566</v>
      </c>
      <c r="G379" s="93" t="s">
        <v>3567</v>
      </c>
      <c r="H379" s="93">
        <v>1</v>
      </c>
      <c r="I379" s="3"/>
    </row>
    <row r="380" spans="1:9" ht="25.5">
      <c r="A380" s="30" t="s">
        <v>931</v>
      </c>
      <c r="B380" s="30" t="s">
        <v>3568</v>
      </c>
      <c r="C380" s="30" t="s">
        <v>3569</v>
      </c>
      <c r="D380" s="30" t="s">
        <v>721</v>
      </c>
      <c r="E380" s="34" t="s">
        <v>932</v>
      </c>
      <c r="F380" s="34" t="s">
        <v>3570</v>
      </c>
      <c r="G380" s="34" t="s">
        <v>3571</v>
      </c>
      <c r="H380" s="30">
        <v>1</v>
      </c>
      <c r="I380" s="3">
        <v>0.47</v>
      </c>
    </row>
    <row r="381" spans="1:9" ht="25.5">
      <c r="A381" s="30" t="s">
        <v>931</v>
      </c>
      <c r="B381" s="30" t="s">
        <v>3568</v>
      </c>
      <c r="C381" s="30" t="s">
        <v>3569</v>
      </c>
      <c r="D381" s="30" t="s">
        <v>701</v>
      </c>
      <c r="E381" s="34" t="s">
        <v>933</v>
      </c>
      <c r="F381" s="34" t="s">
        <v>3572</v>
      </c>
      <c r="G381" s="34" t="s">
        <v>3573</v>
      </c>
      <c r="H381" s="30">
        <v>1</v>
      </c>
      <c r="I381" s="3"/>
    </row>
    <row r="382" spans="1:9" ht="25.5">
      <c r="A382" s="30" t="s">
        <v>931</v>
      </c>
      <c r="B382" s="30" t="s">
        <v>3568</v>
      </c>
      <c r="C382" s="30" t="s">
        <v>3569</v>
      </c>
      <c r="D382" s="30" t="s">
        <v>824</v>
      </c>
      <c r="E382" s="28" t="s">
        <v>934</v>
      </c>
      <c r="F382" s="30" t="s">
        <v>3574</v>
      </c>
      <c r="G382" s="30" t="s">
        <v>3575</v>
      </c>
      <c r="H382" s="30">
        <v>3</v>
      </c>
      <c r="I382" s="3"/>
    </row>
    <row r="383" spans="1:9" ht="25.5">
      <c r="A383" s="30" t="s">
        <v>931</v>
      </c>
      <c r="B383" s="30" t="s">
        <v>3568</v>
      </c>
      <c r="C383" s="30" t="s">
        <v>3576</v>
      </c>
      <c r="D383" s="30" t="s">
        <v>826</v>
      </c>
      <c r="E383" s="28" t="s">
        <v>935</v>
      </c>
      <c r="F383" s="30" t="s">
        <v>3577</v>
      </c>
      <c r="G383" s="30" t="s">
        <v>3578</v>
      </c>
      <c r="H383" s="30">
        <v>1</v>
      </c>
      <c r="I383" s="3"/>
    </row>
    <row r="384" spans="1:9" ht="25.5">
      <c r="A384" s="30" t="s">
        <v>931</v>
      </c>
      <c r="B384" s="30" t="s">
        <v>3568</v>
      </c>
      <c r="C384" s="30" t="s">
        <v>3576</v>
      </c>
      <c r="D384" s="30"/>
      <c r="E384" s="28" t="s">
        <v>936</v>
      </c>
      <c r="F384" s="30" t="s">
        <v>3579</v>
      </c>
      <c r="G384" s="30" t="s">
        <v>3580</v>
      </c>
      <c r="H384" s="30">
        <v>1</v>
      </c>
      <c r="I384" s="3"/>
    </row>
    <row r="385" spans="1:9" ht="25.5">
      <c r="A385" s="30" t="s">
        <v>937</v>
      </c>
      <c r="B385" s="30" t="s">
        <v>3581</v>
      </c>
      <c r="C385" s="30" t="s">
        <v>3582</v>
      </c>
      <c r="D385" s="30" t="s">
        <v>721</v>
      </c>
      <c r="E385" s="28" t="s">
        <v>936</v>
      </c>
      <c r="F385" s="30" t="s">
        <v>3581</v>
      </c>
      <c r="G385" s="30" t="s">
        <v>3583</v>
      </c>
      <c r="H385" s="30">
        <v>1</v>
      </c>
      <c r="I385" s="3">
        <v>1.66</v>
      </c>
    </row>
    <row r="386" spans="1:9" ht="25.5">
      <c r="A386" s="30" t="s">
        <v>937</v>
      </c>
      <c r="B386" s="30" t="s">
        <v>3581</v>
      </c>
      <c r="C386" s="30" t="s">
        <v>3583</v>
      </c>
      <c r="D386" s="30" t="s">
        <v>701</v>
      </c>
      <c r="E386" s="28" t="s">
        <v>938</v>
      </c>
      <c r="F386" s="30" t="s">
        <v>3574</v>
      </c>
      <c r="G386" s="30" t="s">
        <v>3575</v>
      </c>
      <c r="H386" s="30">
        <v>1</v>
      </c>
      <c r="I386" s="3"/>
    </row>
    <row r="387" spans="1:9" ht="25.5">
      <c r="A387" s="30" t="s">
        <v>937</v>
      </c>
      <c r="B387" s="30" t="s">
        <v>3581</v>
      </c>
      <c r="C387" s="30" t="s">
        <v>3583</v>
      </c>
      <c r="D387" s="30" t="s">
        <v>824</v>
      </c>
      <c r="E387" s="28" t="s">
        <v>934</v>
      </c>
      <c r="F387" s="30" t="s">
        <v>3574</v>
      </c>
      <c r="G387" s="30" t="s">
        <v>3575</v>
      </c>
      <c r="H387" s="30">
        <v>4</v>
      </c>
      <c r="I387" s="3"/>
    </row>
    <row r="388" spans="1:9" ht="38.25">
      <c r="A388" s="3" t="s">
        <v>939</v>
      </c>
      <c r="B388" s="3" t="s">
        <v>3584</v>
      </c>
      <c r="C388" s="3" t="s">
        <v>3585</v>
      </c>
      <c r="D388" s="65" t="s">
        <v>697</v>
      </c>
      <c r="E388" s="3" t="s">
        <v>109</v>
      </c>
      <c r="F388" s="3" t="s">
        <v>3586</v>
      </c>
      <c r="G388" s="3" t="s">
        <v>3587</v>
      </c>
      <c r="H388" s="34">
        <v>1</v>
      </c>
      <c r="I388" s="3">
        <v>0.1</v>
      </c>
    </row>
    <row r="389" spans="1:9" ht="38.25">
      <c r="A389" s="3" t="s">
        <v>939</v>
      </c>
      <c r="B389" s="3" t="s">
        <v>3584</v>
      </c>
      <c r="C389" s="3" t="s">
        <v>3585</v>
      </c>
      <c r="D389" s="65" t="s">
        <v>717</v>
      </c>
      <c r="E389" s="89" t="s">
        <v>110</v>
      </c>
      <c r="F389" s="89" t="s">
        <v>2836</v>
      </c>
      <c r="G389" s="89" t="s">
        <v>2738</v>
      </c>
      <c r="H389" s="34">
        <v>1</v>
      </c>
      <c r="I389" s="3"/>
    </row>
    <row r="390" spans="1:9" ht="38.25">
      <c r="A390" s="30" t="s">
        <v>940</v>
      </c>
      <c r="B390" s="30" t="s">
        <v>3588</v>
      </c>
      <c r="C390" s="30" t="s">
        <v>3589</v>
      </c>
      <c r="D390" s="30" t="s">
        <v>721</v>
      </c>
      <c r="E390" s="83" t="s">
        <v>941</v>
      </c>
      <c r="F390" s="83" t="s">
        <v>3590</v>
      </c>
      <c r="G390" s="83" t="s">
        <v>3591</v>
      </c>
      <c r="H390" s="83">
        <v>1</v>
      </c>
      <c r="I390" s="3">
        <v>0.14000000000000001</v>
      </c>
    </row>
    <row r="391" spans="1:9" ht="38.25">
      <c r="A391" s="30" t="s">
        <v>940</v>
      </c>
      <c r="B391" s="30" t="s">
        <v>3588</v>
      </c>
      <c r="C391" s="30" t="s">
        <v>3589</v>
      </c>
      <c r="D391" s="30" t="s">
        <v>701</v>
      </c>
      <c r="E391" s="84" t="s">
        <v>942</v>
      </c>
      <c r="F391" s="34" t="s">
        <v>3592</v>
      </c>
      <c r="G391" s="34" t="s">
        <v>3425</v>
      </c>
      <c r="H391" s="83">
        <v>1</v>
      </c>
      <c r="I391" s="3"/>
    </row>
    <row r="392" spans="1:9" ht="38.25">
      <c r="A392" s="3" t="s">
        <v>943</v>
      </c>
      <c r="B392" s="3" t="s">
        <v>3593</v>
      </c>
      <c r="C392" s="3" t="s">
        <v>3594</v>
      </c>
      <c r="D392" s="40" t="s">
        <v>0</v>
      </c>
      <c r="E392" s="11" t="s">
        <v>944</v>
      </c>
      <c r="F392" s="11" t="s">
        <v>3595</v>
      </c>
      <c r="G392" s="11" t="s">
        <v>3596</v>
      </c>
      <c r="H392" s="46">
        <v>1</v>
      </c>
      <c r="I392" s="3">
        <v>1.83</v>
      </c>
    </row>
    <row r="393" spans="1:9" ht="38.25">
      <c r="A393" s="3" t="s">
        <v>943</v>
      </c>
      <c r="B393" s="3" t="s">
        <v>3597</v>
      </c>
      <c r="C393" s="3" t="s">
        <v>3598</v>
      </c>
      <c r="D393" s="40" t="s">
        <v>1</v>
      </c>
      <c r="E393" s="11" t="s">
        <v>111</v>
      </c>
      <c r="F393" s="11" t="s">
        <v>3599</v>
      </c>
      <c r="G393" s="11" t="s">
        <v>3600</v>
      </c>
      <c r="H393" s="46">
        <v>1</v>
      </c>
      <c r="I393" s="3"/>
    </row>
    <row r="394" spans="1:9" ht="38.25">
      <c r="A394" s="3" t="s">
        <v>943</v>
      </c>
      <c r="B394" s="3" t="s">
        <v>3597</v>
      </c>
      <c r="C394" s="3" t="s">
        <v>3601</v>
      </c>
      <c r="D394" s="40" t="s">
        <v>2</v>
      </c>
      <c r="E394" s="11" t="s">
        <v>945</v>
      </c>
      <c r="F394" s="11" t="s">
        <v>3602</v>
      </c>
      <c r="G394" s="11" t="s">
        <v>3603</v>
      </c>
      <c r="H394" s="46">
        <v>2</v>
      </c>
      <c r="I394" s="3"/>
    </row>
    <row r="395" spans="1:9" ht="38.25">
      <c r="A395" s="3" t="s">
        <v>943</v>
      </c>
      <c r="B395" s="3" t="s">
        <v>3597</v>
      </c>
      <c r="C395" s="3" t="s">
        <v>3594</v>
      </c>
      <c r="D395" s="40" t="s">
        <v>7</v>
      </c>
      <c r="E395" s="11" t="s">
        <v>112</v>
      </c>
      <c r="F395" s="11" t="s">
        <v>3604</v>
      </c>
      <c r="G395" s="11" t="s">
        <v>3605</v>
      </c>
      <c r="H395" s="46">
        <v>1</v>
      </c>
      <c r="I395" s="3"/>
    </row>
    <row r="396" spans="1:9" ht="38.25">
      <c r="A396" s="3" t="s">
        <v>943</v>
      </c>
      <c r="B396" s="3" t="s">
        <v>3597</v>
      </c>
      <c r="C396" s="3" t="s">
        <v>3606</v>
      </c>
      <c r="D396" s="40" t="s">
        <v>9</v>
      </c>
      <c r="E396" s="11" t="s">
        <v>113</v>
      </c>
      <c r="F396" s="11" t="s">
        <v>3607</v>
      </c>
      <c r="G396" s="11" t="s">
        <v>3608</v>
      </c>
      <c r="H396" s="46">
        <v>1</v>
      </c>
      <c r="I396" s="3"/>
    </row>
    <row r="397" spans="1:9" ht="38.25">
      <c r="A397" s="3" t="s">
        <v>943</v>
      </c>
      <c r="B397" s="3" t="s">
        <v>3597</v>
      </c>
      <c r="C397" s="3" t="s">
        <v>3609</v>
      </c>
      <c r="D397" s="40" t="s">
        <v>10</v>
      </c>
      <c r="E397" s="40" t="s">
        <v>3</v>
      </c>
      <c r="F397" s="40" t="s">
        <v>3610</v>
      </c>
      <c r="G397" s="40" t="s">
        <v>3611</v>
      </c>
      <c r="H397" s="46">
        <v>5</v>
      </c>
      <c r="I397" s="3"/>
    </row>
    <row r="398" spans="1:9" ht="38.25">
      <c r="A398" s="3" t="s">
        <v>943</v>
      </c>
      <c r="B398" s="3" t="s">
        <v>3597</v>
      </c>
      <c r="C398" s="3" t="s">
        <v>3601</v>
      </c>
      <c r="D398" s="40" t="s">
        <v>24</v>
      </c>
      <c r="E398" s="96" t="s">
        <v>946</v>
      </c>
      <c r="F398" s="11" t="s">
        <v>3612</v>
      </c>
      <c r="G398" s="11" t="s">
        <v>3613</v>
      </c>
      <c r="H398" s="46">
        <v>1</v>
      </c>
      <c r="I398" s="3"/>
    </row>
    <row r="399" spans="1:9" ht="38.25">
      <c r="A399" s="3" t="s">
        <v>943</v>
      </c>
      <c r="B399" s="3" t="s">
        <v>3597</v>
      </c>
      <c r="C399" s="3" t="s">
        <v>3601</v>
      </c>
      <c r="D399" s="40" t="s">
        <v>25</v>
      </c>
      <c r="E399" s="11" t="s">
        <v>114</v>
      </c>
      <c r="F399" s="11" t="s">
        <v>3614</v>
      </c>
      <c r="G399" s="11" t="s">
        <v>3615</v>
      </c>
      <c r="H399" s="46">
        <v>4</v>
      </c>
      <c r="I399" s="3"/>
    </row>
    <row r="400" spans="1:9" ht="38.25">
      <c r="A400" s="3" t="s">
        <v>943</v>
      </c>
      <c r="B400" s="3" t="s">
        <v>3597</v>
      </c>
      <c r="C400" s="3" t="s">
        <v>3616</v>
      </c>
      <c r="D400" s="40" t="s">
        <v>35</v>
      </c>
      <c r="E400" s="11" t="s">
        <v>947</v>
      </c>
      <c r="F400" s="11" t="s">
        <v>3617</v>
      </c>
      <c r="G400" s="11" t="s">
        <v>3618</v>
      </c>
      <c r="H400" s="46">
        <v>1</v>
      </c>
      <c r="I400" s="3"/>
    </row>
    <row r="401" spans="1:9" ht="38.25">
      <c r="A401" s="3" t="s">
        <v>943</v>
      </c>
      <c r="B401" s="3" t="s">
        <v>3593</v>
      </c>
      <c r="C401" s="3" t="s">
        <v>3601</v>
      </c>
      <c r="D401" s="40" t="s">
        <v>855</v>
      </c>
      <c r="E401" s="11" t="s">
        <v>948</v>
      </c>
      <c r="F401" s="11" t="s">
        <v>3619</v>
      </c>
      <c r="G401" s="11" t="s">
        <v>3620</v>
      </c>
      <c r="H401" s="46">
        <v>1</v>
      </c>
      <c r="I401" s="3"/>
    </row>
    <row r="402" spans="1:9" ht="38.25">
      <c r="A402" s="3" t="s">
        <v>943</v>
      </c>
      <c r="B402" s="3" t="s">
        <v>3597</v>
      </c>
      <c r="C402" s="3" t="s">
        <v>3601</v>
      </c>
      <c r="D402" s="40" t="s">
        <v>949</v>
      </c>
      <c r="E402" s="96" t="s">
        <v>950</v>
      </c>
      <c r="F402" s="68" t="s">
        <v>3621</v>
      </c>
      <c r="G402" s="68" t="s">
        <v>3622</v>
      </c>
      <c r="H402" s="46">
        <v>1</v>
      </c>
      <c r="I402" s="3"/>
    </row>
    <row r="403" spans="1:9" ht="38.25">
      <c r="A403" s="3" t="s">
        <v>943</v>
      </c>
      <c r="B403" s="3" t="s">
        <v>3597</v>
      </c>
      <c r="C403" s="3" t="s">
        <v>3601</v>
      </c>
      <c r="D403" s="40" t="s">
        <v>951</v>
      </c>
      <c r="E403" s="68" t="s">
        <v>952</v>
      </c>
      <c r="F403" s="68" t="s">
        <v>3623</v>
      </c>
      <c r="G403" s="68" t="s">
        <v>3624</v>
      </c>
      <c r="H403" s="46">
        <v>3</v>
      </c>
      <c r="I403" s="3"/>
    </row>
    <row r="404" spans="1:9" ht="38.25">
      <c r="A404" s="3" t="s">
        <v>943</v>
      </c>
      <c r="B404" s="3" t="s">
        <v>3597</v>
      </c>
      <c r="C404" s="3" t="s">
        <v>3625</v>
      </c>
      <c r="D404" s="30" t="s">
        <v>953</v>
      </c>
      <c r="E404" s="83" t="s">
        <v>954</v>
      </c>
      <c r="F404" s="83" t="s">
        <v>3626</v>
      </c>
      <c r="G404" s="83" t="s">
        <v>3627</v>
      </c>
      <c r="H404" s="83">
        <v>1</v>
      </c>
      <c r="I404" s="3"/>
    </row>
    <row r="405" spans="1:9" ht="38.25">
      <c r="A405" s="3" t="s">
        <v>943</v>
      </c>
      <c r="B405" s="3" t="s">
        <v>3597</v>
      </c>
      <c r="C405" s="3" t="s">
        <v>3601</v>
      </c>
      <c r="D405" s="30" t="s">
        <v>955</v>
      </c>
      <c r="E405" s="34" t="s">
        <v>956</v>
      </c>
      <c r="F405" s="34" t="s">
        <v>3628</v>
      </c>
      <c r="G405" s="34" t="s">
        <v>3629</v>
      </c>
      <c r="H405" s="83">
        <v>1</v>
      </c>
      <c r="I405" s="3"/>
    </row>
    <row r="406" spans="1:9" ht="38.25">
      <c r="A406" s="3" t="s">
        <v>943</v>
      </c>
      <c r="B406" s="3" t="s">
        <v>3597</v>
      </c>
      <c r="C406" s="3" t="s">
        <v>3601</v>
      </c>
      <c r="D406" s="30" t="s">
        <v>957</v>
      </c>
      <c r="E406" s="96" t="s">
        <v>942</v>
      </c>
      <c r="F406" s="34" t="s">
        <v>3423</v>
      </c>
      <c r="G406" s="34" t="s">
        <v>3425</v>
      </c>
      <c r="H406" s="83">
        <v>1</v>
      </c>
      <c r="I406" s="3"/>
    </row>
    <row r="407" spans="1:9" ht="38.25">
      <c r="A407" s="3" t="s">
        <v>943</v>
      </c>
      <c r="B407" s="3" t="s">
        <v>3597</v>
      </c>
      <c r="C407" s="3" t="s">
        <v>3625</v>
      </c>
      <c r="D407" s="30" t="s">
        <v>958</v>
      </c>
      <c r="E407" s="96" t="s">
        <v>959</v>
      </c>
      <c r="F407" s="182" t="s">
        <v>3630</v>
      </c>
      <c r="G407" s="182" t="s">
        <v>3631</v>
      </c>
      <c r="H407" s="83">
        <v>1</v>
      </c>
      <c r="I407" s="3"/>
    </row>
    <row r="408" spans="1:9" ht="38.25">
      <c r="A408" s="3" t="s">
        <v>943</v>
      </c>
      <c r="B408" s="3" t="s">
        <v>3597</v>
      </c>
      <c r="C408" s="3" t="s">
        <v>3601</v>
      </c>
      <c r="D408" s="30" t="s">
        <v>960</v>
      </c>
      <c r="E408" s="34" t="s">
        <v>961</v>
      </c>
      <c r="F408" s="34" t="s">
        <v>3632</v>
      </c>
      <c r="G408" s="34" t="s">
        <v>3633</v>
      </c>
      <c r="H408" s="83">
        <v>1</v>
      </c>
      <c r="I408" s="3"/>
    </row>
    <row r="409" spans="1:9" ht="38.25">
      <c r="A409" s="3" t="s">
        <v>943</v>
      </c>
      <c r="B409" s="3" t="s">
        <v>3597</v>
      </c>
      <c r="C409" s="3" t="s">
        <v>3601</v>
      </c>
      <c r="D409" s="30" t="s">
        <v>962</v>
      </c>
      <c r="E409" s="34" t="s">
        <v>963</v>
      </c>
      <c r="F409" s="34" t="s">
        <v>3634</v>
      </c>
      <c r="G409" s="34" t="s">
        <v>3635</v>
      </c>
      <c r="H409" s="83">
        <v>1</v>
      </c>
      <c r="I409" s="3"/>
    </row>
    <row r="410" spans="1:9" ht="38.25">
      <c r="A410" s="3" t="s">
        <v>943</v>
      </c>
      <c r="B410" s="3" t="s">
        <v>3597</v>
      </c>
      <c r="C410" s="3" t="s">
        <v>3601</v>
      </c>
      <c r="D410" s="30"/>
      <c r="E410" s="84" t="s">
        <v>964</v>
      </c>
      <c r="F410" s="84" t="s">
        <v>3636</v>
      </c>
      <c r="G410" s="84" t="s">
        <v>3637</v>
      </c>
      <c r="H410" s="83">
        <v>1</v>
      </c>
      <c r="I410" s="3"/>
    </row>
    <row r="411" spans="1:9" ht="25.5">
      <c r="A411" s="65" t="s">
        <v>965</v>
      </c>
      <c r="B411" s="65" t="s">
        <v>3638</v>
      </c>
      <c r="C411" s="65" t="s">
        <v>3639</v>
      </c>
      <c r="D411" s="65" t="s">
        <v>697</v>
      </c>
      <c r="E411" s="97" t="s">
        <v>966</v>
      </c>
      <c r="F411" s="183" t="s">
        <v>3640</v>
      </c>
      <c r="G411" s="183" t="s">
        <v>3641</v>
      </c>
      <c r="H411" s="65">
        <v>1</v>
      </c>
      <c r="I411" s="3">
        <v>0.89</v>
      </c>
    </row>
    <row r="412" spans="1:9" ht="25.5">
      <c r="A412" s="65" t="s">
        <v>965</v>
      </c>
      <c r="B412" s="65" t="s">
        <v>3638</v>
      </c>
      <c r="C412" s="65" t="s">
        <v>3639</v>
      </c>
      <c r="D412" s="77" t="s">
        <v>717</v>
      </c>
      <c r="E412" s="90" t="s">
        <v>115</v>
      </c>
      <c r="F412" s="90" t="s">
        <v>3642</v>
      </c>
      <c r="G412" s="90" t="s">
        <v>3643</v>
      </c>
      <c r="H412" s="90">
        <v>2</v>
      </c>
      <c r="I412" s="3"/>
    </row>
    <row r="413" spans="1:9" ht="25.5">
      <c r="A413" s="65" t="s">
        <v>965</v>
      </c>
      <c r="B413" s="65" t="s">
        <v>3638</v>
      </c>
      <c r="C413" s="65" t="s">
        <v>3644</v>
      </c>
      <c r="D413" s="77" t="s">
        <v>863</v>
      </c>
      <c r="E413" s="76" t="s">
        <v>116</v>
      </c>
      <c r="F413" s="76" t="s">
        <v>3645</v>
      </c>
      <c r="G413" s="76" t="s">
        <v>3646</v>
      </c>
      <c r="H413" s="90">
        <v>1</v>
      </c>
      <c r="I413" s="3"/>
    </row>
    <row r="414" spans="1:9" ht="25.5">
      <c r="A414" s="65" t="s">
        <v>965</v>
      </c>
      <c r="B414" s="65" t="s">
        <v>3638</v>
      </c>
      <c r="C414" s="65" t="s">
        <v>3644</v>
      </c>
      <c r="D414" s="77" t="s">
        <v>864</v>
      </c>
      <c r="E414" s="98" t="s">
        <v>967</v>
      </c>
      <c r="F414" s="81" t="s">
        <v>3610</v>
      </c>
      <c r="G414" s="81" t="s">
        <v>3647</v>
      </c>
      <c r="H414" s="99">
        <v>6</v>
      </c>
      <c r="I414" s="3"/>
    </row>
    <row r="415" spans="1:9" ht="38.25">
      <c r="A415" s="30" t="s">
        <v>968</v>
      </c>
      <c r="B415" s="30" t="s">
        <v>3648</v>
      </c>
      <c r="C415" s="30" t="s">
        <v>3649</v>
      </c>
      <c r="D415" s="30" t="s">
        <v>721</v>
      </c>
      <c r="E415" s="30" t="s">
        <v>3650</v>
      </c>
      <c r="F415" s="30" t="s">
        <v>3651</v>
      </c>
      <c r="G415" s="30" t="s">
        <v>3652</v>
      </c>
      <c r="H415" s="30">
        <v>1</v>
      </c>
      <c r="I415" s="3">
        <v>0.1</v>
      </c>
    </row>
    <row r="416" spans="1:9" ht="38.25">
      <c r="A416" s="30" t="s">
        <v>969</v>
      </c>
      <c r="B416" s="30" t="s">
        <v>3653</v>
      </c>
      <c r="C416" s="30" t="s">
        <v>3654</v>
      </c>
      <c r="D416" s="30" t="s">
        <v>721</v>
      </c>
      <c r="E416" s="28" t="s">
        <v>970</v>
      </c>
      <c r="F416" s="28" t="s">
        <v>3655</v>
      </c>
      <c r="G416" s="28" t="s">
        <v>3656</v>
      </c>
      <c r="H416" s="11">
        <v>1</v>
      </c>
      <c r="I416" s="3">
        <v>0.52</v>
      </c>
    </row>
    <row r="417" spans="1:9" ht="38.25">
      <c r="A417" s="30" t="s">
        <v>969</v>
      </c>
      <c r="B417" s="30" t="s">
        <v>3653</v>
      </c>
      <c r="C417" s="30" t="s">
        <v>3654</v>
      </c>
      <c r="D417" s="30" t="s">
        <v>701</v>
      </c>
      <c r="E417" s="30" t="s">
        <v>971</v>
      </c>
      <c r="F417" s="30" t="s">
        <v>3657</v>
      </c>
      <c r="G417" s="30" t="s">
        <v>3658</v>
      </c>
      <c r="H417" s="30">
        <v>1</v>
      </c>
      <c r="I417" s="3"/>
    </row>
    <row r="418" spans="1:9" ht="38.25">
      <c r="A418" s="30" t="s">
        <v>969</v>
      </c>
      <c r="B418" s="30" t="s">
        <v>3653</v>
      </c>
      <c r="C418" s="30" t="s">
        <v>3654</v>
      </c>
      <c r="D418" s="30" t="s">
        <v>824</v>
      </c>
      <c r="E418" s="30" t="s">
        <v>972</v>
      </c>
      <c r="F418" s="30" t="s">
        <v>2737</v>
      </c>
      <c r="G418" s="30" t="s">
        <v>2861</v>
      </c>
      <c r="H418" s="30">
        <v>3</v>
      </c>
      <c r="I418" s="3"/>
    </row>
    <row r="419" spans="1:9" ht="38.25">
      <c r="A419" s="30" t="s">
        <v>969</v>
      </c>
      <c r="B419" s="30" t="s">
        <v>3653</v>
      </c>
      <c r="C419" s="30" t="s">
        <v>3654</v>
      </c>
      <c r="D419" s="30" t="s">
        <v>826</v>
      </c>
      <c r="E419" s="30" t="s">
        <v>973</v>
      </c>
      <c r="F419" s="30" t="s">
        <v>2737</v>
      </c>
      <c r="G419" s="30" t="s">
        <v>2861</v>
      </c>
      <c r="H419" s="30">
        <v>4</v>
      </c>
      <c r="I419" s="3"/>
    </row>
    <row r="420" spans="1:9" ht="38.25">
      <c r="A420" s="27" t="s">
        <v>974</v>
      </c>
      <c r="B420" s="27" t="s">
        <v>3659</v>
      </c>
      <c r="C420" s="27" t="s">
        <v>3660</v>
      </c>
      <c r="D420" s="27" t="s">
        <v>0</v>
      </c>
      <c r="E420" s="27" t="s">
        <v>117</v>
      </c>
      <c r="F420" s="27" t="s">
        <v>3661</v>
      </c>
      <c r="G420" s="27" t="s">
        <v>3662</v>
      </c>
      <c r="H420" s="27">
        <v>1</v>
      </c>
      <c r="I420" s="3">
        <v>0.27</v>
      </c>
    </row>
    <row r="421" spans="1:9" ht="38.25">
      <c r="A421" s="27" t="s">
        <v>118</v>
      </c>
      <c r="B421" s="27" t="s">
        <v>3659</v>
      </c>
      <c r="C421" s="27" t="s">
        <v>3660</v>
      </c>
      <c r="D421" s="27" t="s">
        <v>1</v>
      </c>
      <c r="E421" s="27" t="s">
        <v>119</v>
      </c>
      <c r="F421" s="27" t="s">
        <v>3663</v>
      </c>
      <c r="G421" s="27" t="s">
        <v>3664</v>
      </c>
      <c r="H421" s="27">
        <v>1</v>
      </c>
      <c r="I421" s="3"/>
    </row>
    <row r="422" spans="1:9" ht="25.5">
      <c r="A422" s="65" t="s">
        <v>975</v>
      </c>
      <c r="B422" s="65" t="s">
        <v>3665</v>
      </c>
      <c r="C422" s="65" t="s">
        <v>3666</v>
      </c>
      <c r="D422" s="11" t="s">
        <v>721</v>
      </c>
      <c r="E422" s="11" t="s">
        <v>976</v>
      </c>
      <c r="F422" s="11" t="s">
        <v>3667</v>
      </c>
      <c r="G422" s="11" t="s">
        <v>3668</v>
      </c>
      <c r="H422" s="27">
        <v>1</v>
      </c>
      <c r="I422" s="3">
        <v>0.16</v>
      </c>
    </row>
    <row r="423" spans="1:9" ht="38.25">
      <c r="A423" s="3" t="s">
        <v>977</v>
      </c>
      <c r="B423" s="3" t="s">
        <v>3669</v>
      </c>
      <c r="C423" s="3" t="s">
        <v>3670</v>
      </c>
      <c r="D423" s="65" t="s">
        <v>697</v>
      </c>
      <c r="E423" s="100" t="s">
        <v>120</v>
      </c>
      <c r="F423" s="100" t="s">
        <v>3671</v>
      </c>
      <c r="G423" s="100" t="s">
        <v>3672</v>
      </c>
      <c r="H423" s="87">
        <v>1</v>
      </c>
      <c r="I423" s="3">
        <v>0.1</v>
      </c>
    </row>
    <row r="424" spans="1:9" ht="38.25">
      <c r="A424" s="3" t="s">
        <v>977</v>
      </c>
      <c r="B424" s="3" t="s">
        <v>3669</v>
      </c>
      <c r="C424" s="3" t="s">
        <v>3673</v>
      </c>
      <c r="D424" s="65" t="s">
        <v>717</v>
      </c>
      <c r="E424" s="89" t="s">
        <v>110</v>
      </c>
      <c r="F424" s="89" t="s">
        <v>2836</v>
      </c>
      <c r="G424" s="89" t="s">
        <v>2861</v>
      </c>
      <c r="H424" s="87">
        <v>1</v>
      </c>
      <c r="I424" s="3"/>
    </row>
    <row r="425" spans="1:9" ht="51">
      <c r="A425" s="3" t="s">
        <v>978</v>
      </c>
      <c r="B425" s="3" t="s">
        <v>3674</v>
      </c>
      <c r="C425" s="3" t="s">
        <v>3675</v>
      </c>
      <c r="D425" s="65" t="s">
        <v>697</v>
      </c>
      <c r="E425" s="39" t="s">
        <v>979</v>
      </c>
      <c r="F425" s="39" t="s">
        <v>3676</v>
      </c>
      <c r="G425" s="39" t="s">
        <v>3677</v>
      </c>
      <c r="H425" s="34">
        <v>1</v>
      </c>
      <c r="I425" s="3">
        <v>0.1</v>
      </c>
    </row>
    <row r="426" spans="1:9" ht="38.25">
      <c r="A426" s="3" t="s">
        <v>978</v>
      </c>
      <c r="B426" s="3" t="s">
        <v>3674</v>
      </c>
      <c r="C426" s="3" t="s">
        <v>3678</v>
      </c>
      <c r="D426" s="65" t="s">
        <v>717</v>
      </c>
      <c r="E426" s="89" t="s">
        <v>110</v>
      </c>
      <c r="F426" s="89" t="s">
        <v>2836</v>
      </c>
      <c r="G426" s="89" t="s">
        <v>3438</v>
      </c>
      <c r="H426" s="34">
        <v>1</v>
      </c>
      <c r="I426" s="3"/>
    </row>
    <row r="427" spans="1:9" ht="38.25">
      <c r="A427" s="3" t="s">
        <v>121</v>
      </c>
      <c r="B427" s="3" t="s">
        <v>3679</v>
      </c>
      <c r="C427" s="3" t="s">
        <v>3680</v>
      </c>
      <c r="D427" s="30" t="s">
        <v>7</v>
      </c>
      <c r="E427" s="34" t="s">
        <v>122</v>
      </c>
      <c r="F427" s="34" t="s">
        <v>3681</v>
      </c>
      <c r="G427" s="34" t="s">
        <v>3682</v>
      </c>
      <c r="H427" s="56">
        <v>1</v>
      </c>
      <c r="I427" s="3"/>
    </row>
    <row r="428" spans="1:9" ht="38.25">
      <c r="A428" s="30" t="s">
        <v>980</v>
      </c>
      <c r="B428" s="30" t="s">
        <v>3683</v>
      </c>
      <c r="C428" s="30" t="s">
        <v>3684</v>
      </c>
      <c r="D428" s="30" t="s">
        <v>721</v>
      </c>
      <c r="E428" s="30" t="s">
        <v>981</v>
      </c>
      <c r="F428" s="30" t="s">
        <v>3685</v>
      </c>
      <c r="G428" s="30" t="s">
        <v>3686</v>
      </c>
      <c r="H428" s="27">
        <v>1</v>
      </c>
      <c r="I428" s="3">
        <v>0.1</v>
      </c>
    </row>
    <row r="429" spans="1:9" ht="38.25">
      <c r="A429" s="30" t="s">
        <v>980</v>
      </c>
      <c r="B429" s="30" t="s">
        <v>3683</v>
      </c>
      <c r="C429" s="30" t="s">
        <v>3684</v>
      </c>
      <c r="D429" s="30" t="s">
        <v>701</v>
      </c>
      <c r="E429" s="83" t="s">
        <v>982</v>
      </c>
      <c r="F429" s="83" t="s">
        <v>2836</v>
      </c>
      <c r="G429" s="83" t="s">
        <v>3438</v>
      </c>
      <c r="H429" s="27">
        <v>1</v>
      </c>
      <c r="I429" s="3"/>
    </row>
    <row r="430" spans="1:9" ht="51">
      <c r="A430" s="27" t="s">
        <v>983</v>
      </c>
      <c r="B430" s="27" t="s">
        <v>3687</v>
      </c>
      <c r="C430" s="27" t="s">
        <v>3688</v>
      </c>
      <c r="D430" s="27" t="s">
        <v>697</v>
      </c>
      <c r="E430" s="101" t="s">
        <v>984</v>
      </c>
      <c r="F430" s="102" t="s">
        <v>3689</v>
      </c>
      <c r="G430" s="102" t="s">
        <v>3690</v>
      </c>
      <c r="H430" s="102">
        <v>1</v>
      </c>
      <c r="I430" s="3">
        <v>0.1</v>
      </c>
    </row>
    <row r="431" spans="1:9" ht="38.25">
      <c r="A431" s="27" t="s">
        <v>983</v>
      </c>
      <c r="B431" s="27" t="s">
        <v>3687</v>
      </c>
      <c r="C431" s="27" t="s">
        <v>3691</v>
      </c>
      <c r="D431" s="27" t="s">
        <v>701</v>
      </c>
      <c r="E431" s="102" t="s">
        <v>982</v>
      </c>
      <c r="F431" s="102" t="s">
        <v>2836</v>
      </c>
      <c r="G431" s="102" t="s">
        <v>2738</v>
      </c>
      <c r="H431" s="102">
        <v>1</v>
      </c>
      <c r="I431" s="3"/>
    </row>
    <row r="432" spans="1:9" ht="25.5">
      <c r="A432" s="3" t="s">
        <v>985</v>
      </c>
      <c r="B432" s="3" t="s">
        <v>3692</v>
      </c>
      <c r="C432" s="3" t="s">
        <v>3693</v>
      </c>
      <c r="D432" s="65" t="s">
        <v>697</v>
      </c>
      <c r="E432" s="100" t="s">
        <v>123</v>
      </c>
      <c r="F432" s="100" t="s">
        <v>3694</v>
      </c>
      <c r="G432" s="100" t="s">
        <v>3695</v>
      </c>
      <c r="H432" s="34">
        <v>1</v>
      </c>
      <c r="I432" s="3">
        <v>0.1</v>
      </c>
    </row>
    <row r="433" spans="1:9" ht="25.5">
      <c r="A433" s="3" t="s">
        <v>985</v>
      </c>
      <c r="B433" s="3" t="s">
        <v>3692</v>
      </c>
      <c r="C433" s="3" t="s">
        <v>3693</v>
      </c>
      <c r="D433" s="65" t="s">
        <v>717</v>
      </c>
      <c r="E433" s="89" t="s">
        <v>110</v>
      </c>
      <c r="F433" s="89" t="s">
        <v>2836</v>
      </c>
      <c r="G433" s="89" t="s">
        <v>2738</v>
      </c>
      <c r="H433" s="34">
        <v>1</v>
      </c>
      <c r="I433" s="3"/>
    </row>
    <row r="434" spans="1:9" ht="38.25">
      <c r="A434" s="103" t="s">
        <v>986</v>
      </c>
      <c r="B434" s="103" t="s">
        <v>3696</v>
      </c>
      <c r="C434" s="103" t="s">
        <v>3697</v>
      </c>
      <c r="D434" s="103" t="s">
        <v>697</v>
      </c>
      <c r="E434" s="103" t="s">
        <v>987</v>
      </c>
      <c r="F434" s="103" t="s">
        <v>3698</v>
      </c>
      <c r="G434" s="103" t="s">
        <v>3699</v>
      </c>
      <c r="H434" s="103">
        <v>1</v>
      </c>
      <c r="I434" s="3">
        <v>0.1</v>
      </c>
    </row>
    <row r="435" spans="1:9" ht="51">
      <c r="A435" s="103" t="s">
        <v>986</v>
      </c>
      <c r="B435" s="103" t="s">
        <v>3696</v>
      </c>
      <c r="C435" s="103" t="s">
        <v>3700</v>
      </c>
      <c r="D435" s="103" t="s">
        <v>717</v>
      </c>
      <c r="E435" s="103" t="s">
        <v>945</v>
      </c>
      <c r="F435" s="103" t="s">
        <v>3701</v>
      </c>
      <c r="G435" s="103" t="s">
        <v>2861</v>
      </c>
      <c r="H435" s="103">
        <v>1</v>
      </c>
      <c r="I435" s="3"/>
    </row>
    <row r="436" spans="1:9" ht="38.25">
      <c r="A436" s="4" t="s">
        <v>127</v>
      </c>
      <c r="B436" s="4" t="s">
        <v>3702</v>
      </c>
      <c r="C436" s="4" t="s">
        <v>3703</v>
      </c>
      <c r="D436" s="4" t="s">
        <v>0</v>
      </c>
      <c r="E436" s="4" t="s">
        <v>128</v>
      </c>
      <c r="F436" s="4" t="s">
        <v>3704</v>
      </c>
      <c r="G436" s="4" t="s">
        <v>3705</v>
      </c>
      <c r="H436" s="4">
        <v>2</v>
      </c>
      <c r="I436" s="3">
        <v>0.16</v>
      </c>
    </row>
    <row r="437" spans="1:9" ht="25.5">
      <c r="A437" s="4" t="s">
        <v>129</v>
      </c>
      <c r="B437" s="4" t="s">
        <v>3706</v>
      </c>
      <c r="C437" s="4" t="s">
        <v>3707</v>
      </c>
      <c r="D437" s="4" t="s">
        <v>0</v>
      </c>
      <c r="E437" s="4" t="s">
        <v>130</v>
      </c>
      <c r="F437" s="4" t="s">
        <v>3708</v>
      </c>
      <c r="G437" s="4" t="s">
        <v>3707</v>
      </c>
      <c r="H437" s="4">
        <v>1</v>
      </c>
      <c r="I437" s="3">
        <v>0.2</v>
      </c>
    </row>
    <row r="438" spans="1:9" ht="38.25">
      <c r="A438" s="4" t="s">
        <v>129</v>
      </c>
      <c r="B438" s="4" t="s">
        <v>3706</v>
      </c>
      <c r="C438" s="4" t="s">
        <v>3707</v>
      </c>
      <c r="D438" s="4" t="s">
        <v>1</v>
      </c>
      <c r="E438" s="4" t="s">
        <v>126</v>
      </c>
      <c r="F438" s="4" t="s">
        <v>3103</v>
      </c>
      <c r="G438" s="4" t="s">
        <v>3366</v>
      </c>
      <c r="H438" s="4">
        <v>2</v>
      </c>
      <c r="I438" s="3"/>
    </row>
    <row r="439" spans="1:9" ht="25.5">
      <c r="A439" s="4" t="s">
        <v>131</v>
      </c>
      <c r="B439" s="4" t="s">
        <v>3709</v>
      </c>
      <c r="C439" s="4" t="s">
        <v>3710</v>
      </c>
      <c r="D439" s="4" t="s">
        <v>0</v>
      </c>
      <c r="E439" s="4" t="s">
        <v>988</v>
      </c>
      <c r="F439" s="4" t="s">
        <v>3711</v>
      </c>
      <c r="G439" s="4" t="s">
        <v>3712</v>
      </c>
      <c r="H439" s="4">
        <v>1</v>
      </c>
      <c r="I439" s="3">
        <v>0.5</v>
      </c>
    </row>
    <row r="440" spans="1:9" ht="25.5">
      <c r="A440" s="4" t="s">
        <v>131</v>
      </c>
      <c r="B440" s="4" t="s">
        <v>3709</v>
      </c>
      <c r="C440" s="4" t="s">
        <v>3710</v>
      </c>
      <c r="D440" s="4" t="s">
        <v>0</v>
      </c>
      <c r="E440" s="4" t="s">
        <v>989</v>
      </c>
      <c r="F440" s="4" t="s">
        <v>3713</v>
      </c>
      <c r="G440" s="4" t="s">
        <v>3714</v>
      </c>
      <c r="H440" s="4">
        <v>1</v>
      </c>
      <c r="I440" s="3"/>
    </row>
    <row r="441" spans="1:9" ht="25.5">
      <c r="A441" s="4" t="s">
        <v>131</v>
      </c>
      <c r="B441" s="4" t="s">
        <v>3709</v>
      </c>
      <c r="C441" s="4" t="s">
        <v>3710</v>
      </c>
      <c r="D441" s="4" t="s">
        <v>1</v>
      </c>
      <c r="E441" s="4" t="s">
        <v>132</v>
      </c>
      <c r="F441" s="4" t="s">
        <v>3715</v>
      </c>
      <c r="G441" s="4" t="s">
        <v>3716</v>
      </c>
      <c r="H441" s="4">
        <v>4</v>
      </c>
      <c r="I441" s="3"/>
    </row>
    <row r="442" spans="1:9" ht="38.25">
      <c r="A442" s="4" t="s">
        <v>140</v>
      </c>
      <c r="B442" s="4" t="s">
        <v>3717</v>
      </c>
      <c r="C442" s="4" t="s">
        <v>3718</v>
      </c>
      <c r="D442" s="4" t="s">
        <v>0</v>
      </c>
      <c r="E442" s="4" t="s">
        <v>23</v>
      </c>
      <c r="F442" s="4" t="s">
        <v>3719</v>
      </c>
      <c r="G442" s="4" t="s">
        <v>3720</v>
      </c>
      <c r="H442" s="4">
        <v>3</v>
      </c>
      <c r="I442" s="3">
        <v>0.21</v>
      </c>
    </row>
    <row r="443" spans="1:9" ht="25.5">
      <c r="A443" s="4" t="s">
        <v>990</v>
      </c>
      <c r="B443" s="4" t="s">
        <v>3721</v>
      </c>
      <c r="C443" s="4" t="s">
        <v>3722</v>
      </c>
      <c r="D443" s="4" t="s">
        <v>0</v>
      </c>
      <c r="E443" s="104" t="s">
        <v>142</v>
      </c>
      <c r="F443" s="4" t="s">
        <v>3723</v>
      </c>
      <c r="G443" s="4" t="s">
        <v>3724</v>
      </c>
      <c r="H443" s="4">
        <v>1</v>
      </c>
      <c r="I443" s="3">
        <v>0.56000000000000005</v>
      </c>
    </row>
    <row r="444" spans="1:9" ht="25.5">
      <c r="A444" s="4" t="s">
        <v>141</v>
      </c>
      <c r="B444" s="4" t="s">
        <v>3721</v>
      </c>
      <c r="C444" s="4" t="s">
        <v>3725</v>
      </c>
      <c r="D444" s="4" t="s">
        <v>1</v>
      </c>
      <c r="E444" s="4" t="s">
        <v>143</v>
      </c>
      <c r="F444" s="4" t="s">
        <v>3726</v>
      </c>
      <c r="G444" s="4" t="s">
        <v>3364</v>
      </c>
      <c r="H444" s="4">
        <v>13</v>
      </c>
      <c r="I444" s="3"/>
    </row>
    <row r="445" spans="1:9" ht="38.25">
      <c r="A445" s="4" t="s">
        <v>144</v>
      </c>
      <c r="B445" s="4" t="s">
        <v>3727</v>
      </c>
      <c r="C445" s="4" t="s">
        <v>3728</v>
      </c>
      <c r="D445" s="4" t="s">
        <v>0</v>
      </c>
      <c r="E445" s="4" t="s">
        <v>991</v>
      </c>
      <c r="F445" s="4" t="s">
        <v>3729</v>
      </c>
      <c r="G445" s="4" t="s">
        <v>3730</v>
      </c>
      <c r="H445" s="4">
        <v>1</v>
      </c>
      <c r="I445" s="3">
        <v>0.6</v>
      </c>
    </row>
    <row r="446" spans="1:9" ht="38.25">
      <c r="A446" s="4" t="s">
        <v>144</v>
      </c>
      <c r="B446" s="4" t="s">
        <v>3727</v>
      </c>
      <c r="C446" s="4" t="s">
        <v>3731</v>
      </c>
      <c r="D446" s="4" t="s">
        <v>1</v>
      </c>
      <c r="E446" s="4" t="s">
        <v>56</v>
      </c>
      <c r="F446" s="4" t="s">
        <v>2963</v>
      </c>
      <c r="G446" s="4" t="s">
        <v>3140</v>
      </c>
      <c r="H446" s="4">
        <v>11</v>
      </c>
      <c r="I446" s="3"/>
    </row>
    <row r="447" spans="1:9" ht="38.25">
      <c r="A447" s="4" t="s">
        <v>992</v>
      </c>
      <c r="B447" s="4" t="s">
        <v>3732</v>
      </c>
      <c r="C447" s="4" t="s">
        <v>3733</v>
      </c>
      <c r="D447" s="4" t="s">
        <v>0</v>
      </c>
      <c r="E447" s="104" t="s">
        <v>146</v>
      </c>
      <c r="F447" s="4" t="s">
        <v>3734</v>
      </c>
      <c r="G447" s="4" t="s">
        <v>3735</v>
      </c>
      <c r="H447" s="4">
        <v>1</v>
      </c>
      <c r="I447" s="3">
        <v>0.71</v>
      </c>
    </row>
    <row r="448" spans="1:9" ht="38.25">
      <c r="A448" s="4" t="s">
        <v>145</v>
      </c>
      <c r="B448" s="4" t="s">
        <v>3732</v>
      </c>
      <c r="C448" s="4" t="s">
        <v>3736</v>
      </c>
      <c r="D448" s="4" t="s">
        <v>1</v>
      </c>
      <c r="E448" s="4" t="s">
        <v>56</v>
      </c>
      <c r="F448" s="4" t="s">
        <v>2963</v>
      </c>
      <c r="G448" s="4" t="s">
        <v>3140</v>
      </c>
      <c r="H448" s="4">
        <v>8</v>
      </c>
      <c r="I448" s="3"/>
    </row>
    <row r="449" spans="1:9" ht="25.5">
      <c r="A449" s="4" t="s">
        <v>182</v>
      </c>
      <c r="B449" s="4" t="s">
        <v>3737</v>
      </c>
      <c r="C449" s="4" t="s">
        <v>3738</v>
      </c>
      <c r="D449" s="4" t="s">
        <v>0</v>
      </c>
      <c r="E449" s="4" t="s">
        <v>183</v>
      </c>
      <c r="F449" s="4" t="s">
        <v>3739</v>
      </c>
      <c r="G449" s="4" t="s">
        <v>3740</v>
      </c>
      <c r="H449" s="4">
        <v>1</v>
      </c>
      <c r="I449" s="3">
        <v>0.26</v>
      </c>
    </row>
    <row r="450" spans="1:9" ht="25.5">
      <c r="A450" s="4" t="s">
        <v>182</v>
      </c>
      <c r="B450" s="4" t="s">
        <v>3737</v>
      </c>
      <c r="C450" s="4" t="s">
        <v>3741</v>
      </c>
      <c r="D450" s="4" t="s">
        <v>0</v>
      </c>
      <c r="E450" s="4" t="s">
        <v>184</v>
      </c>
      <c r="F450" s="4" t="s">
        <v>3742</v>
      </c>
      <c r="G450" s="4" t="s">
        <v>3743</v>
      </c>
      <c r="H450" s="4">
        <v>1</v>
      </c>
      <c r="I450" s="3">
        <v>0.42</v>
      </c>
    </row>
    <row r="451" spans="1:9" ht="38.25">
      <c r="A451" s="70" t="s">
        <v>993</v>
      </c>
      <c r="B451" s="70" t="s">
        <v>3744</v>
      </c>
      <c r="C451" s="70" t="s">
        <v>3745</v>
      </c>
      <c r="D451" s="88" t="s">
        <v>0</v>
      </c>
      <c r="E451" s="70" t="s">
        <v>293</v>
      </c>
      <c r="F451" s="105" t="s">
        <v>3746</v>
      </c>
      <c r="G451" s="105" t="s">
        <v>3747</v>
      </c>
      <c r="H451" s="105">
        <v>2</v>
      </c>
      <c r="I451" s="3">
        <v>0.36</v>
      </c>
    </row>
    <row r="452" spans="1:9" ht="38.25">
      <c r="A452" s="70" t="s">
        <v>292</v>
      </c>
      <c r="B452" s="70" t="s">
        <v>3744</v>
      </c>
      <c r="C452" s="70" t="s">
        <v>3748</v>
      </c>
      <c r="D452" s="88" t="s">
        <v>1</v>
      </c>
      <c r="E452" s="70" t="s">
        <v>294</v>
      </c>
      <c r="F452" s="105" t="s">
        <v>3749</v>
      </c>
      <c r="G452" s="105" t="s">
        <v>3750</v>
      </c>
      <c r="H452" s="105">
        <v>1</v>
      </c>
      <c r="I452" s="3"/>
    </row>
    <row r="453" spans="1:9" ht="38.25">
      <c r="A453" s="70" t="s">
        <v>292</v>
      </c>
      <c r="B453" s="70" t="s">
        <v>3744</v>
      </c>
      <c r="C453" s="70" t="s">
        <v>3751</v>
      </c>
      <c r="D453" s="88" t="s">
        <v>2</v>
      </c>
      <c r="E453" s="70" t="s">
        <v>295</v>
      </c>
      <c r="F453" s="105" t="s">
        <v>3752</v>
      </c>
      <c r="G453" s="105" t="s">
        <v>3753</v>
      </c>
      <c r="H453" s="105">
        <v>1</v>
      </c>
      <c r="I453" s="3"/>
    </row>
    <row r="454" spans="1:9" ht="25.5">
      <c r="A454" s="4" t="s">
        <v>994</v>
      </c>
      <c r="B454" s="4" t="s">
        <v>3754</v>
      </c>
      <c r="C454" s="4" t="s">
        <v>3755</v>
      </c>
      <c r="D454" s="4" t="s">
        <v>0</v>
      </c>
      <c r="E454" s="4" t="s">
        <v>995</v>
      </c>
      <c r="F454" s="4" t="s">
        <v>3756</v>
      </c>
      <c r="G454" s="4" t="s">
        <v>3757</v>
      </c>
      <c r="H454" s="4">
        <v>1</v>
      </c>
      <c r="I454" s="3">
        <v>0.42</v>
      </c>
    </row>
    <row r="455" spans="1:9" ht="25.5">
      <c r="A455" s="4" t="s">
        <v>155</v>
      </c>
      <c r="B455" s="4" t="s">
        <v>3754</v>
      </c>
      <c r="C455" s="4" t="s">
        <v>3758</v>
      </c>
      <c r="D455" s="4" t="s">
        <v>1</v>
      </c>
      <c r="E455" s="4" t="s">
        <v>156</v>
      </c>
      <c r="F455" s="4" t="s">
        <v>3759</v>
      </c>
      <c r="G455" s="4" t="s">
        <v>3760</v>
      </c>
      <c r="H455" s="4">
        <v>1</v>
      </c>
      <c r="I455" s="3"/>
    </row>
    <row r="456" spans="1:9" ht="38.25">
      <c r="A456" s="4" t="s">
        <v>155</v>
      </c>
      <c r="B456" s="4" t="s">
        <v>3754</v>
      </c>
      <c r="C456" s="4" t="s">
        <v>3761</v>
      </c>
      <c r="D456" s="4" t="s">
        <v>2</v>
      </c>
      <c r="E456" s="4" t="s">
        <v>56</v>
      </c>
      <c r="F456" s="4" t="s">
        <v>3762</v>
      </c>
      <c r="G456" s="4" t="s">
        <v>3763</v>
      </c>
      <c r="H456" s="4">
        <v>8</v>
      </c>
      <c r="I456" s="3"/>
    </row>
    <row r="457" spans="1:9" ht="38.25">
      <c r="A457" s="4" t="s">
        <v>274</v>
      </c>
      <c r="B457" s="4" t="s">
        <v>3764</v>
      </c>
      <c r="C457" s="4" t="s">
        <v>3765</v>
      </c>
      <c r="D457" s="4" t="s">
        <v>0</v>
      </c>
      <c r="E457" s="33" t="s">
        <v>275</v>
      </c>
      <c r="F457" s="4" t="s">
        <v>3766</v>
      </c>
      <c r="G457" s="4" t="s">
        <v>3767</v>
      </c>
      <c r="H457" s="4">
        <v>1</v>
      </c>
      <c r="I457" s="3">
        <v>0.36</v>
      </c>
    </row>
    <row r="458" spans="1:9" ht="25.5">
      <c r="A458" s="4" t="s">
        <v>365</v>
      </c>
      <c r="B458" s="4" t="s">
        <v>3768</v>
      </c>
      <c r="C458" s="4" t="s">
        <v>3769</v>
      </c>
      <c r="D458" s="4" t="s">
        <v>0</v>
      </c>
      <c r="E458" s="4" t="s">
        <v>996</v>
      </c>
      <c r="F458" s="4" t="s">
        <v>3770</v>
      </c>
      <c r="G458" s="4" t="s">
        <v>3769</v>
      </c>
      <c r="H458" s="4">
        <v>1</v>
      </c>
      <c r="I458" s="3">
        <v>0.76</v>
      </c>
    </row>
    <row r="459" spans="1:9" ht="25.5">
      <c r="A459" s="4" t="s">
        <v>365</v>
      </c>
      <c r="B459" s="4" t="s">
        <v>3768</v>
      </c>
      <c r="C459" s="4" t="s">
        <v>3769</v>
      </c>
      <c r="D459" s="4" t="s">
        <v>1</v>
      </c>
      <c r="E459" s="4" t="s">
        <v>366</v>
      </c>
      <c r="F459" s="4" t="s">
        <v>3726</v>
      </c>
      <c r="G459" s="4" t="s">
        <v>3771</v>
      </c>
      <c r="H459" s="4">
        <v>4</v>
      </c>
      <c r="I459" s="3"/>
    </row>
    <row r="460" spans="1:9" ht="25.5">
      <c r="A460" s="4" t="s">
        <v>365</v>
      </c>
      <c r="B460" s="4" t="s">
        <v>3768</v>
      </c>
      <c r="C460" s="4" t="s">
        <v>3769</v>
      </c>
      <c r="D460" s="4" t="s">
        <v>2</v>
      </c>
      <c r="E460" s="4" t="s">
        <v>56</v>
      </c>
      <c r="F460" s="4" t="s">
        <v>3762</v>
      </c>
      <c r="G460" s="4" t="s">
        <v>3763</v>
      </c>
      <c r="H460" s="4">
        <v>2</v>
      </c>
      <c r="I460" s="3"/>
    </row>
    <row r="461" spans="1:9" ht="25.5">
      <c r="A461" s="4" t="s">
        <v>432</v>
      </c>
      <c r="B461" s="4" t="s">
        <v>3772</v>
      </c>
      <c r="C461" s="4" t="s">
        <v>3773</v>
      </c>
      <c r="D461" s="4" t="s">
        <v>0</v>
      </c>
      <c r="E461" s="33" t="s">
        <v>997</v>
      </c>
      <c r="F461" s="33" t="s">
        <v>3774</v>
      </c>
      <c r="G461" s="33" t="s">
        <v>3775</v>
      </c>
      <c r="H461" s="4">
        <v>1</v>
      </c>
      <c r="I461" s="3">
        <v>0.09</v>
      </c>
    </row>
    <row r="462" spans="1:9" ht="25.5">
      <c r="A462" s="4" t="s">
        <v>433</v>
      </c>
      <c r="B462" s="4" t="s">
        <v>3776</v>
      </c>
      <c r="C462" s="4" t="s">
        <v>3777</v>
      </c>
      <c r="D462" s="4" t="s">
        <v>0</v>
      </c>
      <c r="E462" s="106" t="s">
        <v>998</v>
      </c>
      <c r="F462" s="4" t="s">
        <v>3778</v>
      </c>
      <c r="G462" s="4" t="s">
        <v>3779</v>
      </c>
      <c r="H462" s="4">
        <v>1</v>
      </c>
      <c r="I462" s="3">
        <v>0.17</v>
      </c>
    </row>
    <row r="463" spans="1:9" ht="38.25">
      <c r="A463" s="4" t="s">
        <v>279</v>
      </c>
      <c r="B463" s="4" t="s">
        <v>3780</v>
      </c>
      <c r="C463" s="4" t="s">
        <v>3781</v>
      </c>
      <c r="D463" s="4" t="s">
        <v>0</v>
      </c>
      <c r="E463" s="4" t="s">
        <v>280</v>
      </c>
      <c r="F463" s="4" t="s">
        <v>3782</v>
      </c>
      <c r="G463" s="4" t="s">
        <v>3783</v>
      </c>
      <c r="H463" s="4">
        <v>1</v>
      </c>
      <c r="I463" s="3">
        <v>0.09</v>
      </c>
    </row>
    <row r="464" spans="1:9" ht="38.25">
      <c r="A464" s="4" t="s">
        <v>281</v>
      </c>
      <c r="B464" s="4" t="s">
        <v>3784</v>
      </c>
      <c r="C464" s="4" t="s">
        <v>3785</v>
      </c>
      <c r="D464" s="4" t="s">
        <v>0</v>
      </c>
      <c r="E464" s="4" t="s">
        <v>282</v>
      </c>
      <c r="F464" s="4" t="s">
        <v>3786</v>
      </c>
      <c r="G464" s="4" t="s">
        <v>3787</v>
      </c>
      <c r="H464" s="4">
        <v>1</v>
      </c>
      <c r="I464" s="3">
        <v>0.09</v>
      </c>
    </row>
    <row r="465" spans="1:9" ht="38.25">
      <c r="A465" s="4" t="s">
        <v>283</v>
      </c>
      <c r="B465" s="4" t="s">
        <v>3788</v>
      </c>
      <c r="C465" s="4" t="s">
        <v>3789</v>
      </c>
      <c r="D465" s="4" t="s">
        <v>0</v>
      </c>
      <c r="E465" s="4" t="s">
        <v>284</v>
      </c>
      <c r="F465" s="4" t="s">
        <v>3790</v>
      </c>
      <c r="G465" s="4" t="s">
        <v>3791</v>
      </c>
      <c r="H465" s="4">
        <v>1</v>
      </c>
      <c r="I465" s="3">
        <v>0.09</v>
      </c>
    </row>
    <row r="466" spans="1:9" ht="38.25">
      <c r="A466" s="4" t="s">
        <v>285</v>
      </c>
      <c r="B466" s="4" t="s">
        <v>3792</v>
      </c>
      <c r="C466" s="4" t="s">
        <v>3793</v>
      </c>
      <c r="D466" s="4" t="s">
        <v>0</v>
      </c>
      <c r="E466" s="4" t="s">
        <v>286</v>
      </c>
      <c r="F466" s="4" t="s">
        <v>3794</v>
      </c>
      <c r="G466" s="4" t="s">
        <v>3795</v>
      </c>
      <c r="H466" s="4">
        <v>1</v>
      </c>
      <c r="I466" s="3">
        <v>0.09</v>
      </c>
    </row>
    <row r="467" spans="1:9" ht="38.25">
      <c r="A467" s="4" t="s">
        <v>354</v>
      </c>
      <c r="B467" s="4" t="s">
        <v>3796</v>
      </c>
      <c r="C467" s="4" t="s">
        <v>3797</v>
      </c>
      <c r="D467" s="4" t="s">
        <v>0</v>
      </c>
      <c r="E467" s="4" t="s">
        <v>355</v>
      </c>
      <c r="F467" s="4" t="s">
        <v>3798</v>
      </c>
      <c r="G467" s="4" t="s">
        <v>3799</v>
      </c>
      <c r="H467" s="4">
        <v>1</v>
      </c>
      <c r="I467" s="3">
        <v>0.09</v>
      </c>
    </row>
    <row r="468" spans="1:9" ht="38.25">
      <c r="A468" s="4" t="s">
        <v>356</v>
      </c>
      <c r="B468" s="4" t="s">
        <v>3800</v>
      </c>
      <c r="C468" s="4" t="s">
        <v>3801</v>
      </c>
      <c r="D468" s="4" t="s">
        <v>0</v>
      </c>
      <c r="E468" s="4" t="s">
        <v>357</v>
      </c>
      <c r="F468" s="4" t="s">
        <v>3802</v>
      </c>
      <c r="G468" s="4" t="s">
        <v>3803</v>
      </c>
      <c r="H468" s="4">
        <v>1</v>
      </c>
      <c r="I468" s="3">
        <v>0.09</v>
      </c>
    </row>
    <row r="469" spans="1:9" ht="25.5">
      <c r="A469" s="11" t="s">
        <v>577</v>
      </c>
      <c r="B469" s="11" t="s">
        <v>3804</v>
      </c>
      <c r="C469" s="11" t="s">
        <v>3805</v>
      </c>
      <c r="D469" s="107" t="s">
        <v>0</v>
      </c>
      <c r="E469" s="107" t="s">
        <v>578</v>
      </c>
      <c r="F469" s="174" t="s">
        <v>3806</v>
      </c>
      <c r="G469" s="174" t="s">
        <v>3807</v>
      </c>
      <c r="H469" s="27">
        <v>0</v>
      </c>
      <c r="I469" s="3">
        <v>0.57999999999999996</v>
      </c>
    </row>
    <row r="470" spans="1:9" ht="25.5">
      <c r="A470" s="11" t="s">
        <v>577</v>
      </c>
      <c r="B470" s="11" t="s">
        <v>3804</v>
      </c>
      <c r="C470" s="11" t="s">
        <v>3805</v>
      </c>
      <c r="D470" s="107" t="s">
        <v>0</v>
      </c>
      <c r="E470" s="107" t="s">
        <v>579</v>
      </c>
      <c r="F470" s="174" t="s">
        <v>3808</v>
      </c>
      <c r="G470" s="174" t="s">
        <v>3809</v>
      </c>
      <c r="H470" s="4">
        <v>0</v>
      </c>
      <c r="I470" s="3"/>
    </row>
    <row r="471" spans="1:9" ht="38.25">
      <c r="A471" s="11" t="s">
        <v>577</v>
      </c>
      <c r="B471" s="11" t="s">
        <v>3804</v>
      </c>
      <c r="C471" s="11" t="s">
        <v>3805</v>
      </c>
      <c r="D471" s="107" t="s">
        <v>1</v>
      </c>
      <c r="E471" s="107" t="s">
        <v>149</v>
      </c>
      <c r="F471" s="174" t="s">
        <v>3103</v>
      </c>
      <c r="G471" s="174" t="s">
        <v>3366</v>
      </c>
      <c r="H471" s="4">
        <v>0</v>
      </c>
      <c r="I471" s="3"/>
    </row>
    <row r="472" spans="1:9" ht="25.5">
      <c r="A472" s="11" t="s">
        <v>580</v>
      </c>
      <c r="B472" s="11" t="s">
        <v>3810</v>
      </c>
      <c r="C472" s="11" t="s">
        <v>3811</v>
      </c>
      <c r="D472" s="107" t="s">
        <v>0</v>
      </c>
      <c r="E472" s="33" t="s">
        <v>581</v>
      </c>
      <c r="F472" s="33" t="s">
        <v>3812</v>
      </c>
      <c r="G472" s="33" t="s">
        <v>3811</v>
      </c>
      <c r="H472" s="4">
        <v>0</v>
      </c>
      <c r="I472" s="3">
        <v>0.67</v>
      </c>
    </row>
    <row r="473" spans="1:9" ht="25.5">
      <c r="A473" s="11" t="s">
        <v>580</v>
      </c>
      <c r="B473" s="11" t="s">
        <v>3810</v>
      </c>
      <c r="C473" s="11" t="s">
        <v>3811</v>
      </c>
      <c r="D473" s="107" t="s">
        <v>1</v>
      </c>
      <c r="E473" s="33" t="s">
        <v>582</v>
      </c>
      <c r="F473" s="33" t="s">
        <v>3813</v>
      </c>
      <c r="G473" s="33" t="s">
        <v>3814</v>
      </c>
      <c r="H473" s="4">
        <v>0</v>
      </c>
      <c r="I473" s="3"/>
    </row>
    <row r="474" spans="1:9" ht="25.5">
      <c r="A474" s="4" t="s">
        <v>147</v>
      </c>
      <c r="B474" s="4" t="s">
        <v>3815</v>
      </c>
      <c r="C474" s="4" t="s">
        <v>3816</v>
      </c>
      <c r="D474" s="4" t="s">
        <v>0</v>
      </c>
      <c r="E474" s="4" t="s">
        <v>148</v>
      </c>
      <c r="F474" s="4" t="s">
        <v>3817</v>
      </c>
      <c r="G474" s="4" t="s">
        <v>3818</v>
      </c>
      <c r="H474" s="103">
        <v>1</v>
      </c>
      <c r="I474" s="3">
        <v>1.07</v>
      </c>
    </row>
    <row r="475" spans="1:9" ht="38.25">
      <c r="A475" s="4" t="s">
        <v>147</v>
      </c>
      <c r="B475" s="4" t="s">
        <v>3815</v>
      </c>
      <c r="C475" s="4" t="s">
        <v>3818</v>
      </c>
      <c r="D475" s="4" t="s">
        <v>1</v>
      </c>
      <c r="E475" s="4" t="s">
        <v>149</v>
      </c>
      <c r="F475" s="4" t="s">
        <v>3103</v>
      </c>
      <c r="G475" s="4" t="s">
        <v>3366</v>
      </c>
      <c r="H475" s="30">
        <v>18</v>
      </c>
      <c r="I475" s="3"/>
    </row>
    <row r="476" spans="1:9" ht="25.5">
      <c r="A476" s="4" t="s">
        <v>999</v>
      </c>
      <c r="B476" s="4" t="s">
        <v>3819</v>
      </c>
      <c r="C476" s="4" t="s">
        <v>3820</v>
      </c>
      <c r="D476" s="4" t="s">
        <v>0</v>
      </c>
      <c r="E476" s="4" t="s">
        <v>165</v>
      </c>
      <c r="F476" s="4" t="s">
        <v>3821</v>
      </c>
      <c r="G476" s="4" t="s">
        <v>3822</v>
      </c>
      <c r="H476" s="4">
        <v>10</v>
      </c>
      <c r="I476" s="3">
        <v>0.88</v>
      </c>
    </row>
    <row r="477" spans="1:9" ht="25.5">
      <c r="A477" s="4" t="s">
        <v>150</v>
      </c>
      <c r="B477" s="4" t="s">
        <v>3819</v>
      </c>
      <c r="C477" s="4" t="s">
        <v>3823</v>
      </c>
      <c r="D477" s="4" t="s">
        <v>1</v>
      </c>
      <c r="E477" s="33" t="s">
        <v>561</v>
      </c>
      <c r="F477" s="33" t="s">
        <v>3824</v>
      </c>
      <c r="G477" s="33" t="s">
        <v>3825</v>
      </c>
      <c r="H477" s="4">
        <v>0</v>
      </c>
      <c r="I477" s="3"/>
    </row>
    <row r="478" spans="1:9" ht="38.25">
      <c r="A478" s="4" t="s">
        <v>150</v>
      </c>
      <c r="B478" s="4" t="s">
        <v>3819</v>
      </c>
      <c r="C478" s="4" t="s">
        <v>3826</v>
      </c>
      <c r="D478" s="4" t="s">
        <v>1</v>
      </c>
      <c r="E478" s="4" t="s">
        <v>151</v>
      </c>
      <c r="F478" s="4" t="s">
        <v>3824</v>
      </c>
      <c r="G478" s="4" t="s">
        <v>3825</v>
      </c>
      <c r="H478" s="4">
        <v>2</v>
      </c>
      <c r="I478" s="3"/>
    </row>
    <row r="479" spans="1:9" ht="38.25">
      <c r="A479" s="4" t="s">
        <v>152</v>
      </c>
      <c r="B479" s="4" t="s">
        <v>3827</v>
      </c>
      <c r="C479" s="4" t="s">
        <v>3828</v>
      </c>
      <c r="D479" s="4" t="s">
        <v>0</v>
      </c>
      <c r="E479" s="4" t="s">
        <v>153</v>
      </c>
      <c r="F479" s="4" t="s">
        <v>3829</v>
      </c>
      <c r="G479" s="4" t="s">
        <v>3830</v>
      </c>
      <c r="H479" s="4">
        <v>2</v>
      </c>
      <c r="I479" s="3">
        <v>0.18</v>
      </c>
    </row>
    <row r="480" spans="1:9" ht="25.5">
      <c r="A480" s="11" t="s">
        <v>77</v>
      </c>
      <c r="B480" s="11" t="s">
        <v>3831</v>
      </c>
      <c r="C480" s="11" t="s">
        <v>3832</v>
      </c>
      <c r="D480" s="4" t="s">
        <v>0</v>
      </c>
      <c r="E480" s="4" t="s">
        <v>1000</v>
      </c>
      <c r="F480" s="4" t="s">
        <v>3833</v>
      </c>
      <c r="G480" s="4" t="s">
        <v>3834</v>
      </c>
      <c r="H480" s="4">
        <v>0</v>
      </c>
      <c r="I480" s="3">
        <v>0.16</v>
      </c>
    </row>
    <row r="481" spans="1:9" ht="38.25">
      <c r="A481" s="11" t="s">
        <v>77</v>
      </c>
      <c r="B481" s="11" t="s">
        <v>3831</v>
      </c>
      <c r="C481" s="11" t="s">
        <v>3835</v>
      </c>
      <c r="D481" s="4" t="s">
        <v>0</v>
      </c>
      <c r="E481" s="4" t="s">
        <v>1001</v>
      </c>
      <c r="F481" s="4" t="s">
        <v>3833</v>
      </c>
      <c r="G481" s="4" t="s">
        <v>3834</v>
      </c>
      <c r="H481" s="4">
        <v>2</v>
      </c>
      <c r="I481" s="3">
        <v>0.16</v>
      </c>
    </row>
    <row r="482" spans="1:9" ht="38.25">
      <c r="A482" s="11" t="s">
        <v>77</v>
      </c>
      <c r="B482" s="11" t="s">
        <v>3831</v>
      </c>
      <c r="C482" s="11" t="s">
        <v>3836</v>
      </c>
      <c r="D482" s="4" t="s">
        <v>1</v>
      </c>
      <c r="E482" s="4" t="s">
        <v>1002</v>
      </c>
      <c r="F482" s="4" t="s">
        <v>3837</v>
      </c>
      <c r="G482" s="4" t="s">
        <v>3838</v>
      </c>
      <c r="H482" s="4">
        <v>2</v>
      </c>
      <c r="I482" s="3"/>
    </row>
    <row r="483" spans="1:9" ht="38.25">
      <c r="A483" s="11" t="s">
        <v>1003</v>
      </c>
      <c r="B483" s="11" t="s">
        <v>3839</v>
      </c>
      <c r="C483" s="11" t="s">
        <v>3840</v>
      </c>
      <c r="D483" s="4"/>
      <c r="E483" s="4" t="s">
        <v>1004</v>
      </c>
      <c r="F483" s="4" t="s">
        <v>3841</v>
      </c>
      <c r="G483" s="4" t="s">
        <v>3842</v>
      </c>
      <c r="H483" s="4">
        <v>0</v>
      </c>
      <c r="I483" s="3"/>
    </row>
    <row r="484" spans="1:9" ht="38.25">
      <c r="A484" s="11" t="s">
        <v>77</v>
      </c>
      <c r="B484" s="11" t="s">
        <v>3831</v>
      </c>
      <c r="C484" s="11" t="s">
        <v>3843</v>
      </c>
      <c r="D484" s="4"/>
      <c r="E484" s="4" t="s">
        <v>78</v>
      </c>
      <c r="F484" s="4" t="s">
        <v>3844</v>
      </c>
      <c r="G484" s="4" t="s">
        <v>3842</v>
      </c>
      <c r="H484" s="4">
        <v>2</v>
      </c>
      <c r="I484" s="3"/>
    </row>
    <row r="485" spans="1:9" ht="38.25">
      <c r="A485" s="4" t="s">
        <v>1005</v>
      </c>
      <c r="B485" s="4" t="s">
        <v>3845</v>
      </c>
      <c r="C485" s="4" t="s">
        <v>3846</v>
      </c>
      <c r="D485" s="4" t="s">
        <v>0</v>
      </c>
      <c r="E485" s="4" t="s">
        <v>165</v>
      </c>
      <c r="F485" s="4" t="s">
        <v>3821</v>
      </c>
      <c r="G485" s="4" t="s">
        <v>3822</v>
      </c>
      <c r="H485" s="4">
        <v>11</v>
      </c>
      <c r="I485" s="3">
        <v>0.83</v>
      </c>
    </row>
    <row r="486" spans="1:9" ht="38.25">
      <c r="A486" s="4" t="s">
        <v>1005</v>
      </c>
      <c r="B486" s="4" t="s">
        <v>3845</v>
      </c>
      <c r="C486" s="4" t="s">
        <v>3846</v>
      </c>
      <c r="D486" s="4" t="s">
        <v>1</v>
      </c>
      <c r="E486" s="4" t="s">
        <v>1006</v>
      </c>
      <c r="F486" s="4" t="s">
        <v>3844</v>
      </c>
      <c r="G486" s="4" t="s">
        <v>3847</v>
      </c>
      <c r="H486" s="4">
        <v>0</v>
      </c>
      <c r="I486" s="3"/>
    </row>
    <row r="487" spans="1:9" ht="38.25">
      <c r="A487" s="4" t="s">
        <v>164</v>
      </c>
      <c r="B487" s="4" t="s">
        <v>3845</v>
      </c>
      <c r="C487" s="4" t="s">
        <v>3848</v>
      </c>
      <c r="D487" s="4" t="s">
        <v>1</v>
      </c>
      <c r="E487" s="4" t="s">
        <v>78</v>
      </c>
      <c r="F487" s="4" t="s">
        <v>3844</v>
      </c>
      <c r="G487" s="4" t="s">
        <v>3849</v>
      </c>
      <c r="H487" s="4">
        <v>2</v>
      </c>
      <c r="I487" s="3"/>
    </row>
    <row r="488" spans="1:9" ht="51">
      <c r="A488" s="4" t="s">
        <v>157</v>
      </c>
      <c r="B488" s="4" t="s">
        <v>3850</v>
      </c>
      <c r="C488" s="4" t="s">
        <v>3851</v>
      </c>
      <c r="D488" s="4" t="s">
        <v>0</v>
      </c>
      <c r="E488" s="108" t="s">
        <v>158</v>
      </c>
      <c r="F488" s="108" t="s">
        <v>3852</v>
      </c>
      <c r="G488" s="108" t="s">
        <v>3853</v>
      </c>
      <c r="H488" s="4">
        <v>1</v>
      </c>
      <c r="I488" s="3">
        <v>0.15</v>
      </c>
    </row>
    <row r="489" spans="1:9" ht="38.25">
      <c r="A489" s="4" t="s">
        <v>157</v>
      </c>
      <c r="B489" s="4" t="s">
        <v>3850</v>
      </c>
      <c r="C489" s="4" t="s">
        <v>3854</v>
      </c>
      <c r="D489" s="4" t="s">
        <v>1</v>
      </c>
      <c r="E489" s="4" t="s">
        <v>3</v>
      </c>
      <c r="F489" s="4" t="s">
        <v>3855</v>
      </c>
      <c r="G489" s="4" t="s">
        <v>3856</v>
      </c>
      <c r="H489" s="4">
        <v>2</v>
      </c>
      <c r="I489" s="3"/>
    </row>
    <row r="490" spans="1:9" ht="25.5">
      <c r="A490" s="109" t="s">
        <v>1007</v>
      </c>
      <c r="B490" s="109" t="s">
        <v>3857</v>
      </c>
      <c r="C490" s="109" t="s">
        <v>3858</v>
      </c>
      <c r="D490" s="110" t="s">
        <v>721</v>
      </c>
      <c r="E490" s="111" t="s">
        <v>20</v>
      </c>
      <c r="F490" s="184" t="s">
        <v>3859</v>
      </c>
      <c r="G490" s="184" t="s">
        <v>3860</v>
      </c>
      <c r="H490" s="46">
        <v>1</v>
      </c>
      <c r="I490" s="3">
        <v>0.53</v>
      </c>
    </row>
    <row r="491" spans="1:9" ht="25.5">
      <c r="A491" s="109" t="s">
        <v>1007</v>
      </c>
      <c r="B491" s="109" t="s">
        <v>3857</v>
      </c>
      <c r="C491" s="109" t="s">
        <v>3861</v>
      </c>
      <c r="D491" s="110" t="s">
        <v>701</v>
      </c>
      <c r="E491" s="83" t="s">
        <v>857</v>
      </c>
      <c r="F491" s="185" t="s">
        <v>3862</v>
      </c>
      <c r="G491" s="185" t="s">
        <v>3863</v>
      </c>
      <c r="H491" s="46">
        <v>1</v>
      </c>
      <c r="I491" s="3"/>
    </row>
    <row r="492" spans="1:9" ht="25.5">
      <c r="A492" s="109" t="s">
        <v>1007</v>
      </c>
      <c r="B492" s="109" t="s">
        <v>3857</v>
      </c>
      <c r="C492" s="109" t="s">
        <v>3858</v>
      </c>
      <c r="D492" s="110" t="s">
        <v>824</v>
      </c>
      <c r="E492" s="111" t="s">
        <v>719</v>
      </c>
      <c r="F492" s="112" t="s">
        <v>2737</v>
      </c>
      <c r="G492" s="112" t="s">
        <v>2861</v>
      </c>
      <c r="H492" s="46">
        <v>1</v>
      </c>
      <c r="I492" s="3"/>
    </row>
    <row r="493" spans="1:9" ht="25.5">
      <c r="A493" s="109" t="s">
        <v>1007</v>
      </c>
      <c r="B493" s="109" t="s">
        <v>3857</v>
      </c>
      <c r="C493" s="109" t="s">
        <v>3858</v>
      </c>
      <c r="D493" s="110" t="s">
        <v>826</v>
      </c>
      <c r="E493" s="112" t="s">
        <v>837</v>
      </c>
      <c r="F493" s="112" t="s">
        <v>3864</v>
      </c>
      <c r="G493" s="112" t="s">
        <v>3865</v>
      </c>
      <c r="H493" s="46">
        <v>3</v>
      </c>
      <c r="I493" s="3"/>
    </row>
    <row r="494" spans="1:9" ht="25.5">
      <c r="A494" s="109" t="s">
        <v>1007</v>
      </c>
      <c r="B494" s="109" t="s">
        <v>3857</v>
      </c>
      <c r="C494" s="109" t="s">
        <v>3858</v>
      </c>
      <c r="D494" s="110" t="s">
        <v>828</v>
      </c>
      <c r="E494" s="55" t="s">
        <v>852</v>
      </c>
      <c r="F494" s="55" t="s">
        <v>3866</v>
      </c>
      <c r="G494" s="55" t="s">
        <v>3867</v>
      </c>
      <c r="H494" s="46">
        <v>2</v>
      </c>
      <c r="I494" s="3"/>
    </row>
    <row r="495" spans="1:9" ht="25.5">
      <c r="A495" s="109" t="s">
        <v>1007</v>
      </c>
      <c r="B495" s="109" t="s">
        <v>3857</v>
      </c>
      <c r="C495" s="109" t="s">
        <v>3858</v>
      </c>
      <c r="D495" s="110" t="s">
        <v>920</v>
      </c>
      <c r="E495" s="55" t="s">
        <v>1008</v>
      </c>
      <c r="F495" s="55" t="s">
        <v>3592</v>
      </c>
      <c r="G495" s="55" t="s">
        <v>3425</v>
      </c>
      <c r="H495" s="46">
        <v>1</v>
      </c>
      <c r="I495" s="3"/>
    </row>
    <row r="496" spans="1:9" ht="25.5">
      <c r="A496" s="109" t="s">
        <v>1007</v>
      </c>
      <c r="B496" s="109" t="s">
        <v>3857</v>
      </c>
      <c r="C496" s="109" t="s">
        <v>3858</v>
      </c>
      <c r="D496" s="110" t="s">
        <v>922</v>
      </c>
      <c r="E496" s="113" t="s">
        <v>1009</v>
      </c>
      <c r="F496" s="55" t="s">
        <v>3592</v>
      </c>
      <c r="G496" s="55" t="s">
        <v>3424</v>
      </c>
      <c r="H496" s="46">
        <v>1</v>
      </c>
      <c r="I496" s="3"/>
    </row>
    <row r="497" spans="1:9" ht="25.5">
      <c r="A497" s="4" t="s">
        <v>1010</v>
      </c>
      <c r="B497" s="4" t="s">
        <v>3868</v>
      </c>
      <c r="C497" s="4" t="s">
        <v>3869</v>
      </c>
      <c r="D497" s="4" t="s">
        <v>0</v>
      </c>
      <c r="E497" s="4" t="s">
        <v>174</v>
      </c>
      <c r="F497" s="4" t="s">
        <v>3870</v>
      </c>
      <c r="G497" s="4" t="s">
        <v>3871</v>
      </c>
      <c r="H497" s="4">
        <v>1</v>
      </c>
      <c r="I497" s="3">
        <v>7.0000000000000007E-2</v>
      </c>
    </row>
    <row r="498" spans="1:9" ht="25.5">
      <c r="A498" s="4" t="s">
        <v>175</v>
      </c>
      <c r="B498" s="4" t="s">
        <v>3872</v>
      </c>
      <c r="C498" s="4" t="s">
        <v>3873</v>
      </c>
      <c r="D498" s="4" t="s">
        <v>0</v>
      </c>
      <c r="E498" s="114" t="s">
        <v>176</v>
      </c>
      <c r="F498" s="114" t="s">
        <v>3874</v>
      </c>
      <c r="G498" s="114" t="s">
        <v>3875</v>
      </c>
      <c r="H498" s="4">
        <v>1</v>
      </c>
      <c r="I498" s="3">
        <v>0.74</v>
      </c>
    </row>
    <row r="499" spans="1:9" ht="25.5">
      <c r="A499" s="4" t="s">
        <v>175</v>
      </c>
      <c r="B499" s="4" t="s">
        <v>3872</v>
      </c>
      <c r="C499" s="4" t="s">
        <v>3873</v>
      </c>
      <c r="D499" s="4" t="s">
        <v>0</v>
      </c>
      <c r="E499" s="114" t="s">
        <v>177</v>
      </c>
      <c r="F499" s="114" t="s">
        <v>3876</v>
      </c>
      <c r="G499" s="114" t="s">
        <v>3877</v>
      </c>
      <c r="H499" s="4">
        <v>1</v>
      </c>
      <c r="I499" s="3"/>
    </row>
    <row r="500" spans="1:9" ht="25.5">
      <c r="A500" s="4" t="s">
        <v>175</v>
      </c>
      <c r="B500" s="4" t="s">
        <v>3872</v>
      </c>
      <c r="C500" s="4" t="s">
        <v>3873</v>
      </c>
      <c r="D500" s="4" t="s">
        <v>1</v>
      </c>
      <c r="E500" s="4" t="s">
        <v>178</v>
      </c>
      <c r="F500" s="4" t="s">
        <v>3878</v>
      </c>
      <c r="G500" s="4" t="s">
        <v>3879</v>
      </c>
      <c r="H500" s="4">
        <v>8</v>
      </c>
      <c r="I500" s="3"/>
    </row>
    <row r="501" spans="1:9" ht="25.5">
      <c r="A501" s="4" t="s">
        <v>1011</v>
      </c>
      <c r="B501" s="4" t="s">
        <v>3880</v>
      </c>
      <c r="C501" s="4" t="s">
        <v>3881</v>
      </c>
      <c r="D501" s="4" t="s">
        <v>0</v>
      </c>
      <c r="E501" s="4" t="s">
        <v>180</v>
      </c>
      <c r="F501" s="4" t="s">
        <v>3882</v>
      </c>
      <c r="G501" s="4" t="s">
        <v>3883</v>
      </c>
      <c r="H501" s="4">
        <v>1</v>
      </c>
      <c r="I501" s="3">
        <v>0.86</v>
      </c>
    </row>
    <row r="502" spans="1:9" ht="25.5">
      <c r="A502" s="4" t="s">
        <v>179</v>
      </c>
      <c r="B502" s="4" t="s">
        <v>3880</v>
      </c>
      <c r="C502" s="4" t="s">
        <v>3884</v>
      </c>
      <c r="D502" s="4" t="s">
        <v>0</v>
      </c>
      <c r="E502" s="4" t="s">
        <v>181</v>
      </c>
      <c r="F502" s="4" t="s">
        <v>3885</v>
      </c>
      <c r="G502" s="4" t="s">
        <v>3886</v>
      </c>
      <c r="H502" s="4">
        <v>1</v>
      </c>
      <c r="I502" s="3"/>
    </row>
    <row r="503" spans="1:9" ht="25.5">
      <c r="A503" s="4" t="s">
        <v>179</v>
      </c>
      <c r="B503" s="4" t="s">
        <v>3880</v>
      </c>
      <c r="C503" s="4" t="s">
        <v>3884</v>
      </c>
      <c r="D503" s="4" t="s">
        <v>1</v>
      </c>
      <c r="E503" s="115" t="s">
        <v>15</v>
      </c>
      <c r="F503" s="4" t="s">
        <v>3610</v>
      </c>
      <c r="G503" s="4" t="s">
        <v>3887</v>
      </c>
      <c r="H503" s="4">
        <v>6</v>
      </c>
      <c r="I503" s="3"/>
    </row>
    <row r="504" spans="1:9" ht="25.5">
      <c r="A504" s="4" t="s">
        <v>226</v>
      </c>
      <c r="B504" s="4" t="s">
        <v>3888</v>
      </c>
      <c r="C504" s="4" t="s">
        <v>3889</v>
      </c>
      <c r="D504" s="4" t="s">
        <v>0</v>
      </c>
      <c r="E504" s="4" t="s">
        <v>1012</v>
      </c>
      <c r="F504" s="4" t="s">
        <v>3890</v>
      </c>
      <c r="G504" s="4" t="s">
        <v>3889</v>
      </c>
      <c r="H504" s="4">
        <v>2</v>
      </c>
      <c r="I504" s="3">
        <v>0.28000000000000003</v>
      </c>
    </row>
    <row r="505" spans="1:9" ht="25.5">
      <c r="A505" s="4" t="s">
        <v>226</v>
      </c>
      <c r="B505" s="4" t="s">
        <v>3888</v>
      </c>
      <c r="C505" s="4" t="s">
        <v>3889</v>
      </c>
      <c r="D505" s="4" t="s">
        <v>1</v>
      </c>
      <c r="E505" s="115" t="s">
        <v>227</v>
      </c>
      <c r="F505" s="4" t="s">
        <v>3891</v>
      </c>
      <c r="G505" s="4" t="s">
        <v>3892</v>
      </c>
      <c r="H505" s="4">
        <v>2</v>
      </c>
      <c r="I505" s="3"/>
    </row>
    <row r="506" spans="1:9" ht="25.5">
      <c r="A506" s="4" t="s">
        <v>242</v>
      </c>
      <c r="B506" s="4" t="s">
        <v>3893</v>
      </c>
      <c r="C506" s="4" t="s">
        <v>3894</v>
      </c>
      <c r="D506" s="4" t="s">
        <v>0</v>
      </c>
      <c r="E506" s="116" t="s">
        <v>1013</v>
      </c>
      <c r="F506" s="4" t="s">
        <v>3895</v>
      </c>
      <c r="G506" s="4" t="s">
        <v>3896</v>
      </c>
      <c r="H506" s="4">
        <v>1</v>
      </c>
      <c r="I506" s="3">
        <v>0.24</v>
      </c>
    </row>
    <row r="507" spans="1:9" ht="25.5">
      <c r="A507" s="4" t="s">
        <v>242</v>
      </c>
      <c r="B507" s="4" t="s">
        <v>3893</v>
      </c>
      <c r="C507" s="4" t="s">
        <v>3894</v>
      </c>
      <c r="D507" s="4" t="s">
        <v>1</v>
      </c>
      <c r="E507" s="34" t="s">
        <v>26</v>
      </c>
      <c r="F507" s="4" t="s">
        <v>2767</v>
      </c>
      <c r="G507" s="4" t="s">
        <v>3044</v>
      </c>
      <c r="H507" s="4">
        <v>3</v>
      </c>
      <c r="I507" s="3"/>
    </row>
    <row r="508" spans="1:9" ht="25.5">
      <c r="A508" s="4" t="s">
        <v>545</v>
      </c>
      <c r="B508" s="4" t="s">
        <v>3897</v>
      </c>
      <c r="C508" s="4" t="s">
        <v>3898</v>
      </c>
      <c r="D508" s="4" t="s">
        <v>0</v>
      </c>
      <c r="E508" s="34" t="s">
        <v>1014</v>
      </c>
      <c r="F508" s="34" t="s">
        <v>3899</v>
      </c>
      <c r="G508" s="34" t="s">
        <v>3900</v>
      </c>
      <c r="H508" s="3">
        <v>1</v>
      </c>
      <c r="I508" s="3">
        <v>0.2</v>
      </c>
    </row>
    <row r="509" spans="1:9" ht="38.25">
      <c r="A509" s="4" t="s">
        <v>154</v>
      </c>
      <c r="B509" s="4" t="s">
        <v>3901</v>
      </c>
      <c r="C509" s="4" t="s">
        <v>3902</v>
      </c>
      <c r="D509" s="4" t="s">
        <v>0</v>
      </c>
      <c r="E509" s="4" t="s">
        <v>1015</v>
      </c>
      <c r="F509" s="4" t="s">
        <v>3903</v>
      </c>
      <c r="G509" s="4" t="s">
        <v>3904</v>
      </c>
      <c r="H509" s="4">
        <v>1</v>
      </c>
      <c r="I509" s="3">
        <v>0.26</v>
      </c>
    </row>
    <row r="510" spans="1:9" ht="25.5">
      <c r="A510" s="4" t="s">
        <v>154</v>
      </c>
      <c r="B510" s="4" t="s">
        <v>3901</v>
      </c>
      <c r="C510" s="4" t="s">
        <v>3905</v>
      </c>
      <c r="D510" s="4" t="s">
        <v>0</v>
      </c>
      <c r="E510" s="4" t="s">
        <v>1016</v>
      </c>
      <c r="F510" s="4" t="s">
        <v>3906</v>
      </c>
      <c r="G510" s="4" t="s">
        <v>3904</v>
      </c>
      <c r="H510" s="4">
        <v>991</v>
      </c>
      <c r="I510" s="3"/>
    </row>
    <row r="511" spans="1:9" ht="38.25">
      <c r="A511" s="45" t="s">
        <v>1017</v>
      </c>
      <c r="B511" s="45" t="s">
        <v>3907</v>
      </c>
      <c r="C511" s="45" t="s">
        <v>3908</v>
      </c>
      <c r="D511" s="45" t="s">
        <v>0</v>
      </c>
      <c r="E511" s="76" t="s">
        <v>1018</v>
      </c>
      <c r="F511" s="76" t="s">
        <v>3909</v>
      </c>
      <c r="G511" s="76" t="s">
        <v>3908</v>
      </c>
      <c r="H511" s="3">
        <v>1</v>
      </c>
      <c r="I511" s="3">
        <v>1.04</v>
      </c>
    </row>
    <row r="512" spans="1:9" ht="25.5">
      <c r="A512" s="4" t="s">
        <v>160</v>
      </c>
      <c r="B512" s="4" t="s">
        <v>3910</v>
      </c>
      <c r="C512" s="4" t="s">
        <v>3911</v>
      </c>
      <c r="D512" s="4" t="s">
        <v>0</v>
      </c>
      <c r="E512" s="4" t="s">
        <v>161</v>
      </c>
      <c r="F512" s="4" t="s">
        <v>3912</v>
      </c>
      <c r="G512" s="4" t="s">
        <v>3913</v>
      </c>
      <c r="H512" s="4">
        <v>1</v>
      </c>
      <c r="I512" s="3">
        <v>0.28999999999999998</v>
      </c>
    </row>
    <row r="513" spans="1:9" ht="25.5">
      <c r="A513" s="4" t="s">
        <v>160</v>
      </c>
      <c r="B513" s="4" t="s">
        <v>3910</v>
      </c>
      <c r="C513" s="4" t="s">
        <v>3911</v>
      </c>
      <c r="D513" s="4" t="s">
        <v>1</v>
      </c>
      <c r="E513" s="104" t="s">
        <v>11</v>
      </c>
      <c r="F513" s="4" t="s">
        <v>3914</v>
      </c>
      <c r="G513" s="4" t="s">
        <v>3865</v>
      </c>
      <c r="H513" s="4">
        <v>4</v>
      </c>
      <c r="I513" s="3"/>
    </row>
    <row r="514" spans="1:9" ht="25.5">
      <c r="A514" s="4" t="s">
        <v>1019</v>
      </c>
      <c r="B514" s="4" t="s">
        <v>3915</v>
      </c>
      <c r="C514" s="4" t="s">
        <v>3916</v>
      </c>
      <c r="D514" s="4" t="s">
        <v>0</v>
      </c>
      <c r="E514" s="4" t="s">
        <v>1020</v>
      </c>
      <c r="F514" s="4" t="s">
        <v>3917</v>
      </c>
      <c r="G514" s="4" t="s">
        <v>3918</v>
      </c>
      <c r="H514" s="4">
        <v>1</v>
      </c>
      <c r="I514" s="3">
        <v>0.55000000000000004</v>
      </c>
    </row>
    <row r="515" spans="1:9" ht="25.5">
      <c r="A515" s="4" t="s">
        <v>188</v>
      </c>
      <c r="B515" s="4" t="s">
        <v>3915</v>
      </c>
      <c r="C515" s="4" t="s">
        <v>3918</v>
      </c>
      <c r="D515" s="4" t="s">
        <v>1</v>
      </c>
      <c r="E515" s="4" t="s">
        <v>178</v>
      </c>
      <c r="F515" s="4" t="s">
        <v>3919</v>
      </c>
      <c r="G515" s="4" t="s">
        <v>3393</v>
      </c>
      <c r="H515" s="4">
        <v>1</v>
      </c>
      <c r="I515" s="3"/>
    </row>
    <row r="516" spans="1:9" ht="38.25">
      <c r="A516" s="4" t="s">
        <v>188</v>
      </c>
      <c r="B516" s="4" t="s">
        <v>3915</v>
      </c>
      <c r="C516" s="4" t="s">
        <v>3920</v>
      </c>
      <c r="D516" s="4" t="s">
        <v>2</v>
      </c>
      <c r="E516" s="104" t="s">
        <v>27</v>
      </c>
      <c r="F516" s="4" t="s">
        <v>3103</v>
      </c>
      <c r="G516" s="4" t="s">
        <v>3366</v>
      </c>
      <c r="H516" s="4">
        <v>3</v>
      </c>
      <c r="I516" s="3"/>
    </row>
    <row r="517" spans="1:9" ht="25.5">
      <c r="A517" s="4" t="s">
        <v>188</v>
      </c>
      <c r="B517" s="4" t="s">
        <v>3915</v>
      </c>
      <c r="C517" s="4" t="s">
        <v>3916</v>
      </c>
      <c r="D517" s="4" t="s">
        <v>7</v>
      </c>
      <c r="E517" s="104" t="s">
        <v>189</v>
      </c>
      <c r="F517" s="4" t="s">
        <v>3921</v>
      </c>
      <c r="G517" s="4" t="s">
        <v>3922</v>
      </c>
      <c r="H517" s="4">
        <v>1</v>
      </c>
      <c r="I517" s="3"/>
    </row>
    <row r="518" spans="1:9">
      <c r="A518" s="4" t="s">
        <v>188</v>
      </c>
      <c r="B518" s="4" t="s">
        <v>3915</v>
      </c>
      <c r="C518" s="4" t="s">
        <v>3923</v>
      </c>
      <c r="D518" s="4" t="s">
        <v>9</v>
      </c>
      <c r="E518" s="4" t="s">
        <v>12</v>
      </c>
      <c r="F518" s="4" t="s">
        <v>3924</v>
      </c>
      <c r="G518" s="4" t="s">
        <v>3925</v>
      </c>
      <c r="H518" s="4">
        <v>1</v>
      </c>
      <c r="I518" s="3"/>
    </row>
    <row r="519" spans="1:9" ht="25.5">
      <c r="A519" s="4" t="s">
        <v>190</v>
      </c>
      <c r="B519" s="4" t="s">
        <v>3926</v>
      </c>
      <c r="C519" s="4" t="s">
        <v>3927</v>
      </c>
      <c r="D519" s="4" t="s">
        <v>0</v>
      </c>
      <c r="E519" s="4" t="s">
        <v>191</v>
      </c>
      <c r="F519" s="4" t="s">
        <v>3928</v>
      </c>
      <c r="G519" s="4" t="s">
        <v>3929</v>
      </c>
      <c r="H519" s="4">
        <v>1</v>
      </c>
      <c r="I519" s="3">
        <v>0.51</v>
      </c>
    </row>
    <row r="520" spans="1:9" ht="25.5">
      <c r="A520" s="4" t="s">
        <v>190</v>
      </c>
      <c r="B520" s="4" t="s">
        <v>3926</v>
      </c>
      <c r="C520" s="4" t="s">
        <v>3930</v>
      </c>
      <c r="D520" s="4" t="s">
        <v>1</v>
      </c>
      <c r="E520" s="4" t="s">
        <v>18</v>
      </c>
      <c r="F520" s="4" t="s">
        <v>2767</v>
      </c>
      <c r="G520" s="4" t="s">
        <v>2768</v>
      </c>
      <c r="H520" s="4">
        <v>6</v>
      </c>
      <c r="I520" s="3"/>
    </row>
    <row r="521" spans="1:9" ht="25.5">
      <c r="A521" s="4" t="s">
        <v>190</v>
      </c>
      <c r="B521" s="4" t="s">
        <v>3926</v>
      </c>
      <c r="C521" s="4" t="s">
        <v>3930</v>
      </c>
      <c r="D521" s="4" t="s">
        <v>2</v>
      </c>
      <c r="E521" s="4" t="s">
        <v>192</v>
      </c>
      <c r="F521" s="4" t="s">
        <v>3931</v>
      </c>
      <c r="G521" s="4" t="s">
        <v>3932</v>
      </c>
      <c r="H521" s="4">
        <v>1</v>
      </c>
      <c r="I521" s="3"/>
    </row>
    <row r="522" spans="1:9" ht="25.5">
      <c r="A522" s="4" t="s">
        <v>190</v>
      </c>
      <c r="B522" s="4" t="s">
        <v>3926</v>
      </c>
      <c r="C522" s="4" t="s">
        <v>3927</v>
      </c>
      <c r="D522" s="4" t="s">
        <v>7</v>
      </c>
      <c r="E522" s="4" t="s">
        <v>193</v>
      </c>
      <c r="F522" s="4" t="s">
        <v>3933</v>
      </c>
      <c r="G522" s="4" t="s">
        <v>3934</v>
      </c>
      <c r="H522" s="4">
        <v>1</v>
      </c>
      <c r="I522" s="3"/>
    </row>
    <row r="523" spans="1:9" ht="25.5">
      <c r="A523" s="4" t="s">
        <v>190</v>
      </c>
      <c r="B523" s="4" t="s">
        <v>3926</v>
      </c>
      <c r="C523" s="4" t="s">
        <v>3930</v>
      </c>
      <c r="D523" s="4" t="s">
        <v>9</v>
      </c>
      <c r="E523" s="4" t="s">
        <v>194</v>
      </c>
      <c r="F523" s="4" t="s">
        <v>3935</v>
      </c>
      <c r="G523" s="4" t="s">
        <v>3936</v>
      </c>
      <c r="H523" s="4">
        <v>1</v>
      </c>
      <c r="I523" s="3"/>
    </row>
    <row r="524" spans="1:9" ht="25.5">
      <c r="A524" s="4" t="s">
        <v>185</v>
      </c>
      <c r="B524" s="4" t="s">
        <v>3937</v>
      </c>
      <c r="C524" s="4" t="s">
        <v>3938</v>
      </c>
      <c r="D524" s="4" t="s">
        <v>0</v>
      </c>
      <c r="E524" s="4" t="s">
        <v>186</v>
      </c>
      <c r="F524" s="4" t="s">
        <v>3939</v>
      </c>
      <c r="G524" s="4" t="s">
        <v>3940</v>
      </c>
      <c r="H524" s="4">
        <v>1</v>
      </c>
      <c r="I524" s="3">
        <v>7.0000000000000007E-2</v>
      </c>
    </row>
    <row r="525" spans="1:9" ht="25.5">
      <c r="A525" s="4" t="s">
        <v>1021</v>
      </c>
      <c r="B525" s="4" t="s">
        <v>3941</v>
      </c>
      <c r="C525" s="4" t="s">
        <v>3942</v>
      </c>
      <c r="D525" s="4" t="s">
        <v>0</v>
      </c>
      <c r="E525" s="4" t="s">
        <v>187</v>
      </c>
      <c r="F525" s="4" t="s">
        <v>3943</v>
      </c>
      <c r="G525" s="4" t="s">
        <v>3944</v>
      </c>
      <c r="H525" s="4">
        <v>1</v>
      </c>
      <c r="I525" s="3">
        <v>0.11</v>
      </c>
    </row>
    <row r="526" spans="1:9" ht="38.25">
      <c r="A526" s="4" t="s">
        <v>202</v>
      </c>
      <c r="B526" s="4" t="s">
        <v>3945</v>
      </c>
      <c r="C526" s="4" t="s">
        <v>3946</v>
      </c>
      <c r="D526" s="4" t="s">
        <v>0</v>
      </c>
      <c r="E526" s="4" t="s">
        <v>1022</v>
      </c>
      <c r="F526" s="4" t="s">
        <v>3947</v>
      </c>
      <c r="G526" s="4" t="s">
        <v>3946</v>
      </c>
      <c r="H526" s="4">
        <v>1</v>
      </c>
      <c r="I526" s="3">
        <v>0.24</v>
      </c>
    </row>
    <row r="527" spans="1:9" ht="38.25">
      <c r="A527" s="4" t="s">
        <v>202</v>
      </c>
      <c r="B527" s="4" t="s">
        <v>3945</v>
      </c>
      <c r="C527" s="4" t="s">
        <v>3946</v>
      </c>
      <c r="D527" s="4" t="s">
        <v>1</v>
      </c>
      <c r="E527" s="104" t="s">
        <v>4</v>
      </c>
      <c r="F527" s="4" t="s">
        <v>3103</v>
      </c>
      <c r="G527" s="4" t="s">
        <v>3948</v>
      </c>
      <c r="H527" s="4">
        <v>3</v>
      </c>
      <c r="I527" s="3"/>
    </row>
    <row r="528" spans="1:9" ht="38.25">
      <c r="A528" s="64" t="s">
        <v>1023</v>
      </c>
      <c r="B528" s="64" t="s">
        <v>3949</v>
      </c>
      <c r="C528" s="64" t="s">
        <v>3950</v>
      </c>
      <c r="D528" s="64" t="s">
        <v>0</v>
      </c>
      <c r="E528" s="64" t="s">
        <v>199</v>
      </c>
      <c r="F528" s="64" t="s">
        <v>3951</v>
      </c>
      <c r="G528" s="64" t="s">
        <v>3952</v>
      </c>
      <c r="H528" s="64">
        <v>1</v>
      </c>
      <c r="I528" s="3">
        <v>0.59</v>
      </c>
    </row>
    <row r="529" spans="1:9" ht="38.25">
      <c r="A529" s="64" t="s">
        <v>200</v>
      </c>
      <c r="B529" s="64" t="s">
        <v>3949</v>
      </c>
      <c r="C529" s="64" t="s">
        <v>3950</v>
      </c>
      <c r="D529" s="64" t="s">
        <v>1</v>
      </c>
      <c r="E529" s="117" t="s">
        <v>149</v>
      </c>
      <c r="F529" s="64" t="s">
        <v>2998</v>
      </c>
      <c r="G529" s="64" t="s">
        <v>2999</v>
      </c>
      <c r="H529" s="64">
        <v>4</v>
      </c>
      <c r="I529" s="3"/>
    </row>
    <row r="530" spans="1:9" ht="38.25">
      <c r="A530" s="64" t="s">
        <v>200</v>
      </c>
      <c r="B530" s="64" t="s">
        <v>3949</v>
      </c>
      <c r="C530" s="64" t="s">
        <v>3950</v>
      </c>
      <c r="D530" s="64" t="s">
        <v>863</v>
      </c>
      <c r="E530" s="117" t="s">
        <v>1024</v>
      </c>
      <c r="F530" s="117" t="s">
        <v>1024</v>
      </c>
      <c r="G530" s="117" t="s">
        <v>3953</v>
      </c>
      <c r="H530" s="64">
        <v>4</v>
      </c>
      <c r="I530" s="3"/>
    </row>
    <row r="531" spans="1:9" ht="25.5">
      <c r="A531" s="46" t="s">
        <v>1025</v>
      </c>
      <c r="B531" s="61" t="s">
        <v>3954</v>
      </c>
      <c r="C531" s="61" t="s">
        <v>3955</v>
      </c>
      <c r="D531" s="61" t="s">
        <v>717</v>
      </c>
      <c r="E531" s="63" t="s">
        <v>1026</v>
      </c>
      <c r="F531" s="61" t="s">
        <v>3956</v>
      </c>
      <c r="G531" s="61" t="s">
        <v>3957</v>
      </c>
      <c r="H531" s="47">
        <v>1</v>
      </c>
      <c r="I531" s="3">
        <v>0.21</v>
      </c>
    </row>
    <row r="532" spans="1:9" ht="25.5">
      <c r="A532" s="46" t="s">
        <v>1025</v>
      </c>
      <c r="B532" s="46" t="s">
        <v>3958</v>
      </c>
      <c r="C532" s="46" t="s">
        <v>3959</v>
      </c>
      <c r="D532" s="61" t="s">
        <v>863</v>
      </c>
      <c r="E532" s="80" t="s">
        <v>1027</v>
      </c>
      <c r="F532" s="61" t="s">
        <v>3461</v>
      </c>
      <c r="G532" s="61" t="s">
        <v>2768</v>
      </c>
      <c r="H532" s="46">
        <v>4</v>
      </c>
      <c r="I532" s="3"/>
    </row>
    <row r="533" spans="1:9" ht="25.5">
      <c r="A533" s="4" t="s">
        <v>604</v>
      </c>
      <c r="B533" s="4" t="s">
        <v>3960</v>
      </c>
      <c r="C533" s="4" t="s">
        <v>3961</v>
      </c>
      <c r="D533" s="4" t="s">
        <v>0</v>
      </c>
      <c r="E533" s="4" t="s">
        <v>1028</v>
      </c>
      <c r="F533" s="4" t="s">
        <v>3962</v>
      </c>
      <c r="G533" s="4" t="s">
        <v>3963</v>
      </c>
      <c r="H533" s="67">
        <v>1</v>
      </c>
      <c r="I533" s="3">
        <v>0.19</v>
      </c>
    </row>
    <row r="534" spans="1:9" ht="25.5">
      <c r="A534" s="4" t="s">
        <v>604</v>
      </c>
      <c r="B534" s="4" t="s">
        <v>3960</v>
      </c>
      <c r="C534" s="4" t="s">
        <v>3964</v>
      </c>
      <c r="D534" s="4" t="s">
        <v>1</v>
      </c>
      <c r="E534" s="4" t="s">
        <v>26</v>
      </c>
      <c r="F534" s="4" t="s">
        <v>2767</v>
      </c>
      <c r="G534" s="4" t="s">
        <v>3342</v>
      </c>
      <c r="H534" s="67">
        <v>2</v>
      </c>
      <c r="I534" s="3"/>
    </row>
    <row r="535" spans="1:9" ht="25.5">
      <c r="A535" s="4" t="s">
        <v>239</v>
      </c>
      <c r="B535" s="4" t="s">
        <v>3965</v>
      </c>
      <c r="C535" s="4" t="s">
        <v>3966</v>
      </c>
      <c r="D535" s="4" t="s">
        <v>0</v>
      </c>
      <c r="E535" s="35" t="s">
        <v>240</v>
      </c>
      <c r="F535" s="118" t="s">
        <v>3967</v>
      </c>
      <c r="G535" s="118" t="s">
        <v>3968</v>
      </c>
      <c r="H535" s="4">
        <v>1</v>
      </c>
      <c r="I535" s="3">
        <v>0.19</v>
      </c>
    </row>
    <row r="536" spans="1:9" ht="38.25">
      <c r="A536" s="4" t="s">
        <v>205</v>
      </c>
      <c r="B536" s="4" t="s">
        <v>3969</v>
      </c>
      <c r="C536" s="4" t="s">
        <v>3970</v>
      </c>
      <c r="D536" s="4" t="s">
        <v>0</v>
      </c>
      <c r="E536" s="4" t="s">
        <v>1029</v>
      </c>
      <c r="F536" s="4" t="s">
        <v>3971</v>
      </c>
      <c r="G536" s="4" t="s">
        <v>3972</v>
      </c>
      <c r="H536" s="4">
        <v>1</v>
      </c>
      <c r="I536" s="3">
        <v>0.13</v>
      </c>
    </row>
    <row r="537" spans="1:9" ht="38.25">
      <c r="A537" s="4" t="s">
        <v>205</v>
      </c>
      <c r="B537" s="4" t="s">
        <v>3969</v>
      </c>
      <c r="C537" s="4" t="s">
        <v>3970</v>
      </c>
      <c r="D537" s="4" t="s">
        <v>1</v>
      </c>
      <c r="E537" s="4" t="s">
        <v>1030</v>
      </c>
      <c r="F537" s="4" t="s">
        <v>3973</v>
      </c>
      <c r="G537" s="4" t="s">
        <v>3974</v>
      </c>
      <c r="H537" s="4">
        <v>1</v>
      </c>
      <c r="I537" s="3"/>
    </row>
    <row r="538" spans="1:9" ht="25.5">
      <c r="A538" s="4" t="s">
        <v>205</v>
      </c>
      <c r="B538" s="4" t="s">
        <v>3969</v>
      </c>
      <c r="C538" s="4" t="s">
        <v>3975</v>
      </c>
      <c r="D538" s="4" t="s">
        <v>2</v>
      </c>
      <c r="E538" s="4" t="s">
        <v>16</v>
      </c>
      <c r="F538" s="4" t="s">
        <v>3976</v>
      </c>
      <c r="G538" s="4" t="s">
        <v>3977</v>
      </c>
      <c r="H538" s="4">
        <v>1</v>
      </c>
      <c r="I538" s="3"/>
    </row>
    <row r="539" spans="1:9" ht="38.25">
      <c r="A539" s="4" t="s">
        <v>205</v>
      </c>
      <c r="B539" s="4" t="s">
        <v>3969</v>
      </c>
      <c r="C539" s="4" t="s">
        <v>3970</v>
      </c>
      <c r="D539" s="4"/>
      <c r="E539" s="4" t="s">
        <v>206</v>
      </c>
      <c r="F539" s="4" t="s">
        <v>3978</v>
      </c>
      <c r="G539" s="4" t="s">
        <v>3979</v>
      </c>
      <c r="H539" s="4">
        <v>1</v>
      </c>
      <c r="I539" s="3"/>
    </row>
    <row r="540" spans="1:9" ht="25.5">
      <c r="A540" s="4" t="s">
        <v>207</v>
      </c>
      <c r="B540" s="4" t="s">
        <v>3980</v>
      </c>
      <c r="C540" s="4" t="s">
        <v>3981</v>
      </c>
      <c r="D540" s="4" t="s">
        <v>0</v>
      </c>
      <c r="E540" s="4" t="s">
        <v>208</v>
      </c>
      <c r="F540" s="4" t="s">
        <v>3982</v>
      </c>
      <c r="G540" s="4" t="s">
        <v>3983</v>
      </c>
      <c r="H540" s="4">
        <v>1</v>
      </c>
      <c r="I540" s="3">
        <v>0.74</v>
      </c>
    </row>
    <row r="541" spans="1:9" ht="25.5">
      <c r="A541" s="4" t="s">
        <v>207</v>
      </c>
      <c r="B541" s="4" t="s">
        <v>3980</v>
      </c>
      <c r="C541" s="4" t="s">
        <v>3984</v>
      </c>
      <c r="D541" s="4" t="s">
        <v>0</v>
      </c>
      <c r="E541" s="4" t="s">
        <v>1031</v>
      </c>
      <c r="F541" s="4" t="s">
        <v>3978</v>
      </c>
      <c r="G541" s="4" t="s">
        <v>3985</v>
      </c>
      <c r="H541" s="4">
        <v>1</v>
      </c>
      <c r="I541" s="3"/>
    </row>
    <row r="542" spans="1:9" ht="25.5">
      <c r="A542" s="4" t="s">
        <v>207</v>
      </c>
      <c r="B542" s="4" t="s">
        <v>3980</v>
      </c>
      <c r="C542" s="4" t="s">
        <v>3981</v>
      </c>
      <c r="D542" s="4" t="s">
        <v>1</v>
      </c>
      <c r="E542" s="4" t="s">
        <v>209</v>
      </c>
      <c r="F542" s="4" t="s">
        <v>2767</v>
      </c>
      <c r="G542" s="4" t="s">
        <v>2768</v>
      </c>
      <c r="H542" s="4">
        <v>8</v>
      </c>
      <c r="I542" s="3"/>
    </row>
    <row r="543" spans="1:9" ht="25.5">
      <c r="A543" s="4" t="s">
        <v>210</v>
      </c>
      <c r="B543" s="4" t="s">
        <v>3986</v>
      </c>
      <c r="C543" s="4" t="s">
        <v>3987</v>
      </c>
      <c r="D543" s="4" t="s">
        <v>0</v>
      </c>
      <c r="E543" s="4" t="s">
        <v>211</v>
      </c>
      <c r="F543" s="4" t="s">
        <v>3988</v>
      </c>
      <c r="G543" s="4" t="s">
        <v>3989</v>
      </c>
      <c r="H543" s="4">
        <v>2</v>
      </c>
      <c r="I543" s="3">
        <v>0.12</v>
      </c>
    </row>
    <row r="544" spans="1:9" ht="25.5">
      <c r="A544" s="4" t="s">
        <v>212</v>
      </c>
      <c r="B544" s="4" t="s">
        <v>3990</v>
      </c>
      <c r="C544" s="4" t="s">
        <v>3991</v>
      </c>
      <c r="D544" s="4" t="s">
        <v>0</v>
      </c>
      <c r="E544" s="4" t="s">
        <v>213</v>
      </c>
      <c r="F544" s="4" t="s">
        <v>3992</v>
      </c>
      <c r="G544" s="4" t="s">
        <v>3993</v>
      </c>
      <c r="H544" s="4">
        <v>1</v>
      </c>
      <c r="I544" s="3">
        <v>0.05</v>
      </c>
    </row>
    <row r="545" spans="1:9" ht="25.5">
      <c r="A545" s="4" t="s">
        <v>214</v>
      </c>
      <c r="B545" s="4" t="s">
        <v>3994</v>
      </c>
      <c r="C545" s="4" t="s">
        <v>3995</v>
      </c>
      <c r="D545" s="4" t="s">
        <v>0</v>
      </c>
      <c r="E545" s="4" t="s">
        <v>215</v>
      </c>
      <c r="F545" s="4" t="s">
        <v>3996</v>
      </c>
      <c r="G545" s="4" t="s">
        <v>3997</v>
      </c>
      <c r="H545" s="4">
        <v>1</v>
      </c>
      <c r="I545" s="3">
        <v>0.43</v>
      </c>
    </row>
    <row r="546" spans="1:9" ht="25.5">
      <c r="A546" s="4" t="s">
        <v>214</v>
      </c>
      <c r="B546" s="4" t="s">
        <v>3994</v>
      </c>
      <c r="C546" s="4" t="s">
        <v>3997</v>
      </c>
      <c r="D546" s="4" t="s">
        <v>1</v>
      </c>
      <c r="E546" s="4" t="s">
        <v>216</v>
      </c>
      <c r="F546" s="4" t="s">
        <v>3998</v>
      </c>
      <c r="G546" s="4" t="s">
        <v>3999</v>
      </c>
      <c r="H546" s="4">
        <v>1</v>
      </c>
      <c r="I546" s="3"/>
    </row>
    <row r="547" spans="1:9" ht="38.25">
      <c r="A547" s="4" t="s">
        <v>214</v>
      </c>
      <c r="B547" s="4" t="s">
        <v>3994</v>
      </c>
      <c r="C547" s="4" t="s">
        <v>3997</v>
      </c>
      <c r="D547" s="4" t="s">
        <v>2</v>
      </c>
      <c r="E547" s="4" t="s">
        <v>217</v>
      </c>
      <c r="F547" s="4" t="s">
        <v>3103</v>
      </c>
      <c r="G547" s="4" t="s">
        <v>3948</v>
      </c>
      <c r="H547" s="4">
        <v>3</v>
      </c>
      <c r="I547" s="3"/>
    </row>
    <row r="548" spans="1:9" ht="38.25">
      <c r="A548" s="4" t="s">
        <v>214</v>
      </c>
      <c r="B548" s="4" t="s">
        <v>3994</v>
      </c>
      <c r="C548" s="4" t="s">
        <v>3997</v>
      </c>
      <c r="D548" s="4" t="s">
        <v>7</v>
      </c>
      <c r="E548" s="4" t="s">
        <v>218</v>
      </c>
      <c r="F548" s="4" t="s">
        <v>3103</v>
      </c>
      <c r="G548" s="4" t="s">
        <v>3366</v>
      </c>
      <c r="H548" s="4">
        <v>1</v>
      </c>
      <c r="I548" s="3"/>
    </row>
    <row r="549" spans="1:9" ht="25.5">
      <c r="A549" s="4" t="s">
        <v>246</v>
      </c>
      <c r="B549" s="4" t="s">
        <v>4000</v>
      </c>
      <c r="C549" s="4" t="s">
        <v>4001</v>
      </c>
      <c r="D549" s="4" t="s">
        <v>0</v>
      </c>
      <c r="E549" s="4" t="s">
        <v>247</v>
      </c>
      <c r="F549" s="4" t="s">
        <v>4002</v>
      </c>
      <c r="G549" s="4" t="s">
        <v>4003</v>
      </c>
      <c r="H549" s="4">
        <v>4</v>
      </c>
      <c r="I549" s="3">
        <v>0.6</v>
      </c>
    </row>
    <row r="550" spans="1:9" ht="25.5">
      <c r="A550" s="4" t="s">
        <v>246</v>
      </c>
      <c r="B550" s="4" t="s">
        <v>4000</v>
      </c>
      <c r="C550" s="4" t="s">
        <v>4001</v>
      </c>
      <c r="D550" s="4" t="s">
        <v>1</v>
      </c>
      <c r="E550" s="4" t="s">
        <v>248</v>
      </c>
      <c r="F550" s="4" t="s">
        <v>4004</v>
      </c>
      <c r="G550" s="4" t="s">
        <v>4005</v>
      </c>
      <c r="H550" s="4">
        <v>8</v>
      </c>
      <c r="I550" s="3"/>
    </row>
    <row r="551" spans="1:9" ht="25.5">
      <c r="A551" s="4" t="s">
        <v>251</v>
      </c>
      <c r="B551" s="4" t="s">
        <v>4006</v>
      </c>
      <c r="C551" s="4" t="s">
        <v>4007</v>
      </c>
      <c r="D551" s="4" t="s">
        <v>0</v>
      </c>
      <c r="E551" s="4" t="s">
        <v>252</v>
      </c>
      <c r="F551" s="4" t="s">
        <v>4008</v>
      </c>
      <c r="G551" s="4" t="s">
        <v>4009</v>
      </c>
      <c r="H551" s="4">
        <v>1</v>
      </c>
      <c r="I551" s="3">
        <v>0.15</v>
      </c>
    </row>
    <row r="552" spans="1:9" ht="25.5">
      <c r="A552" s="4" t="s">
        <v>251</v>
      </c>
      <c r="B552" s="4" t="s">
        <v>4006</v>
      </c>
      <c r="C552" s="4" t="s">
        <v>4010</v>
      </c>
      <c r="D552" s="4" t="s">
        <v>1</v>
      </c>
      <c r="E552" s="4" t="s">
        <v>253</v>
      </c>
      <c r="F552" s="4" t="s">
        <v>3701</v>
      </c>
      <c r="G552" s="4" t="s">
        <v>2738</v>
      </c>
      <c r="H552" s="4">
        <v>2</v>
      </c>
      <c r="I552" s="3"/>
    </row>
    <row r="553" spans="1:9" ht="25.5">
      <c r="A553" s="4" t="s">
        <v>506</v>
      </c>
      <c r="B553" s="4" t="s">
        <v>4011</v>
      </c>
      <c r="C553" s="4" t="s">
        <v>4012</v>
      </c>
      <c r="D553" s="4" t="s">
        <v>0</v>
      </c>
      <c r="E553" s="4" t="s">
        <v>507</v>
      </c>
      <c r="F553" s="4" t="s">
        <v>4013</v>
      </c>
      <c r="G553" s="4" t="s">
        <v>4014</v>
      </c>
      <c r="H553" s="4">
        <v>1</v>
      </c>
      <c r="I553" s="3">
        <v>0.56000000000000005</v>
      </c>
    </row>
    <row r="554" spans="1:9" ht="25.5">
      <c r="A554" s="4" t="s">
        <v>506</v>
      </c>
      <c r="B554" s="4" t="s">
        <v>4011</v>
      </c>
      <c r="C554" s="4" t="s">
        <v>4015</v>
      </c>
      <c r="D554" s="4" t="s">
        <v>0</v>
      </c>
      <c r="E554" s="4" t="s">
        <v>508</v>
      </c>
      <c r="F554" s="4" t="s">
        <v>4016</v>
      </c>
      <c r="G554" s="4" t="s">
        <v>4017</v>
      </c>
      <c r="H554" s="4">
        <v>1</v>
      </c>
      <c r="I554" s="3"/>
    </row>
    <row r="555" spans="1:9" ht="38.25">
      <c r="A555" s="4" t="s">
        <v>506</v>
      </c>
      <c r="B555" s="4" t="s">
        <v>4011</v>
      </c>
      <c r="C555" s="4" t="s">
        <v>4018</v>
      </c>
      <c r="D555" s="4" t="s">
        <v>1</v>
      </c>
      <c r="E555" s="4" t="s">
        <v>509</v>
      </c>
      <c r="F555" s="4" t="s">
        <v>4019</v>
      </c>
      <c r="G555" s="4" t="s">
        <v>4020</v>
      </c>
      <c r="H555" s="4">
        <v>6</v>
      </c>
      <c r="I555" s="3"/>
    </row>
    <row r="556" spans="1:9" ht="25.5">
      <c r="A556" s="4" t="s">
        <v>510</v>
      </c>
      <c r="B556" s="4" t="s">
        <v>4021</v>
      </c>
      <c r="C556" s="4" t="s">
        <v>4022</v>
      </c>
      <c r="D556" s="4" t="s">
        <v>0</v>
      </c>
      <c r="E556" s="4" t="s">
        <v>511</v>
      </c>
      <c r="F556" s="4" t="s">
        <v>4023</v>
      </c>
      <c r="G556" s="4" t="s">
        <v>4024</v>
      </c>
      <c r="H556" s="4">
        <v>4</v>
      </c>
      <c r="I556" s="3">
        <v>0.32</v>
      </c>
    </row>
    <row r="557" spans="1:9" ht="25.5">
      <c r="A557" s="4" t="s">
        <v>512</v>
      </c>
      <c r="B557" s="4" t="s">
        <v>4025</v>
      </c>
      <c r="C557" s="4" t="s">
        <v>4026</v>
      </c>
      <c r="D557" s="4" t="s">
        <v>0</v>
      </c>
      <c r="E557" s="4" t="s">
        <v>513</v>
      </c>
      <c r="F557" s="4" t="s">
        <v>4027</v>
      </c>
      <c r="G557" s="4" t="s">
        <v>4028</v>
      </c>
      <c r="H557" s="4">
        <v>1</v>
      </c>
      <c r="I557" s="3">
        <v>0.56000000000000005</v>
      </c>
    </row>
    <row r="558" spans="1:9" ht="25.5">
      <c r="A558" s="4" t="s">
        <v>512</v>
      </c>
      <c r="B558" s="4" t="s">
        <v>4025</v>
      </c>
      <c r="C558" s="4" t="s">
        <v>4029</v>
      </c>
      <c r="D558" s="4" t="s">
        <v>0</v>
      </c>
      <c r="E558" s="4" t="s">
        <v>514</v>
      </c>
      <c r="F558" s="4" t="s">
        <v>4030</v>
      </c>
      <c r="G558" s="4" t="s">
        <v>4031</v>
      </c>
      <c r="H558" s="4">
        <v>1</v>
      </c>
      <c r="I558" s="3"/>
    </row>
    <row r="559" spans="1:9" ht="25.5">
      <c r="A559" s="4" t="s">
        <v>512</v>
      </c>
      <c r="B559" s="4" t="s">
        <v>4025</v>
      </c>
      <c r="C559" s="4" t="s">
        <v>4029</v>
      </c>
      <c r="D559" s="4" t="s">
        <v>1</v>
      </c>
      <c r="E559" s="4" t="s">
        <v>509</v>
      </c>
      <c r="F559" s="4" t="s">
        <v>4019</v>
      </c>
      <c r="G559" s="4" t="s">
        <v>4032</v>
      </c>
      <c r="H559" s="4">
        <v>6</v>
      </c>
      <c r="I559" s="3"/>
    </row>
    <row r="560" spans="1:9" ht="25.5">
      <c r="A560" s="77" t="s">
        <v>562</v>
      </c>
      <c r="B560" s="77" t="s">
        <v>4033</v>
      </c>
      <c r="C560" s="77" t="s">
        <v>4034</v>
      </c>
      <c r="D560" s="119" t="s">
        <v>0</v>
      </c>
      <c r="E560" s="33" t="s">
        <v>1032</v>
      </c>
      <c r="F560" s="33" t="s">
        <v>4035</v>
      </c>
      <c r="G560" s="33" t="s">
        <v>4036</v>
      </c>
      <c r="H560" s="4">
        <v>0</v>
      </c>
      <c r="I560" s="3">
        <v>0.28000000000000003</v>
      </c>
    </row>
    <row r="561" spans="1:9" ht="38.25">
      <c r="A561" s="77" t="s">
        <v>562</v>
      </c>
      <c r="B561" s="77" t="s">
        <v>4033</v>
      </c>
      <c r="C561" s="77" t="s">
        <v>4034</v>
      </c>
      <c r="D561" s="119" t="s">
        <v>1</v>
      </c>
      <c r="E561" s="33" t="s">
        <v>126</v>
      </c>
      <c r="F561" s="33" t="s">
        <v>3103</v>
      </c>
      <c r="G561" s="33" t="s">
        <v>3366</v>
      </c>
      <c r="H561" s="4">
        <v>0</v>
      </c>
      <c r="I561" s="3"/>
    </row>
    <row r="562" spans="1:9" ht="38.25">
      <c r="A562" s="77" t="s">
        <v>1033</v>
      </c>
      <c r="B562" s="77" t="s">
        <v>4037</v>
      </c>
      <c r="C562" s="77" t="s">
        <v>4038</v>
      </c>
      <c r="D562" s="82" t="s">
        <v>0</v>
      </c>
      <c r="E562" s="4" t="s">
        <v>125</v>
      </c>
      <c r="F562" s="4" t="s">
        <v>4039</v>
      </c>
      <c r="G562" s="4" t="s">
        <v>4038</v>
      </c>
      <c r="H562" s="4">
        <v>1</v>
      </c>
      <c r="I562" s="3">
        <v>0.55000000000000004</v>
      </c>
    </row>
    <row r="563" spans="1:9" ht="38.25">
      <c r="A563" s="77" t="s">
        <v>124</v>
      </c>
      <c r="B563" s="77" t="s">
        <v>4037</v>
      </c>
      <c r="C563" s="77" t="s">
        <v>4038</v>
      </c>
      <c r="D563" s="82" t="s">
        <v>1</v>
      </c>
      <c r="E563" s="4" t="s">
        <v>126</v>
      </c>
      <c r="F563" s="4" t="s">
        <v>3103</v>
      </c>
      <c r="G563" s="4" t="s">
        <v>3366</v>
      </c>
      <c r="H563" s="4">
        <v>3</v>
      </c>
      <c r="I563" s="3"/>
    </row>
    <row r="564" spans="1:9" ht="38.25">
      <c r="A564" s="77" t="s">
        <v>124</v>
      </c>
      <c r="B564" s="77" t="s">
        <v>4037</v>
      </c>
      <c r="C564" s="77" t="s">
        <v>4038</v>
      </c>
      <c r="D564" s="82" t="s">
        <v>2</v>
      </c>
      <c r="E564" s="33" t="s">
        <v>4</v>
      </c>
      <c r="F564" s="33" t="s">
        <v>3103</v>
      </c>
      <c r="G564" s="33" t="s">
        <v>3366</v>
      </c>
      <c r="H564" s="4">
        <v>3</v>
      </c>
      <c r="I564" s="3"/>
    </row>
    <row r="565" spans="1:9" ht="25.5">
      <c r="A565" s="4" t="s">
        <v>1034</v>
      </c>
      <c r="B565" s="4" t="s">
        <v>4040</v>
      </c>
      <c r="C565" s="4" t="s">
        <v>4041</v>
      </c>
      <c r="D565" s="4" t="s">
        <v>0</v>
      </c>
      <c r="E565" s="4" t="s">
        <v>85</v>
      </c>
      <c r="F565" s="4" t="s">
        <v>2963</v>
      </c>
      <c r="G565" s="4" t="s">
        <v>3140</v>
      </c>
      <c r="H565" s="4">
        <v>3</v>
      </c>
      <c r="I565" s="3">
        <v>0.28999999999999998</v>
      </c>
    </row>
    <row r="566" spans="1:9" ht="25.5">
      <c r="A566" s="4" t="s">
        <v>303</v>
      </c>
      <c r="B566" s="4" t="s">
        <v>4040</v>
      </c>
      <c r="C566" s="4" t="s">
        <v>4041</v>
      </c>
      <c r="D566" s="4" t="s">
        <v>1</v>
      </c>
      <c r="E566" s="34" t="s">
        <v>1035</v>
      </c>
      <c r="F566" s="4" t="s">
        <v>4042</v>
      </c>
      <c r="G566" s="4" t="s">
        <v>4043</v>
      </c>
      <c r="H566" s="4" t="s">
        <v>41</v>
      </c>
      <c r="I566" s="3"/>
    </row>
    <row r="567" spans="1:9" ht="25.5">
      <c r="A567" s="4" t="s">
        <v>303</v>
      </c>
      <c r="B567" s="4" t="s">
        <v>4040</v>
      </c>
      <c r="C567" s="4" t="s">
        <v>4041</v>
      </c>
      <c r="D567" s="4" t="s">
        <v>2</v>
      </c>
      <c r="E567" s="4" t="s">
        <v>86</v>
      </c>
      <c r="F567" s="4" t="s">
        <v>3077</v>
      </c>
      <c r="G567" s="4" t="s">
        <v>4044</v>
      </c>
      <c r="H567" s="4">
        <v>3</v>
      </c>
      <c r="I567" s="3"/>
    </row>
    <row r="568" spans="1:9" ht="25.5">
      <c r="A568" s="4" t="s">
        <v>254</v>
      </c>
      <c r="B568" s="4" t="s">
        <v>4045</v>
      </c>
      <c r="C568" s="4" t="s">
        <v>4046</v>
      </c>
      <c r="D568" s="4" t="s">
        <v>0</v>
      </c>
      <c r="E568" s="4" t="s">
        <v>255</v>
      </c>
      <c r="F568" s="4" t="s">
        <v>4047</v>
      </c>
      <c r="G568" s="4" t="s">
        <v>4048</v>
      </c>
      <c r="H568" s="4">
        <v>2</v>
      </c>
      <c r="I568" s="3">
        <v>0.24</v>
      </c>
    </row>
    <row r="569" spans="1:9" ht="25.5">
      <c r="A569" s="4" t="s">
        <v>254</v>
      </c>
      <c r="B569" s="4" t="s">
        <v>4045</v>
      </c>
      <c r="C569" s="4" t="s">
        <v>4046</v>
      </c>
      <c r="D569" s="4" t="s">
        <v>1</v>
      </c>
      <c r="E569" s="4" t="s">
        <v>256</v>
      </c>
      <c r="F569" s="4" t="s">
        <v>4049</v>
      </c>
      <c r="G569" s="4" t="s">
        <v>4050</v>
      </c>
      <c r="H569" s="4">
        <v>2</v>
      </c>
      <c r="I569" s="3"/>
    </row>
    <row r="570" spans="1:9" ht="25.5">
      <c r="A570" s="4" t="s">
        <v>166</v>
      </c>
      <c r="B570" s="4" t="s">
        <v>4051</v>
      </c>
      <c r="C570" s="4" t="s">
        <v>4052</v>
      </c>
      <c r="D570" s="4" t="s">
        <v>0</v>
      </c>
      <c r="E570" s="4" t="s">
        <v>167</v>
      </c>
      <c r="F570" s="4" t="s">
        <v>4053</v>
      </c>
      <c r="G570" s="4" t="s">
        <v>4054</v>
      </c>
      <c r="H570" s="4">
        <v>2</v>
      </c>
      <c r="I570" s="3">
        <v>0.2</v>
      </c>
    </row>
    <row r="571" spans="1:9" ht="38.25">
      <c r="A571" s="4" t="s">
        <v>166</v>
      </c>
      <c r="B571" s="4" t="s">
        <v>4051</v>
      </c>
      <c r="C571" s="4" t="s">
        <v>4052</v>
      </c>
      <c r="D571" s="4" t="s">
        <v>1</v>
      </c>
      <c r="E571" s="69" t="s">
        <v>3</v>
      </c>
      <c r="F571" s="4" t="s">
        <v>3103</v>
      </c>
      <c r="G571" s="4" t="s">
        <v>4055</v>
      </c>
      <c r="H571" s="4">
        <v>2</v>
      </c>
      <c r="I571" s="3"/>
    </row>
    <row r="572" spans="1:9" ht="25.5">
      <c r="A572" s="4" t="s">
        <v>168</v>
      </c>
      <c r="B572" s="4" t="s">
        <v>4056</v>
      </c>
      <c r="C572" s="4" t="s">
        <v>4057</v>
      </c>
      <c r="D572" s="4" t="s">
        <v>0</v>
      </c>
      <c r="E572" s="4" t="s">
        <v>169</v>
      </c>
      <c r="F572" s="4" t="s">
        <v>4058</v>
      </c>
      <c r="G572" s="4" t="s">
        <v>4059</v>
      </c>
      <c r="H572" s="4">
        <v>2</v>
      </c>
      <c r="I572" s="3">
        <v>0.22</v>
      </c>
    </row>
    <row r="573" spans="1:9" ht="25.5">
      <c r="A573" s="4" t="s">
        <v>236</v>
      </c>
      <c r="B573" s="4" t="s">
        <v>4060</v>
      </c>
      <c r="C573" s="4" t="s">
        <v>4061</v>
      </c>
      <c r="D573" s="4" t="s">
        <v>0</v>
      </c>
      <c r="E573" s="4" t="s">
        <v>237</v>
      </c>
      <c r="F573" s="4" t="s">
        <v>4062</v>
      </c>
      <c r="G573" s="4" t="s">
        <v>4063</v>
      </c>
      <c r="H573" s="4">
        <v>1</v>
      </c>
      <c r="I573" s="3">
        <v>0.36</v>
      </c>
    </row>
    <row r="574" spans="1:9" ht="25.5">
      <c r="A574" s="4" t="s">
        <v>236</v>
      </c>
      <c r="B574" s="4" t="s">
        <v>4060</v>
      </c>
      <c r="C574" s="4" t="s">
        <v>4061</v>
      </c>
      <c r="D574" s="4" t="s">
        <v>0</v>
      </c>
      <c r="E574" s="4" t="s">
        <v>238</v>
      </c>
      <c r="F574" s="4" t="s">
        <v>4064</v>
      </c>
      <c r="G574" s="4" t="s">
        <v>4065</v>
      </c>
      <c r="H574" s="4">
        <v>1</v>
      </c>
      <c r="I574" s="3"/>
    </row>
    <row r="575" spans="1:9" ht="38.25">
      <c r="A575" s="4" t="s">
        <v>236</v>
      </c>
      <c r="B575" s="4" t="s">
        <v>4060</v>
      </c>
      <c r="C575" s="4" t="s">
        <v>4061</v>
      </c>
      <c r="D575" s="4" t="s">
        <v>1</v>
      </c>
      <c r="E575" s="4" t="s">
        <v>126</v>
      </c>
      <c r="F575" s="4" t="s">
        <v>3103</v>
      </c>
      <c r="G575" s="4" t="s">
        <v>3104</v>
      </c>
      <c r="H575" s="4">
        <v>2</v>
      </c>
      <c r="I575" s="3"/>
    </row>
    <row r="576" spans="1:9" ht="25.5">
      <c r="A576" s="4" t="s">
        <v>262</v>
      </c>
      <c r="B576" s="4" t="s">
        <v>4066</v>
      </c>
      <c r="C576" s="4" t="s">
        <v>4067</v>
      </c>
      <c r="D576" s="4" t="s">
        <v>0</v>
      </c>
      <c r="E576" s="4" t="s">
        <v>263</v>
      </c>
      <c r="F576" s="4" t="s">
        <v>4068</v>
      </c>
      <c r="G576" s="4" t="s">
        <v>4067</v>
      </c>
      <c r="H576" s="4">
        <v>2</v>
      </c>
      <c r="I576" s="3">
        <v>0.26</v>
      </c>
    </row>
    <row r="577" spans="1:9" ht="51">
      <c r="A577" s="35" t="s">
        <v>266</v>
      </c>
      <c r="B577" s="35" t="s">
        <v>4069</v>
      </c>
      <c r="C577" s="35" t="s">
        <v>4070</v>
      </c>
      <c r="D577" s="4" t="s">
        <v>0</v>
      </c>
      <c r="E577" s="34" t="s">
        <v>267</v>
      </c>
      <c r="F577" s="34" t="s">
        <v>4071</v>
      </c>
      <c r="G577" s="34" t="s">
        <v>4072</v>
      </c>
      <c r="H577" s="4">
        <v>1</v>
      </c>
      <c r="I577" s="3">
        <v>0.28999999999999998</v>
      </c>
    </row>
    <row r="578" spans="1:9" ht="51">
      <c r="A578" s="35" t="s">
        <v>266</v>
      </c>
      <c r="B578" s="35" t="s">
        <v>4069</v>
      </c>
      <c r="C578" s="35" t="s">
        <v>4070</v>
      </c>
      <c r="D578" s="4" t="s">
        <v>1</v>
      </c>
      <c r="E578" s="34" t="s">
        <v>13</v>
      </c>
      <c r="F578" s="34" t="s">
        <v>2836</v>
      </c>
      <c r="G578" s="34" t="s">
        <v>2738</v>
      </c>
      <c r="H578" s="4">
        <v>4</v>
      </c>
      <c r="I578" s="3"/>
    </row>
    <row r="579" spans="1:9" ht="38.25">
      <c r="A579" s="4" t="s">
        <v>268</v>
      </c>
      <c r="B579" s="4" t="s">
        <v>4073</v>
      </c>
      <c r="C579" s="4" t="s">
        <v>4074</v>
      </c>
      <c r="D579" s="4" t="s">
        <v>0</v>
      </c>
      <c r="E579" s="4" t="s">
        <v>269</v>
      </c>
      <c r="F579" s="4" t="s">
        <v>4075</v>
      </c>
      <c r="G579" s="4" t="s">
        <v>4076</v>
      </c>
      <c r="H579" s="36">
        <v>1</v>
      </c>
      <c r="I579" s="3">
        <v>0.34</v>
      </c>
    </row>
    <row r="580" spans="1:9" ht="51">
      <c r="A580" s="4" t="s">
        <v>268</v>
      </c>
      <c r="B580" s="4" t="s">
        <v>4073</v>
      </c>
      <c r="C580" s="4" t="s">
        <v>4077</v>
      </c>
      <c r="D580" s="4" t="s">
        <v>1</v>
      </c>
      <c r="E580" s="4" t="s">
        <v>270</v>
      </c>
      <c r="F580" s="4" t="s">
        <v>4078</v>
      </c>
      <c r="G580" s="4" t="s">
        <v>4079</v>
      </c>
      <c r="H580" s="36">
        <v>3</v>
      </c>
      <c r="I580" s="3"/>
    </row>
    <row r="581" spans="1:9" ht="38.25">
      <c r="A581" s="4" t="s">
        <v>268</v>
      </c>
      <c r="B581" s="4" t="s">
        <v>4073</v>
      </c>
      <c r="C581" s="4" t="s">
        <v>4074</v>
      </c>
      <c r="D581" s="4" t="s">
        <v>2</v>
      </c>
      <c r="E581" s="4" t="s">
        <v>271</v>
      </c>
      <c r="F581" s="4" t="s">
        <v>2836</v>
      </c>
      <c r="G581" s="4" t="s">
        <v>4080</v>
      </c>
      <c r="H581" s="36">
        <v>1</v>
      </c>
      <c r="I581" s="3"/>
    </row>
    <row r="582" spans="1:9" ht="38.25">
      <c r="A582" s="4" t="s">
        <v>272</v>
      </c>
      <c r="B582" s="4" t="s">
        <v>4081</v>
      </c>
      <c r="C582" s="4" t="s">
        <v>4082</v>
      </c>
      <c r="D582" s="4" t="s">
        <v>0</v>
      </c>
      <c r="E582" s="4" t="s">
        <v>273</v>
      </c>
      <c r="F582" s="4" t="s">
        <v>4083</v>
      </c>
      <c r="G582" s="4" t="s">
        <v>4084</v>
      </c>
      <c r="H582" s="36">
        <v>1</v>
      </c>
      <c r="I582" s="3">
        <v>0.13</v>
      </c>
    </row>
    <row r="583" spans="1:9" ht="25.5">
      <c r="A583" s="120" t="s">
        <v>367</v>
      </c>
      <c r="B583" s="4" t="s">
        <v>4085</v>
      </c>
      <c r="C583" s="4" t="s">
        <v>4086</v>
      </c>
      <c r="D583" s="120" t="s">
        <v>0</v>
      </c>
      <c r="E583" s="118" t="s">
        <v>1036</v>
      </c>
      <c r="F583" s="35" t="s">
        <v>4087</v>
      </c>
      <c r="G583" s="35" t="s">
        <v>4088</v>
      </c>
      <c r="H583" s="4">
        <v>1</v>
      </c>
      <c r="I583" s="3">
        <v>0.62</v>
      </c>
    </row>
    <row r="584" spans="1:9" ht="25.5">
      <c r="A584" s="120" t="s">
        <v>367</v>
      </c>
      <c r="B584" s="120" t="s">
        <v>4085</v>
      </c>
      <c r="C584" s="120" t="s">
        <v>4086</v>
      </c>
      <c r="D584" s="120" t="s">
        <v>1</v>
      </c>
      <c r="E584" s="118" t="s">
        <v>86</v>
      </c>
      <c r="F584" s="35" t="s">
        <v>2791</v>
      </c>
      <c r="G584" s="35" t="s">
        <v>2792</v>
      </c>
      <c r="H584" s="121">
        <v>6</v>
      </c>
      <c r="I584" s="3"/>
    </row>
    <row r="585" spans="1:9" ht="25.5">
      <c r="A585" s="120" t="s">
        <v>1037</v>
      </c>
      <c r="B585" s="120" t="s">
        <v>4085</v>
      </c>
      <c r="C585" s="120" t="s">
        <v>4086</v>
      </c>
      <c r="D585" s="120" t="s">
        <v>2</v>
      </c>
      <c r="E585" s="118" t="s">
        <v>13</v>
      </c>
      <c r="F585" s="35" t="s">
        <v>3372</v>
      </c>
      <c r="G585" s="35" t="s">
        <v>3379</v>
      </c>
      <c r="H585" s="121">
        <v>2</v>
      </c>
      <c r="I585" s="3"/>
    </row>
    <row r="586" spans="1:9" ht="25.5">
      <c r="A586" s="3" t="s">
        <v>352</v>
      </c>
      <c r="B586" s="122" t="s">
        <v>4089</v>
      </c>
      <c r="C586" s="122" t="s">
        <v>4090</v>
      </c>
      <c r="D586" s="122" t="s">
        <v>0</v>
      </c>
      <c r="E586" s="123" t="s">
        <v>353</v>
      </c>
      <c r="F586" s="47" t="s">
        <v>4091</v>
      </c>
      <c r="G586" s="47" t="s">
        <v>4092</v>
      </c>
      <c r="H586" s="3">
        <v>4</v>
      </c>
      <c r="I586" s="3">
        <v>0.2</v>
      </c>
    </row>
    <row r="587" spans="1:9" ht="25.5">
      <c r="A587" s="64" t="s">
        <v>1038</v>
      </c>
      <c r="B587" s="64" t="s">
        <v>4093</v>
      </c>
      <c r="C587" s="64" t="s">
        <v>4094</v>
      </c>
      <c r="D587" s="65" t="s">
        <v>721</v>
      </c>
      <c r="E587" s="62" t="s">
        <v>1039</v>
      </c>
      <c r="F587" s="62" t="s">
        <v>4095</v>
      </c>
      <c r="G587" s="62" t="s">
        <v>4096</v>
      </c>
      <c r="H587" s="122" t="s">
        <v>41</v>
      </c>
      <c r="I587" s="3">
        <v>0.36</v>
      </c>
    </row>
    <row r="588" spans="1:9" ht="25.5">
      <c r="A588" s="64" t="s">
        <v>1038</v>
      </c>
      <c r="B588" s="64" t="s">
        <v>4093</v>
      </c>
      <c r="C588" s="64" t="s">
        <v>4094</v>
      </c>
      <c r="D588" s="65" t="s">
        <v>721</v>
      </c>
      <c r="E588" s="76" t="s">
        <v>1040</v>
      </c>
      <c r="F588" s="76" t="s">
        <v>4097</v>
      </c>
      <c r="G588" s="76" t="s">
        <v>4098</v>
      </c>
      <c r="H588" s="122" t="s">
        <v>41</v>
      </c>
      <c r="I588" s="3"/>
    </row>
    <row r="589" spans="1:9" ht="25.5">
      <c r="A589" s="64" t="s">
        <v>1038</v>
      </c>
      <c r="B589" s="64" t="s">
        <v>4093</v>
      </c>
      <c r="C589" s="64" t="s">
        <v>4094</v>
      </c>
      <c r="D589" s="65" t="s">
        <v>701</v>
      </c>
      <c r="E589" s="66" t="s">
        <v>1041</v>
      </c>
      <c r="F589" s="66" t="s">
        <v>3325</v>
      </c>
      <c r="G589" s="66" t="s">
        <v>3025</v>
      </c>
      <c r="H589" s="67">
        <v>2</v>
      </c>
      <c r="I589" s="3"/>
    </row>
    <row r="590" spans="1:9" ht="38.25">
      <c r="A590" s="65" t="s">
        <v>1042</v>
      </c>
      <c r="B590" s="27" t="s">
        <v>4099</v>
      </c>
      <c r="C590" s="27" t="s">
        <v>4100</v>
      </c>
      <c r="D590" s="124" t="s">
        <v>697</v>
      </c>
      <c r="E590" s="125" t="s">
        <v>610</v>
      </c>
      <c r="F590" s="65" t="s">
        <v>4101</v>
      </c>
      <c r="G590" s="65" t="s">
        <v>4102</v>
      </c>
      <c r="H590" s="65">
        <v>1</v>
      </c>
      <c r="I590" s="3">
        <v>0.15</v>
      </c>
    </row>
    <row r="591" spans="1:9" ht="38.25">
      <c r="A591" s="65" t="s">
        <v>1042</v>
      </c>
      <c r="B591" s="27" t="s">
        <v>4099</v>
      </c>
      <c r="C591" s="27" t="s">
        <v>4100</v>
      </c>
      <c r="D591" s="124" t="s">
        <v>717</v>
      </c>
      <c r="E591" s="125" t="s">
        <v>1043</v>
      </c>
      <c r="F591" s="65" t="s">
        <v>4103</v>
      </c>
      <c r="G591" s="65" t="s">
        <v>3342</v>
      </c>
      <c r="H591" s="65">
        <v>2</v>
      </c>
      <c r="I591" s="3"/>
    </row>
    <row r="592" spans="1:9" ht="38.25">
      <c r="A592" s="4" t="s">
        <v>434</v>
      </c>
      <c r="B592" s="4" t="s">
        <v>4104</v>
      </c>
      <c r="C592" s="4" t="s">
        <v>4105</v>
      </c>
      <c r="D592" s="4" t="s">
        <v>0</v>
      </c>
      <c r="E592" s="126" t="s">
        <v>1044</v>
      </c>
      <c r="F592" s="4" t="s">
        <v>4106</v>
      </c>
      <c r="G592" s="4" t="s">
        <v>4107</v>
      </c>
      <c r="H592" s="4">
        <v>1</v>
      </c>
      <c r="I592" s="3">
        <v>0.23</v>
      </c>
    </row>
    <row r="593" spans="1:9" ht="38.25">
      <c r="A593" s="65" t="s">
        <v>1045</v>
      </c>
      <c r="B593" s="27" t="s">
        <v>4108</v>
      </c>
      <c r="C593" s="27" t="s">
        <v>4109</v>
      </c>
      <c r="D593" s="124" t="s">
        <v>697</v>
      </c>
      <c r="E593" s="125" t="s">
        <v>1046</v>
      </c>
      <c r="F593" s="65" t="s">
        <v>4110</v>
      </c>
      <c r="G593" s="65" t="s">
        <v>4111</v>
      </c>
      <c r="H593" s="65">
        <v>1</v>
      </c>
      <c r="I593" s="3">
        <v>0.1</v>
      </c>
    </row>
    <row r="594" spans="1:9" ht="25.5">
      <c r="A594" s="65" t="s">
        <v>1045</v>
      </c>
      <c r="B594" s="27" t="s">
        <v>4108</v>
      </c>
      <c r="C594" s="27" t="s">
        <v>4112</v>
      </c>
      <c r="D594" s="124" t="s">
        <v>717</v>
      </c>
      <c r="E594" s="125" t="s">
        <v>1043</v>
      </c>
      <c r="F594" s="65" t="s">
        <v>4103</v>
      </c>
      <c r="G594" s="65" t="s">
        <v>2768</v>
      </c>
      <c r="H594" s="65">
        <v>1</v>
      </c>
      <c r="I594" s="3"/>
    </row>
    <row r="595" spans="1:9" ht="25.5">
      <c r="A595" s="4" t="s">
        <v>435</v>
      </c>
      <c r="B595" s="4" t="s">
        <v>4113</v>
      </c>
      <c r="C595" s="4" t="s">
        <v>4114</v>
      </c>
      <c r="D595" s="4" t="s">
        <v>0</v>
      </c>
      <c r="E595" s="126" t="s">
        <v>1047</v>
      </c>
      <c r="F595" s="4" t="s">
        <v>4115</v>
      </c>
      <c r="G595" s="4" t="s">
        <v>4116</v>
      </c>
      <c r="H595" s="4">
        <v>1</v>
      </c>
      <c r="I595" s="3">
        <v>0.35</v>
      </c>
    </row>
    <row r="596" spans="1:9" ht="25.5">
      <c r="A596" s="4" t="s">
        <v>264</v>
      </c>
      <c r="B596" s="4" t="s">
        <v>4117</v>
      </c>
      <c r="C596" s="4" t="s">
        <v>4118</v>
      </c>
      <c r="D596" s="4" t="s">
        <v>0</v>
      </c>
      <c r="E596" s="30" t="s">
        <v>1048</v>
      </c>
      <c r="F596" s="30" t="s">
        <v>4119</v>
      </c>
      <c r="G596" s="30" t="s">
        <v>4120</v>
      </c>
      <c r="H596" s="4">
        <v>1</v>
      </c>
      <c r="I596" s="3">
        <v>0.26</v>
      </c>
    </row>
    <row r="597" spans="1:9" ht="25.5">
      <c r="A597" s="4" t="s">
        <v>264</v>
      </c>
      <c r="B597" s="4" t="s">
        <v>4117</v>
      </c>
      <c r="C597" s="4" t="s">
        <v>4118</v>
      </c>
      <c r="D597" s="4" t="s">
        <v>0</v>
      </c>
      <c r="E597" s="30" t="s">
        <v>265</v>
      </c>
      <c r="F597" s="30" t="s">
        <v>4121</v>
      </c>
      <c r="G597" s="30" t="s">
        <v>4122</v>
      </c>
      <c r="H597" s="4">
        <v>1</v>
      </c>
      <c r="I597" s="3"/>
    </row>
    <row r="598" spans="1:9" ht="25.5">
      <c r="A598" s="4" t="s">
        <v>241</v>
      </c>
      <c r="B598" s="4" t="s">
        <v>4123</v>
      </c>
      <c r="C598" s="4" t="s">
        <v>4124</v>
      </c>
      <c r="D598" s="4" t="s">
        <v>0</v>
      </c>
      <c r="E598" s="4" t="s">
        <v>1049</v>
      </c>
      <c r="F598" s="4" t="s">
        <v>4125</v>
      </c>
      <c r="G598" s="4" t="s">
        <v>4126</v>
      </c>
      <c r="H598" s="4">
        <v>1</v>
      </c>
      <c r="I598" s="3">
        <v>0.1</v>
      </c>
    </row>
    <row r="599" spans="1:9" ht="25.5">
      <c r="A599" s="4" t="s">
        <v>605</v>
      </c>
      <c r="B599" s="4" t="s">
        <v>4127</v>
      </c>
      <c r="C599" s="4" t="s">
        <v>4128</v>
      </c>
      <c r="D599" s="4" t="s">
        <v>0</v>
      </c>
      <c r="E599" s="11" t="s">
        <v>1050</v>
      </c>
      <c r="F599" s="11" t="s">
        <v>4129</v>
      </c>
      <c r="G599" s="11" t="s">
        <v>4130</v>
      </c>
      <c r="H599" s="127">
        <v>0</v>
      </c>
      <c r="I599" s="3">
        <v>0.74</v>
      </c>
    </row>
    <row r="600" spans="1:9" ht="25.5">
      <c r="A600" s="4" t="s">
        <v>605</v>
      </c>
      <c r="B600" s="4" t="s">
        <v>4127</v>
      </c>
      <c r="C600" s="4" t="s">
        <v>4128</v>
      </c>
      <c r="D600" s="4" t="s">
        <v>0</v>
      </c>
      <c r="E600" s="11" t="s">
        <v>1051</v>
      </c>
      <c r="F600" s="11" t="s">
        <v>4129</v>
      </c>
      <c r="G600" s="11" t="s">
        <v>4131</v>
      </c>
      <c r="H600" s="127">
        <v>1</v>
      </c>
      <c r="I600" s="3">
        <v>0.74</v>
      </c>
    </row>
    <row r="601" spans="1:9" ht="25.5">
      <c r="A601" s="4" t="s">
        <v>605</v>
      </c>
      <c r="B601" s="4" t="s">
        <v>4127</v>
      </c>
      <c r="C601" s="4" t="s">
        <v>4128</v>
      </c>
      <c r="D601" s="4" t="s">
        <v>1</v>
      </c>
      <c r="E601" s="4" t="s">
        <v>606</v>
      </c>
      <c r="F601" s="4" t="s">
        <v>2836</v>
      </c>
      <c r="G601" s="4" t="s">
        <v>2738</v>
      </c>
      <c r="H601" s="4">
        <v>2</v>
      </c>
      <c r="I601" s="3"/>
    </row>
    <row r="602" spans="1:9" ht="25.5">
      <c r="A602" s="4" t="s">
        <v>605</v>
      </c>
      <c r="B602" s="4" t="s">
        <v>4127</v>
      </c>
      <c r="C602" s="4" t="s">
        <v>4128</v>
      </c>
      <c r="D602" s="4" t="s">
        <v>2</v>
      </c>
      <c r="E602" s="4" t="s">
        <v>607</v>
      </c>
      <c r="F602" s="4" t="s">
        <v>2836</v>
      </c>
      <c r="G602" s="4" t="s">
        <v>2738</v>
      </c>
      <c r="H602" s="4">
        <v>4</v>
      </c>
      <c r="I602" s="3"/>
    </row>
    <row r="603" spans="1:9" ht="25.5">
      <c r="A603" s="4" t="s">
        <v>605</v>
      </c>
      <c r="B603" s="4" t="s">
        <v>4127</v>
      </c>
      <c r="C603" s="4" t="s">
        <v>4128</v>
      </c>
      <c r="D603" s="4" t="s">
        <v>7</v>
      </c>
      <c r="E603" s="4" t="s">
        <v>1052</v>
      </c>
      <c r="F603" s="4" t="s">
        <v>4132</v>
      </c>
      <c r="G603" s="4" t="s">
        <v>4133</v>
      </c>
      <c r="H603" s="4">
        <v>1</v>
      </c>
      <c r="I603" s="3"/>
    </row>
    <row r="604" spans="1:9" ht="25.5">
      <c r="A604" s="4" t="s">
        <v>605</v>
      </c>
      <c r="B604" s="4" t="s">
        <v>4127</v>
      </c>
      <c r="C604" s="4" t="s">
        <v>4128</v>
      </c>
      <c r="D604" s="4" t="s">
        <v>9</v>
      </c>
      <c r="E604" s="4" t="s">
        <v>608</v>
      </c>
      <c r="F604" s="4" t="s">
        <v>2836</v>
      </c>
      <c r="G604" s="4" t="s">
        <v>2738</v>
      </c>
      <c r="H604" s="4">
        <v>2</v>
      </c>
      <c r="I604" s="3"/>
    </row>
    <row r="605" spans="1:9" ht="25.5">
      <c r="A605" s="4" t="s">
        <v>605</v>
      </c>
      <c r="B605" s="4" t="s">
        <v>4127</v>
      </c>
      <c r="C605" s="4" t="s">
        <v>4128</v>
      </c>
      <c r="D605" s="4" t="s">
        <v>10</v>
      </c>
      <c r="E605" s="4" t="s">
        <v>609</v>
      </c>
      <c r="F605" s="4" t="s">
        <v>4134</v>
      </c>
      <c r="G605" s="4" t="s">
        <v>4135</v>
      </c>
      <c r="H605" s="4">
        <v>4</v>
      </c>
      <c r="I605" s="3"/>
    </row>
    <row r="606" spans="1:9" ht="25.5">
      <c r="A606" s="64" t="s">
        <v>1053</v>
      </c>
      <c r="B606" s="64" t="s">
        <v>4136</v>
      </c>
      <c r="C606" s="64" t="s">
        <v>4137</v>
      </c>
      <c r="D606" s="65" t="s">
        <v>721</v>
      </c>
      <c r="E606" s="76" t="s">
        <v>1054</v>
      </c>
      <c r="F606" s="76" t="s">
        <v>4138</v>
      </c>
      <c r="G606" s="76" t="s">
        <v>4139</v>
      </c>
      <c r="H606" s="67">
        <v>1</v>
      </c>
      <c r="I606" s="3">
        <v>0.12</v>
      </c>
    </row>
    <row r="607" spans="1:9" ht="25.5">
      <c r="A607" s="64" t="s">
        <v>1053</v>
      </c>
      <c r="B607" s="64" t="s">
        <v>4136</v>
      </c>
      <c r="C607" s="64" t="s">
        <v>4137</v>
      </c>
      <c r="D607" s="65" t="s">
        <v>701</v>
      </c>
      <c r="E607" s="66" t="s">
        <v>218</v>
      </c>
      <c r="F607" s="66" t="s">
        <v>4140</v>
      </c>
      <c r="G607" s="66" t="s">
        <v>4141</v>
      </c>
      <c r="H607" s="67">
        <v>1</v>
      </c>
      <c r="I607" s="3"/>
    </row>
    <row r="608" spans="1:9" ht="25.5">
      <c r="A608" s="64" t="s">
        <v>1055</v>
      </c>
      <c r="B608" s="64" t="s">
        <v>4142</v>
      </c>
      <c r="C608" s="64" t="s">
        <v>4143</v>
      </c>
      <c r="D608" s="65" t="s">
        <v>721</v>
      </c>
      <c r="E608" s="76" t="s">
        <v>1056</v>
      </c>
      <c r="F608" s="76" t="s">
        <v>4144</v>
      </c>
      <c r="G608" s="76" t="s">
        <v>4145</v>
      </c>
      <c r="H608" s="67">
        <v>1</v>
      </c>
      <c r="I608" s="3">
        <v>0.15</v>
      </c>
    </row>
    <row r="609" spans="1:9" ht="25.5">
      <c r="A609" s="64" t="s">
        <v>1055</v>
      </c>
      <c r="B609" s="64" t="s">
        <v>4142</v>
      </c>
      <c r="C609" s="64" t="s">
        <v>4146</v>
      </c>
      <c r="D609" s="65" t="s">
        <v>701</v>
      </c>
      <c r="E609" s="66" t="s">
        <v>819</v>
      </c>
      <c r="F609" s="66" t="s">
        <v>3325</v>
      </c>
      <c r="G609" s="66" t="s">
        <v>3283</v>
      </c>
      <c r="H609" s="67">
        <v>2</v>
      </c>
      <c r="I609" s="3"/>
    </row>
    <row r="610" spans="1:9" ht="25.5">
      <c r="A610" s="64" t="s">
        <v>1057</v>
      </c>
      <c r="B610" s="64" t="s">
        <v>4147</v>
      </c>
      <c r="C610" s="64" t="s">
        <v>4148</v>
      </c>
      <c r="D610" s="65" t="s">
        <v>721</v>
      </c>
      <c r="E610" s="34" t="s">
        <v>1058</v>
      </c>
      <c r="F610" s="34" t="s">
        <v>4149</v>
      </c>
      <c r="G610" s="34" t="s">
        <v>4150</v>
      </c>
      <c r="H610" s="3">
        <v>1</v>
      </c>
      <c r="I610" s="3">
        <v>0.27</v>
      </c>
    </row>
    <row r="611" spans="1:9" ht="25.5">
      <c r="A611" s="64" t="s">
        <v>1057</v>
      </c>
      <c r="B611" s="64" t="s">
        <v>4147</v>
      </c>
      <c r="C611" s="64" t="s">
        <v>4151</v>
      </c>
      <c r="D611" s="65" t="s">
        <v>701</v>
      </c>
      <c r="E611" s="66" t="s">
        <v>819</v>
      </c>
      <c r="F611" s="66" t="s">
        <v>3325</v>
      </c>
      <c r="G611" s="66" t="s">
        <v>3025</v>
      </c>
      <c r="H611" s="67">
        <v>6</v>
      </c>
      <c r="I611" s="3"/>
    </row>
    <row r="612" spans="1:9" ht="51">
      <c r="A612" s="4" t="s">
        <v>299</v>
      </c>
      <c r="B612" s="4" t="s">
        <v>4152</v>
      </c>
      <c r="C612" s="4" t="s">
        <v>4153</v>
      </c>
      <c r="D612" s="4" t="s">
        <v>0</v>
      </c>
      <c r="E612" s="4" t="s">
        <v>300</v>
      </c>
      <c r="F612" s="4" t="s">
        <v>4154</v>
      </c>
      <c r="G612" s="4" t="s">
        <v>4155</v>
      </c>
      <c r="H612" s="4">
        <v>1</v>
      </c>
      <c r="I612" s="3">
        <v>0.28999999999999998</v>
      </c>
    </row>
    <row r="613" spans="1:9" ht="51">
      <c r="A613" s="4" t="s">
        <v>299</v>
      </c>
      <c r="B613" s="4" t="s">
        <v>4152</v>
      </c>
      <c r="C613" s="4" t="s">
        <v>4153</v>
      </c>
      <c r="D613" s="4" t="s">
        <v>1</v>
      </c>
      <c r="E613" s="4" t="s">
        <v>301</v>
      </c>
      <c r="F613" s="4" t="s">
        <v>3919</v>
      </c>
      <c r="G613" s="4" t="s">
        <v>3393</v>
      </c>
      <c r="H613" s="4">
        <v>4</v>
      </c>
      <c r="I613" s="3"/>
    </row>
    <row r="614" spans="1:9" ht="38.25">
      <c r="A614" s="4" t="s">
        <v>302</v>
      </c>
      <c r="B614" s="4" t="s">
        <v>4156</v>
      </c>
      <c r="C614" s="4" t="s">
        <v>4157</v>
      </c>
      <c r="D614" s="4" t="s">
        <v>0</v>
      </c>
      <c r="E614" s="4" t="s">
        <v>1059</v>
      </c>
      <c r="F614" s="4" t="s">
        <v>4158</v>
      </c>
      <c r="G614" s="4" t="s">
        <v>4159</v>
      </c>
      <c r="H614" s="4">
        <v>1</v>
      </c>
      <c r="I614" s="3">
        <v>0.1</v>
      </c>
    </row>
    <row r="615" spans="1:9" ht="25.5">
      <c r="A615" s="128" t="s">
        <v>306</v>
      </c>
      <c r="B615" s="128" t="s">
        <v>4160</v>
      </c>
      <c r="C615" s="128" t="s">
        <v>4161</v>
      </c>
      <c r="D615" s="129" t="s">
        <v>0</v>
      </c>
      <c r="E615" s="130" t="s">
        <v>307</v>
      </c>
      <c r="F615" s="130" t="s">
        <v>4162</v>
      </c>
      <c r="G615" s="130" t="s">
        <v>4163</v>
      </c>
      <c r="H615" s="131">
        <v>1</v>
      </c>
      <c r="I615" s="3">
        <v>0.25</v>
      </c>
    </row>
    <row r="616" spans="1:9" ht="38.25">
      <c r="A616" s="128" t="s">
        <v>306</v>
      </c>
      <c r="B616" s="128" t="s">
        <v>4160</v>
      </c>
      <c r="C616" s="128" t="s">
        <v>4161</v>
      </c>
      <c r="D616" s="129" t="s">
        <v>1</v>
      </c>
      <c r="E616" s="132" t="s">
        <v>3</v>
      </c>
      <c r="F616" s="186" t="s">
        <v>3103</v>
      </c>
      <c r="G616" s="186" t="s">
        <v>3366</v>
      </c>
      <c r="H616" s="131">
        <v>2</v>
      </c>
      <c r="I616" s="3"/>
    </row>
    <row r="617" spans="1:9" ht="25.5">
      <c r="A617" s="4" t="s">
        <v>1060</v>
      </c>
      <c r="B617" s="4" t="s">
        <v>4164</v>
      </c>
      <c r="C617" s="4" t="s">
        <v>4165</v>
      </c>
      <c r="D617" s="4" t="s">
        <v>0</v>
      </c>
      <c r="E617" s="4" t="s">
        <v>308</v>
      </c>
      <c r="F617" s="4" t="s">
        <v>4166</v>
      </c>
      <c r="G617" s="4" t="s">
        <v>4167</v>
      </c>
      <c r="H617" s="4">
        <v>1</v>
      </c>
      <c r="I617" s="3">
        <v>0.1</v>
      </c>
    </row>
    <row r="618" spans="1:9" ht="38.25">
      <c r="A618" s="4" t="s">
        <v>1061</v>
      </c>
      <c r="B618" s="4" t="s">
        <v>4168</v>
      </c>
      <c r="C618" s="4" t="s">
        <v>4169</v>
      </c>
      <c r="D618" s="4" t="s">
        <v>0</v>
      </c>
      <c r="E618" s="4" t="s">
        <v>312</v>
      </c>
      <c r="F618" s="4" t="s">
        <v>4170</v>
      </c>
      <c r="G618" s="4" t="s">
        <v>4171</v>
      </c>
      <c r="H618" s="4">
        <v>1</v>
      </c>
      <c r="I618" s="3">
        <v>0.3</v>
      </c>
    </row>
    <row r="619" spans="1:9" ht="38.25">
      <c r="A619" s="4" t="s">
        <v>311</v>
      </c>
      <c r="B619" s="4" t="s">
        <v>4168</v>
      </c>
      <c r="C619" s="4" t="s">
        <v>4172</v>
      </c>
      <c r="D619" s="4" t="s">
        <v>0</v>
      </c>
      <c r="E619" s="4" t="s">
        <v>313</v>
      </c>
      <c r="F619" s="4" t="s">
        <v>4173</v>
      </c>
      <c r="G619" s="4" t="s">
        <v>4174</v>
      </c>
      <c r="H619" s="4">
        <v>1</v>
      </c>
      <c r="I619" s="3"/>
    </row>
    <row r="620" spans="1:9" ht="38.25">
      <c r="A620" s="4" t="s">
        <v>311</v>
      </c>
      <c r="B620" s="4" t="s">
        <v>4168</v>
      </c>
      <c r="C620" s="4" t="s">
        <v>4169</v>
      </c>
      <c r="D620" s="4" t="s">
        <v>1</v>
      </c>
      <c r="E620" s="118" t="s">
        <v>17</v>
      </c>
      <c r="F620" s="36" t="s">
        <v>3372</v>
      </c>
      <c r="G620" s="36" t="s">
        <v>3379</v>
      </c>
      <c r="H620" s="4">
        <v>4</v>
      </c>
      <c r="I620" s="3"/>
    </row>
    <row r="621" spans="1:9" ht="25.5">
      <c r="A621" s="4" t="s">
        <v>314</v>
      </c>
      <c r="B621" s="4" t="s">
        <v>4175</v>
      </c>
      <c r="C621" s="4" t="s">
        <v>4176</v>
      </c>
      <c r="D621" s="4" t="s">
        <v>0</v>
      </c>
      <c r="E621" s="4" t="s">
        <v>315</v>
      </c>
      <c r="F621" s="4" t="s">
        <v>4177</v>
      </c>
      <c r="G621" s="4" t="s">
        <v>4178</v>
      </c>
      <c r="H621" s="4">
        <v>2</v>
      </c>
      <c r="I621" s="3">
        <v>0.2</v>
      </c>
    </row>
    <row r="622" spans="1:9" ht="25.5">
      <c r="A622" s="4" t="s">
        <v>314</v>
      </c>
      <c r="B622" s="4" t="s">
        <v>4175</v>
      </c>
      <c r="C622" s="4" t="s">
        <v>4179</v>
      </c>
      <c r="D622" s="4" t="s">
        <v>1</v>
      </c>
      <c r="E622" s="4" t="s">
        <v>316</v>
      </c>
      <c r="F622" s="4" t="s">
        <v>4180</v>
      </c>
      <c r="G622" s="4" t="s">
        <v>4181</v>
      </c>
      <c r="H622" s="4">
        <v>2</v>
      </c>
      <c r="I622" s="3"/>
    </row>
    <row r="623" spans="1:9" ht="25.5">
      <c r="A623" s="133" t="s">
        <v>1062</v>
      </c>
      <c r="B623" s="133" t="s">
        <v>4182</v>
      </c>
      <c r="C623" s="133" t="s">
        <v>4183</v>
      </c>
      <c r="D623" s="133" t="s">
        <v>0</v>
      </c>
      <c r="E623" s="34" t="s">
        <v>665</v>
      </c>
      <c r="F623" s="34" t="s">
        <v>4184</v>
      </c>
      <c r="G623" s="34" t="s">
        <v>4185</v>
      </c>
      <c r="H623" s="34">
        <v>1</v>
      </c>
      <c r="I623" s="3"/>
    </row>
    <row r="624" spans="1:9" ht="25.5">
      <c r="A624" s="133" t="s">
        <v>666</v>
      </c>
      <c r="B624" s="133" t="s">
        <v>4182</v>
      </c>
      <c r="C624" s="133" t="s">
        <v>4186</v>
      </c>
      <c r="D624" s="133" t="s">
        <v>0</v>
      </c>
      <c r="E624" s="34" t="s">
        <v>667</v>
      </c>
      <c r="F624" s="34" t="s">
        <v>4187</v>
      </c>
      <c r="G624" s="34" t="s">
        <v>4188</v>
      </c>
      <c r="H624" s="34">
        <v>1</v>
      </c>
      <c r="I624" s="3"/>
    </row>
    <row r="625" spans="1:9" ht="22.5">
      <c r="A625" s="133" t="s">
        <v>666</v>
      </c>
      <c r="B625" s="133" t="s">
        <v>4182</v>
      </c>
      <c r="C625" s="133" t="s">
        <v>4189</v>
      </c>
      <c r="D625" s="133" t="s">
        <v>1</v>
      </c>
      <c r="E625" s="134" t="s">
        <v>668</v>
      </c>
      <c r="F625" s="134" t="s">
        <v>4190</v>
      </c>
      <c r="G625" s="134" t="s">
        <v>4191</v>
      </c>
      <c r="H625" s="133">
        <v>4</v>
      </c>
      <c r="I625" s="3"/>
    </row>
    <row r="626" spans="1:9" ht="22.5">
      <c r="A626" s="133" t="s">
        <v>666</v>
      </c>
      <c r="B626" s="133" t="s">
        <v>4182</v>
      </c>
      <c r="C626" s="133" t="s">
        <v>4186</v>
      </c>
      <c r="D626" s="133" t="s">
        <v>2</v>
      </c>
      <c r="E626" s="134" t="s">
        <v>669</v>
      </c>
      <c r="F626" s="134" t="s">
        <v>2836</v>
      </c>
      <c r="G626" s="134" t="s">
        <v>4192</v>
      </c>
      <c r="H626" s="133">
        <v>4</v>
      </c>
      <c r="I626" s="3"/>
    </row>
    <row r="627" spans="1:9" ht="33.75">
      <c r="A627" s="134" t="s">
        <v>1063</v>
      </c>
      <c r="B627" s="134" t="s">
        <v>4193</v>
      </c>
      <c r="C627" s="134" t="s">
        <v>4194</v>
      </c>
      <c r="D627" s="134" t="s">
        <v>0</v>
      </c>
      <c r="E627" s="134" t="s">
        <v>1064</v>
      </c>
      <c r="F627" s="134" t="s">
        <v>4195</v>
      </c>
      <c r="G627" s="134" t="s">
        <v>4196</v>
      </c>
      <c r="H627" s="134">
        <v>2</v>
      </c>
      <c r="I627" s="3"/>
    </row>
    <row r="628" spans="1:9" ht="45">
      <c r="A628" s="134" t="s">
        <v>670</v>
      </c>
      <c r="B628" s="134" t="s">
        <v>4193</v>
      </c>
      <c r="C628" s="134" t="s">
        <v>4197</v>
      </c>
      <c r="D628" s="134" t="s">
        <v>1</v>
      </c>
      <c r="E628" s="134" t="s">
        <v>671</v>
      </c>
      <c r="F628" s="134" t="s">
        <v>4198</v>
      </c>
      <c r="G628" s="134" t="s">
        <v>4199</v>
      </c>
      <c r="H628" s="134">
        <v>2</v>
      </c>
      <c r="I628" s="3"/>
    </row>
    <row r="629" spans="1:9" ht="45">
      <c r="A629" s="134" t="s">
        <v>670</v>
      </c>
      <c r="B629" s="134" t="s">
        <v>4193</v>
      </c>
      <c r="C629" s="134" t="s">
        <v>4197</v>
      </c>
      <c r="D629" s="134" t="s">
        <v>2</v>
      </c>
      <c r="E629" s="134" t="s">
        <v>1065</v>
      </c>
      <c r="F629" s="134" t="s">
        <v>4200</v>
      </c>
      <c r="G629" s="134" t="s">
        <v>4201</v>
      </c>
      <c r="H629" s="134">
        <v>1</v>
      </c>
      <c r="I629" s="3"/>
    </row>
    <row r="630" spans="1:9" ht="33.75">
      <c r="A630" s="134" t="s">
        <v>670</v>
      </c>
      <c r="B630" s="134" t="s">
        <v>4193</v>
      </c>
      <c r="C630" s="134" t="s">
        <v>4194</v>
      </c>
      <c r="D630" s="134" t="s">
        <v>7</v>
      </c>
      <c r="E630" s="134" t="s">
        <v>672</v>
      </c>
      <c r="F630" s="134" t="s">
        <v>4202</v>
      </c>
      <c r="G630" s="134" t="s">
        <v>4203</v>
      </c>
      <c r="H630" s="134">
        <v>2</v>
      </c>
      <c r="I630" s="3"/>
    </row>
    <row r="631" spans="1:9" ht="45">
      <c r="A631" s="134" t="s">
        <v>670</v>
      </c>
      <c r="B631" s="134" t="s">
        <v>4193</v>
      </c>
      <c r="C631" s="134" t="s">
        <v>4197</v>
      </c>
      <c r="D631" s="134" t="s">
        <v>9</v>
      </c>
      <c r="E631" s="134" t="s">
        <v>673</v>
      </c>
      <c r="F631" s="134" t="s">
        <v>4204</v>
      </c>
      <c r="G631" s="134" t="s">
        <v>4205</v>
      </c>
      <c r="H631" s="134">
        <v>4</v>
      </c>
      <c r="I631" s="3"/>
    </row>
    <row r="632" spans="1:9" ht="45">
      <c r="A632" s="134" t="s">
        <v>1063</v>
      </c>
      <c r="B632" s="134" t="s">
        <v>4193</v>
      </c>
      <c r="C632" s="134" t="s">
        <v>4197</v>
      </c>
      <c r="D632" s="134" t="s">
        <v>1066</v>
      </c>
      <c r="E632" s="135" t="s">
        <v>1067</v>
      </c>
      <c r="F632" s="135" t="s">
        <v>4206</v>
      </c>
      <c r="G632" s="135" t="s">
        <v>4207</v>
      </c>
      <c r="H632" s="134">
        <v>1</v>
      </c>
      <c r="I632" s="3"/>
    </row>
    <row r="633" spans="1:9" ht="22.5">
      <c r="A633" s="133" t="s">
        <v>674</v>
      </c>
      <c r="B633" s="133" t="s">
        <v>4208</v>
      </c>
      <c r="C633" s="133" t="s">
        <v>4209</v>
      </c>
      <c r="D633" s="133" t="s">
        <v>0</v>
      </c>
      <c r="E633" s="134" t="s">
        <v>675</v>
      </c>
      <c r="F633" s="134" t="s">
        <v>4210</v>
      </c>
      <c r="G633" s="134" t="s">
        <v>4211</v>
      </c>
      <c r="H633" s="133">
        <v>1</v>
      </c>
      <c r="I633" s="3"/>
    </row>
    <row r="634" spans="1:9" ht="22.5">
      <c r="A634" s="133" t="s">
        <v>674</v>
      </c>
      <c r="B634" s="133" t="s">
        <v>4208</v>
      </c>
      <c r="C634" s="133" t="s">
        <v>4212</v>
      </c>
      <c r="D634" s="133" t="s">
        <v>0</v>
      </c>
      <c r="E634" s="134" t="s">
        <v>676</v>
      </c>
      <c r="F634" s="134" t="s">
        <v>4213</v>
      </c>
      <c r="G634" s="134" t="s">
        <v>4214</v>
      </c>
      <c r="H634" s="133">
        <v>1</v>
      </c>
      <c r="I634" s="3"/>
    </row>
    <row r="635" spans="1:9" ht="33.75">
      <c r="A635" s="133" t="s">
        <v>674</v>
      </c>
      <c r="B635" s="133" t="s">
        <v>4208</v>
      </c>
      <c r="C635" s="133" t="s">
        <v>4212</v>
      </c>
      <c r="D635" s="133" t="s">
        <v>1</v>
      </c>
      <c r="E635" s="134" t="s">
        <v>677</v>
      </c>
      <c r="F635" s="134" t="s">
        <v>4190</v>
      </c>
      <c r="G635" s="134" t="s">
        <v>4215</v>
      </c>
      <c r="H635" s="133">
        <v>2</v>
      </c>
      <c r="I635" s="3"/>
    </row>
    <row r="636" spans="1:9" ht="22.5">
      <c r="A636" s="133" t="s">
        <v>678</v>
      </c>
      <c r="B636" s="133" t="s">
        <v>4216</v>
      </c>
      <c r="C636" s="133" t="s">
        <v>4217</v>
      </c>
      <c r="D636" s="133" t="s">
        <v>0</v>
      </c>
      <c r="E636" s="134" t="s">
        <v>1068</v>
      </c>
      <c r="F636" s="134" t="s">
        <v>4218</v>
      </c>
      <c r="G636" s="134" t="s">
        <v>4219</v>
      </c>
      <c r="H636" s="133">
        <v>1</v>
      </c>
      <c r="I636" s="3"/>
    </row>
    <row r="637" spans="1:9" ht="22.5">
      <c r="A637" s="133" t="s">
        <v>678</v>
      </c>
      <c r="B637" s="133" t="s">
        <v>4216</v>
      </c>
      <c r="C637" s="133" t="s">
        <v>4217</v>
      </c>
      <c r="D637" s="133" t="s">
        <v>1</v>
      </c>
      <c r="E637" s="134" t="s">
        <v>679</v>
      </c>
      <c r="F637" s="134" t="s">
        <v>4220</v>
      </c>
      <c r="G637" s="134" t="s">
        <v>4221</v>
      </c>
      <c r="H637" s="133">
        <v>2</v>
      </c>
      <c r="I637" s="3"/>
    </row>
    <row r="638" spans="1:9" ht="22.5">
      <c r="A638" s="133" t="s">
        <v>678</v>
      </c>
      <c r="B638" s="133" t="s">
        <v>4216</v>
      </c>
      <c r="C638" s="133" t="s">
        <v>4217</v>
      </c>
      <c r="D638" s="133" t="s">
        <v>2</v>
      </c>
      <c r="E638" s="134" t="s">
        <v>680</v>
      </c>
      <c r="F638" s="134" t="s">
        <v>4190</v>
      </c>
      <c r="G638" s="134" t="s">
        <v>4222</v>
      </c>
      <c r="H638" s="133">
        <v>2</v>
      </c>
      <c r="I638" s="3"/>
    </row>
    <row r="639" spans="1:9" ht="38.25">
      <c r="A639" s="4" t="s">
        <v>320</v>
      </c>
      <c r="B639" s="4" t="s">
        <v>4223</v>
      </c>
      <c r="C639" s="4" t="s">
        <v>4224</v>
      </c>
      <c r="D639" s="4" t="s">
        <v>0</v>
      </c>
      <c r="E639" s="44" t="s">
        <v>1069</v>
      </c>
      <c r="F639" s="4" t="s">
        <v>4225</v>
      </c>
      <c r="G639" s="4" t="s">
        <v>4226</v>
      </c>
      <c r="H639" s="4">
        <v>1</v>
      </c>
      <c r="I639" s="3">
        <v>0.53</v>
      </c>
    </row>
    <row r="640" spans="1:9" ht="38.25">
      <c r="A640" s="4" t="s">
        <v>320</v>
      </c>
      <c r="B640" s="4" t="s">
        <v>4223</v>
      </c>
      <c r="C640" s="4" t="s">
        <v>4224</v>
      </c>
      <c r="D640" s="4" t="s">
        <v>1</v>
      </c>
      <c r="E640" s="4" t="s">
        <v>321</v>
      </c>
      <c r="F640" s="4" t="s">
        <v>4227</v>
      </c>
      <c r="G640" s="4" t="s">
        <v>4228</v>
      </c>
      <c r="H640" s="4">
        <v>2</v>
      </c>
      <c r="I640" s="3"/>
    </row>
    <row r="641" spans="1:9" ht="38.25">
      <c r="A641" s="4" t="s">
        <v>320</v>
      </c>
      <c r="B641" s="4" t="s">
        <v>4223</v>
      </c>
      <c r="C641" s="4" t="s">
        <v>4229</v>
      </c>
      <c r="D641" s="4" t="s">
        <v>2</v>
      </c>
      <c r="E641" s="4" t="s">
        <v>322</v>
      </c>
      <c r="F641" s="4" t="s">
        <v>4230</v>
      </c>
      <c r="G641" s="4" t="s">
        <v>4231</v>
      </c>
      <c r="H641" s="4">
        <v>2</v>
      </c>
      <c r="I641" s="3"/>
    </row>
    <row r="642" spans="1:9" ht="38.25">
      <c r="A642" s="4" t="s">
        <v>320</v>
      </c>
      <c r="B642" s="4" t="s">
        <v>4223</v>
      </c>
      <c r="C642" s="4" t="s">
        <v>4224</v>
      </c>
      <c r="D642" s="4" t="s">
        <v>7</v>
      </c>
      <c r="E642" s="4" t="s">
        <v>323</v>
      </c>
      <c r="F642" s="4" t="s">
        <v>4232</v>
      </c>
      <c r="G642" s="4" t="s">
        <v>4233</v>
      </c>
      <c r="H642" s="4">
        <v>2</v>
      </c>
      <c r="I642" s="3"/>
    </row>
    <row r="643" spans="1:9" ht="38.25">
      <c r="A643" s="4" t="s">
        <v>320</v>
      </c>
      <c r="B643" s="4" t="s">
        <v>4223</v>
      </c>
      <c r="C643" s="4" t="s">
        <v>4234</v>
      </c>
      <c r="D643" s="4" t="s">
        <v>9</v>
      </c>
      <c r="E643" s="4" t="s">
        <v>324</v>
      </c>
      <c r="F643" s="4" t="s">
        <v>4235</v>
      </c>
      <c r="G643" s="4" t="s">
        <v>4236</v>
      </c>
      <c r="H643" s="4">
        <v>4</v>
      </c>
      <c r="I643" s="3"/>
    </row>
    <row r="644" spans="1:9" ht="25.5">
      <c r="A644" s="4" t="s">
        <v>1070</v>
      </c>
      <c r="B644" s="4" t="s">
        <v>4237</v>
      </c>
      <c r="C644" s="4" t="s">
        <v>4238</v>
      </c>
      <c r="D644" s="4" t="s">
        <v>0</v>
      </c>
      <c r="E644" s="4" t="s">
        <v>325</v>
      </c>
      <c r="F644" s="4" t="s">
        <v>4239</v>
      </c>
      <c r="G644" s="4" t="s">
        <v>4240</v>
      </c>
      <c r="H644" s="4">
        <v>8</v>
      </c>
      <c r="I644" s="3">
        <v>0.79</v>
      </c>
    </row>
    <row r="645" spans="1:9" ht="25.5">
      <c r="A645" s="4" t="s">
        <v>326</v>
      </c>
      <c r="B645" s="4" t="s">
        <v>4237</v>
      </c>
      <c r="C645" s="4" t="s">
        <v>4241</v>
      </c>
      <c r="D645" s="4" t="s">
        <v>1</v>
      </c>
      <c r="E645" s="4" t="s">
        <v>327</v>
      </c>
      <c r="F645" s="4" t="s">
        <v>4242</v>
      </c>
      <c r="G645" s="4" t="s">
        <v>4243</v>
      </c>
      <c r="H645" s="4">
        <v>4</v>
      </c>
      <c r="I645" s="3"/>
    </row>
    <row r="646" spans="1:9" ht="25.5">
      <c r="A646" s="4" t="s">
        <v>326</v>
      </c>
      <c r="B646" s="4" t="s">
        <v>4237</v>
      </c>
      <c r="C646" s="4" t="s">
        <v>4238</v>
      </c>
      <c r="D646" s="4" t="s">
        <v>2</v>
      </c>
      <c r="E646" s="4" t="s">
        <v>328</v>
      </c>
      <c r="F646" s="4" t="s">
        <v>4244</v>
      </c>
      <c r="G646" s="4" t="s">
        <v>4245</v>
      </c>
      <c r="H646" s="4">
        <v>4</v>
      </c>
      <c r="I646" s="3"/>
    </row>
    <row r="647" spans="1:9" ht="25.5">
      <c r="A647" s="4" t="s">
        <v>326</v>
      </c>
      <c r="B647" s="4" t="s">
        <v>4237</v>
      </c>
      <c r="C647" s="4" t="s">
        <v>4241</v>
      </c>
      <c r="D647" s="4"/>
      <c r="E647" s="4" t="s">
        <v>1071</v>
      </c>
      <c r="F647" s="4" t="s">
        <v>4246</v>
      </c>
      <c r="G647" s="4" t="s">
        <v>4247</v>
      </c>
      <c r="H647" s="4">
        <v>1</v>
      </c>
      <c r="I647" s="3"/>
    </row>
    <row r="648" spans="1:9" ht="25.5">
      <c r="A648" s="4" t="s">
        <v>317</v>
      </c>
      <c r="B648" s="4" t="s">
        <v>4248</v>
      </c>
      <c r="C648" s="4" t="s">
        <v>4249</v>
      </c>
      <c r="D648" s="4" t="s">
        <v>0</v>
      </c>
      <c r="E648" s="126" t="s">
        <v>318</v>
      </c>
      <c r="F648" s="126" t="s">
        <v>4250</v>
      </c>
      <c r="G648" s="126" t="s">
        <v>4251</v>
      </c>
      <c r="H648" s="4">
        <v>2</v>
      </c>
      <c r="I648" s="3">
        <v>0.42</v>
      </c>
    </row>
    <row r="649" spans="1:9" ht="25.5">
      <c r="A649" s="4" t="s">
        <v>317</v>
      </c>
      <c r="B649" s="4" t="s">
        <v>4248</v>
      </c>
      <c r="C649" s="4" t="s">
        <v>4249</v>
      </c>
      <c r="D649" s="4" t="s">
        <v>1</v>
      </c>
      <c r="E649" s="4" t="s">
        <v>319</v>
      </c>
      <c r="F649" s="4" t="s">
        <v>4252</v>
      </c>
      <c r="G649" s="4" t="s">
        <v>4253</v>
      </c>
      <c r="H649" s="4">
        <v>2</v>
      </c>
      <c r="I649" s="3"/>
    </row>
    <row r="650" spans="1:9" ht="38.25">
      <c r="A650" s="4" t="s">
        <v>339</v>
      </c>
      <c r="B650" s="4" t="s">
        <v>4254</v>
      </c>
      <c r="C650" s="4" t="s">
        <v>4255</v>
      </c>
      <c r="D650" s="4" t="s">
        <v>0</v>
      </c>
      <c r="E650" s="4" t="s">
        <v>340</v>
      </c>
      <c r="F650" s="4" t="s">
        <v>4256</v>
      </c>
      <c r="G650" s="4" t="s">
        <v>4257</v>
      </c>
      <c r="H650" s="4">
        <v>2</v>
      </c>
      <c r="I650" s="3">
        <v>0.38</v>
      </c>
    </row>
    <row r="651" spans="1:9" ht="38.25">
      <c r="A651" s="4" t="s">
        <v>339</v>
      </c>
      <c r="B651" s="4" t="s">
        <v>4254</v>
      </c>
      <c r="C651" s="4" t="s">
        <v>4255</v>
      </c>
      <c r="D651" s="4" t="s">
        <v>1</v>
      </c>
      <c r="E651" s="4" t="s">
        <v>324</v>
      </c>
      <c r="F651" s="4" t="s">
        <v>4258</v>
      </c>
      <c r="G651" s="4" t="s">
        <v>4259</v>
      </c>
      <c r="H651" s="4">
        <v>4</v>
      </c>
      <c r="I651" s="3"/>
    </row>
    <row r="652" spans="1:9" ht="25.5">
      <c r="A652" s="4" t="s">
        <v>344</v>
      </c>
      <c r="B652" s="4" t="s">
        <v>4260</v>
      </c>
      <c r="C652" s="4" t="s">
        <v>4261</v>
      </c>
      <c r="D652" s="4" t="s">
        <v>0</v>
      </c>
      <c r="E652" s="4" t="s">
        <v>345</v>
      </c>
      <c r="F652" s="4" t="s">
        <v>4262</v>
      </c>
      <c r="G652" s="4" t="s">
        <v>4263</v>
      </c>
      <c r="H652" s="4">
        <v>2</v>
      </c>
      <c r="I652" s="3">
        <v>0.56000000000000005</v>
      </c>
    </row>
    <row r="653" spans="1:9" ht="25.5">
      <c r="A653" s="4" t="s">
        <v>344</v>
      </c>
      <c r="B653" s="4" t="s">
        <v>4260</v>
      </c>
      <c r="C653" s="4" t="s">
        <v>4261</v>
      </c>
      <c r="D653" s="4" t="s">
        <v>1</v>
      </c>
      <c r="E653" s="4" t="s">
        <v>126</v>
      </c>
      <c r="F653" s="4" t="s">
        <v>2836</v>
      </c>
      <c r="G653" s="4" t="s">
        <v>2738</v>
      </c>
      <c r="H653" s="4">
        <v>2</v>
      </c>
      <c r="I653" s="3"/>
    </row>
    <row r="654" spans="1:9" ht="38.25">
      <c r="A654" s="4" t="s">
        <v>1072</v>
      </c>
      <c r="B654" s="4" t="s">
        <v>4264</v>
      </c>
      <c r="C654" s="4" t="s">
        <v>4265</v>
      </c>
      <c r="D654" s="4" t="s">
        <v>0</v>
      </c>
      <c r="E654" s="4" t="s">
        <v>310</v>
      </c>
      <c r="F654" s="4" t="s">
        <v>4266</v>
      </c>
      <c r="G654" s="4" t="s">
        <v>4267</v>
      </c>
      <c r="H654" s="4">
        <v>1</v>
      </c>
      <c r="I654" s="3">
        <v>0.34</v>
      </c>
    </row>
    <row r="655" spans="1:9" ht="38.25">
      <c r="A655" s="4" t="s">
        <v>309</v>
      </c>
      <c r="B655" s="4" t="s">
        <v>4264</v>
      </c>
      <c r="C655" s="4" t="s">
        <v>4265</v>
      </c>
      <c r="D655" s="4" t="s">
        <v>1</v>
      </c>
      <c r="E655" s="4" t="s">
        <v>178</v>
      </c>
      <c r="F655" s="4" t="s">
        <v>3919</v>
      </c>
      <c r="G655" s="4" t="s">
        <v>3393</v>
      </c>
      <c r="H655" s="4">
        <v>5</v>
      </c>
      <c r="I655" s="3"/>
    </row>
    <row r="656" spans="1:9" ht="25.5">
      <c r="A656" s="4" t="s">
        <v>1073</v>
      </c>
      <c r="B656" s="4" t="s">
        <v>4268</v>
      </c>
      <c r="C656" s="4" t="s">
        <v>4269</v>
      </c>
      <c r="D656" s="4" t="s">
        <v>0</v>
      </c>
      <c r="E656" s="4" t="s">
        <v>338</v>
      </c>
      <c r="F656" s="4" t="s">
        <v>4270</v>
      </c>
      <c r="G656" s="4" t="s">
        <v>4271</v>
      </c>
      <c r="H656" s="4">
        <v>1</v>
      </c>
      <c r="I656" s="3">
        <v>0.24</v>
      </c>
    </row>
    <row r="657" spans="1:9" ht="25.5">
      <c r="A657" s="35" t="s">
        <v>337</v>
      </c>
      <c r="B657" s="35" t="s">
        <v>4268</v>
      </c>
      <c r="C657" s="35" t="s">
        <v>4272</v>
      </c>
      <c r="D657" s="32" t="s">
        <v>1</v>
      </c>
      <c r="E657" s="32" t="s">
        <v>178</v>
      </c>
      <c r="F657" s="36" t="s">
        <v>3919</v>
      </c>
      <c r="G657" s="36" t="s">
        <v>4273</v>
      </c>
      <c r="H657" s="4">
        <v>3</v>
      </c>
      <c r="I657" s="3"/>
    </row>
    <row r="658" spans="1:9" ht="25.5">
      <c r="A658" s="129" t="s">
        <v>1074</v>
      </c>
      <c r="B658" s="129" t="s">
        <v>4274</v>
      </c>
      <c r="C658" s="129" t="s">
        <v>4275</v>
      </c>
      <c r="D658" s="65" t="s">
        <v>721</v>
      </c>
      <c r="E658" s="34" t="s">
        <v>1075</v>
      </c>
      <c r="F658" s="34" t="s">
        <v>4276</v>
      </c>
      <c r="G658" s="34" t="s">
        <v>4277</v>
      </c>
      <c r="H658" s="30">
        <v>2</v>
      </c>
      <c r="I658" s="3">
        <v>0.5</v>
      </c>
    </row>
    <row r="659" spans="1:9" ht="25.5">
      <c r="A659" s="129" t="s">
        <v>1074</v>
      </c>
      <c r="B659" s="129" t="s">
        <v>4274</v>
      </c>
      <c r="C659" s="129" t="s">
        <v>4275</v>
      </c>
      <c r="D659" s="4" t="s">
        <v>1</v>
      </c>
      <c r="E659" s="4" t="s">
        <v>346</v>
      </c>
      <c r="F659" s="4" t="s">
        <v>4278</v>
      </c>
      <c r="G659" s="4" t="s">
        <v>4279</v>
      </c>
      <c r="H659" s="4">
        <v>1</v>
      </c>
      <c r="I659" s="3"/>
    </row>
    <row r="660" spans="1:9" ht="25.5">
      <c r="A660" s="129" t="s">
        <v>347</v>
      </c>
      <c r="B660" s="129" t="s">
        <v>4274</v>
      </c>
      <c r="C660" s="129" t="s">
        <v>4280</v>
      </c>
      <c r="D660" s="4" t="s">
        <v>2</v>
      </c>
      <c r="E660" s="4" t="s">
        <v>348</v>
      </c>
      <c r="F660" s="4" t="s">
        <v>4281</v>
      </c>
      <c r="G660" s="4" t="s">
        <v>4282</v>
      </c>
      <c r="H660" s="4">
        <v>2</v>
      </c>
      <c r="I660" s="3"/>
    </row>
    <row r="661" spans="1:9" ht="25.5">
      <c r="A661" s="129" t="s">
        <v>347</v>
      </c>
      <c r="B661" s="129" t="s">
        <v>4274</v>
      </c>
      <c r="C661" s="129" t="s">
        <v>4280</v>
      </c>
      <c r="D661" s="30" t="s">
        <v>826</v>
      </c>
      <c r="E661" s="34" t="s">
        <v>349</v>
      </c>
      <c r="F661" s="34" t="s">
        <v>4283</v>
      </c>
      <c r="G661" s="34" t="s">
        <v>4284</v>
      </c>
      <c r="H661" s="30">
        <v>1</v>
      </c>
      <c r="I661" s="3"/>
    </row>
    <row r="662" spans="1:9" ht="25.5">
      <c r="A662" s="68" t="s">
        <v>1076</v>
      </c>
      <c r="B662" s="68" t="s">
        <v>4285</v>
      </c>
      <c r="C662" s="68" t="s">
        <v>4286</v>
      </c>
      <c r="D662" s="68" t="s">
        <v>0</v>
      </c>
      <c r="E662" s="4" t="s">
        <v>351</v>
      </c>
      <c r="F662" s="4" t="s">
        <v>4287</v>
      </c>
      <c r="G662" s="4" t="s">
        <v>4288</v>
      </c>
      <c r="H662" s="68">
        <v>1</v>
      </c>
      <c r="I662" s="3">
        <v>0.48</v>
      </c>
    </row>
    <row r="663" spans="1:9" ht="25.5">
      <c r="A663" s="68" t="s">
        <v>1076</v>
      </c>
      <c r="B663" s="68" t="s">
        <v>4285</v>
      </c>
      <c r="C663" s="68" t="s">
        <v>4289</v>
      </c>
      <c r="D663" s="68" t="s">
        <v>1</v>
      </c>
      <c r="E663" s="68" t="s">
        <v>1077</v>
      </c>
      <c r="F663" s="68" t="s">
        <v>4290</v>
      </c>
      <c r="G663" s="68" t="s">
        <v>4291</v>
      </c>
      <c r="H663" s="4">
        <v>2</v>
      </c>
      <c r="I663" s="3"/>
    </row>
    <row r="664" spans="1:9" ht="25.5">
      <c r="A664" s="68" t="s">
        <v>350</v>
      </c>
      <c r="B664" s="68" t="s">
        <v>4285</v>
      </c>
      <c r="C664" s="68" t="s">
        <v>4292</v>
      </c>
      <c r="D664" s="68" t="s">
        <v>2</v>
      </c>
      <c r="E664" s="4" t="s">
        <v>348</v>
      </c>
      <c r="F664" s="68" t="s">
        <v>4281</v>
      </c>
      <c r="G664" s="68" t="s">
        <v>4293</v>
      </c>
      <c r="H664" s="4">
        <v>2</v>
      </c>
      <c r="I664" s="3"/>
    </row>
    <row r="665" spans="1:9" ht="25.5">
      <c r="A665" s="68" t="s">
        <v>350</v>
      </c>
      <c r="B665" s="68" t="s">
        <v>4285</v>
      </c>
      <c r="C665" s="68" t="s">
        <v>4286</v>
      </c>
      <c r="D665" s="68" t="s">
        <v>7</v>
      </c>
      <c r="E665" s="4" t="s">
        <v>349</v>
      </c>
      <c r="F665" s="68" t="s">
        <v>4294</v>
      </c>
      <c r="G665" s="68" t="s">
        <v>4284</v>
      </c>
      <c r="H665" s="4">
        <v>1</v>
      </c>
      <c r="I665" s="3"/>
    </row>
    <row r="666" spans="1:9" ht="25.5">
      <c r="A666" s="93" t="s">
        <v>1078</v>
      </c>
      <c r="B666" s="93" t="s">
        <v>3413</v>
      </c>
      <c r="C666" s="93" t="s">
        <v>4295</v>
      </c>
      <c r="D666" s="93" t="s">
        <v>721</v>
      </c>
      <c r="E666" s="83" t="s">
        <v>1079</v>
      </c>
      <c r="F666" s="83" t="s">
        <v>3415</v>
      </c>
      <c r="G666" s="83" t="s">
        <v>3416</v>
      </c>
      <c r="H666" s="83">
        <v>1</v>
      </c>
      <c r="I666" s="3">
        <v>0.1</v>
      </c>
    </row>
    <row r="667" spans="1:9" ht="25.5">
      <c r="A667" s="93" t="s">
        <v>1078</v>
      </c>
      <c r="B667" s="93" t="s">
        <v>3413</v>
      </c>
      <c r="C667" s="93" t="s">
        <v>3414</v>
      </c>
      <c r="D667" s="93" t="s">
        <v>701</v>
      </c>
      <c r="E667" s="93" t="s">
        <v>1080</v>
      </c>
      <c r="F667" s="93" t="s">
        <v>4296</v>
      </c>
      <c r="G667" s="93" t="s">
        <v>4297</v>
      </c>
      <c r="H667" s="83">
        <v>1</v>
      </c>
      <c r="I667" s="3"/>
    </row>
    <row r="668" spans="1:9" ht="25.5">
      <c r="A668" s="93" t="s">
        <v>1078</v>
      </c>
      <c r="B668" s="93" t="s">
        <v>3413</v>
      </c>
      <c r="C668" s="93" t="s">
        <v>3414</v>
      </c>
      <c r="D668" s="93" t="s">
        <v>824</v>
      </c>
      <c r="E668" s="84" t="s">
        <v>3</v>
      </c>
      <c r="F668" s="84" t="s">
        <v>2836</v>
      </c>
      <c r="G668" s="84" t="s">
        <v>2738</v>
      </c>
      <c r="H668" s="83">
        <v>1</v>
      </c>
      <c r="I668" s="3"/>
    </row>
    <row r="669" spans="1:9" ht="25.5">
      <c r="A669" s="93" t="s">
        <v>1078</v>
      </c>
      <c r="B669" s="93" t="s">
        <v>3413</v>
      </c>
      <c r="C669" s="93" t="s">
        <v>3414</v>
      </c>
      <c r="D669" s="93"/>
      <c r="E669" s="46" t="s">
        <v>1081</v>
      </c>
      <c r="F669" s="46" t="s">
        <v>4298</v>
      </c>
      <c r="G669" s="46" t="s">
        <v>4299</v>
      </c>
      <c r="H669" s="83">
        <v>1</v>
      </c>
      <c r="I669" s="3"/>
    </row>
    <row r="670" spans="1:9" ht="25.5">
      <c r="A670" s="93" t="s">
        <v>1082</v>
      </c>
      <c r="B670" s="93" t="s">
        <v>3857</v>
      </c>
      <c r="C670" s="93" t="s">
        <v>3858</v>
      </c>
      <c r="D670" s="93" t="s">
        <v>721</v>
      </c>
      <c r="E670" s="46" t="s">
        <v>1081</v>
      </c>
      <c r="F670" s="46" t="s">
        <v>4298</v>
      </c>
      <c r="G670" s="46" t="s">
        <v>4300</v>
      </c>
      <c r="H670" s="83">
        <v>1</v>
      </c>
      <c r="I670" s="3">
        <v>0.31</v>
      </c>
    </row>
    <row r="671" spans="1:9" ht="25.5">
      <c r="A671" s="93" t="s">
        <v>1082</v>
      </c>
      <c r="B671" s="93" t="s">
        <v>3857</v>
      </c>
      <c r="C671" s="93" t="s">
        <v>3858</v>
      </c>
      <c r="D671" s="93" t="s">
        <v>701</v>
      </c>
      <c r="E671" s="34" t="s">
        <v>854</v>
      </c>
      <c r="F671" s="84" t="s">
        <v>3411</v>
      </c>
      <c r="G671" s="84" t="s">
        <v>3412</v>
      </c>
      <c r="H671" s="83">
        <v>1</v>
      </c>
      <c r="I671" s="3"/>
    </row>
    <row r="672" spans="1:9" ht="25.5">
      <c r="A672" s="93" t="s">
        <v>1082</v>
      </c>
      <c r="B672" s="93" t="s">
        <v>3857</v>
      </c>
      <c r="C672" s="93" t="s">
        <v>3858</v>
      </c>
      <c r="D672" s="93" t="s">
        <v>824</v>
      </c>
      <c r="E672" s="84" t="s">
        <v>3</v>
      </c>
      <c r="F672" s="84" t="s">
        <v>2836</v>
      </c>
      <c r="G672" s="84" t="s">
        <v>2738</v>
      </c>
      <c r="H672" s="83">
        <v>2</v>
      </c>
      <c r="I672" s="3"/>
    </row>
    <row r="673" spans="1:9" ht="25.5">
      <c r="A673" s="93" t="s">
        <v>1082</v>
      </c>
      <c r="B673" s="93" t="s">
        <v>3857</v>
      </c>
      <c r="C673" s="93" t="s">
        <v>3858</v>
      </c>
      <c r="D673" s="93" t="s">
        <v>826</v>
      </c>
      <c r="E673" s="34" t="s">
        <v>952</v>
      </c>
      <c r="F673" s="34" t="s">
        <v>3623</v>
      </c>
      <c r="G673" s="34" t="s">
        <v>4301</v>
      </c>
      <c r="H673" s="83">
        <v>1</v>
      </c>
      <c r="I673" s="3"/>
    </row>
    <row r="674" spans="1:9">
      <c r="A674" s="4" t="s">
        <v>370</v>
      </c>
      <c r="B674" s="4" t="s">
        <v>4302</v>
      </c>
      <c r="C674" s="4" t="s">
        <v>4303</v>
      </c>
      <c r="D674" s="4" t="s">
        <v>0</v>
      </c>
      <c r="E674" s="11" t="s">
        <v>1083</v>
      </c>
      <c r="F674" s="11" t="s">
        <v>4304</v>
      </c>
      <c r="G674" s="11" t="s">
        <v>4305</v>
      </c>
      <c r="H674" s="30">
        <v>4</v>
      </c>
      <c r="I674" s="3">
        <v>1.68</v>
      </c>
    </row>
    <row r="675" spans="1:9">
      <c r="A675" s="4" t="s">
        <v>370</v>
      </c>
      <c r="B675" s="4" t="s">
        <v>4302</v>
      </c>
      <c r="C675" s="4" t="s">
        <v>4306</v>
      </c>
      <c r="D675" s="4" t="s">
        <v>1</v>
      </c>
      <c r="E675" s="4" t="s">
        <v>371</v>
      </c>
      <c r="F675" s="4" t="s">
        <v>4307</v>
      </c>
      <c r="G675" s="4" t="s">
        <v>4308</v>
      </c>
      <c r="H675" s="4">
        <v>20</v>
      </c>
      <c r="I675" s="3"/>
    </row>
    <row r="676" spans="1:9" ht="38.25">
      <c r="A676" s="35" t="s">
        <v>429</v>
      </c>
      <c r="B676" s="35" t="s">
        <v>4309</v>
      </c>
      <c r="C676" s="35" t="s">
        <v>4310</v>
      </c>
      <c r="D676" s="4" t="s">
        <v>0</v>
      </c>
      <c r="E676" s="4" t="s">
        <v>430</v>
      </c>
      <c r="F676" s="4" t="s">
        <v>4311</v>
      </c>
      <c r="G676" s="4" t="s">
        <v>4312</v>
      </c>
      <c r="H676" s="4">
        <v>20</v>
      </c>
      <c r="I676" s="3">
        <v>0.6</v>
      </c>
    </row>
    <row r="677" spans="1:9" ht="25.5">
      <c r="A677" s="4" t="s">
        <v>372</v>
      </c>
      <c r="B677" s="4" t="s">
        <v>4313</v>
      </c>
      <c r="C677" s="4" t="s">
        <v>4314</v>
      </c>
      <c r="D677" s="4" t="s">
        <v>0</v>
      </c>
      <c r="E677" s="11" t="s">
        <v>1084</v>
      </c>
      <c r="F677" s="11" t="s">
        <v>4315</v>
      </c>
      <c r="G677" s="11" t="s">
        <v>4316</v>
      </c>
      <c r="H677" s="30">
        <v>1</v>
      </c>
      <c r="I677" s="3">
        <v>0.27</v>
      </c>
    </row>
    <row r="678" spans="1:9" ht="25.5">
      <c r="A678" s="4" t="s">
        <v>372</v>
      </c>
      <c r="B678" s="4" t="s">
        <v>4313</v>
      </c>
      <c r="C678" s="4" t="s">
        <v>4317</v>
      </c>
      <c r="D678" s="4" t="s">
        <v>1</v>
      </c>
      <c r="E678" s="4" t="s">
        <v>373</v>
      </c>
      <c r="F678" s="4" t="s">
        <v>4318</v>
      </c>
      <c r="G678" s="4" t="s">
        <v>4319</v>
      </c>
      <c r="H678" s="4">
        <v>1</v>
      </c>
      <c r="I678" s="3"/>
    </row>
    <row r="679" spans="1:9" ht="25.5">
      <c r="A679" s="4" t="s">
        <v>436</v>
      </c>
      <c r="B679" s="4" t="s">
        <v>4320</v>
      </c>
      <c r="C679" s="4" t="s">
        <v>4321</v>
      </c>
      <c r="D679" s="4" t="s">
        <v>0</v>
      </c>
      <c r="E679" s="4" t="s">
        <v>437</v>
      </c>
      <c r="F679" s="4" t="s">
        <v>4322</v>
      </c>
      <c r="G679" s="4" t="s">
        <v>4323</v>
      </c>
      <c r="H679" s="4">
        <v>1</v>
      </c>
      <c r="I679" s="3">
        <v>7.0000000000000007E-2</v>
      </c>
    </row>
    <row r="680" spans="1:9" ht="25.5">
      <c r="A680" s="4" t="s">
        <v>376</v>
      </c>
      <c r="B680" s="4" t="s">
        <v>4324</v>
      </c>
      <c r="C680" s="4" t="s">
        <v>4325</v>
      </c>
      <c r="D680" s="4" t="s">
        <v>0</v>
      </c>
      <c r="E680" s="4" t="s">
        <v>377</v>
      </c>
      <c r="F680" s="4" t="s">
        <v>4326</v>
      </c>
      <c r="G680" s="4" t="s">
        <v>4327</v>
      </c>
      <c r="H680" s="4">
        <v>1</v>
      </c>
      <c r="I680" s="3">
        <v>1.29</v>
      </c>
    </row>
    <row r="681" spans="1:9" ht="25.5">
      <c r="A681" s="4" t="s">
        <v>376</v>
      </c>
      <c r="B681" s="4" t="s">
        <v>4324</v>
      </c>
      <c r="C681" s="4" t="s">
        <v>4325</v>
      </c>
      <c r="D681" s="4" t="s">
        <v>0</v>
      </c>
      <c r="E681" s="4" t="s">
        <v>378</v>
      </c>
      <c r="F681" s="4" t="s">
        <v>4328</v>
      </c>
      <c r="G681" s="4" t="s">
        <v>4329</v>
      </c>
      <c r="H681" s="4">
        <v>1</v>
      </c>
      <c r="I681" s="3"/>
    </row>
    <row r="682" spans="1:9" ht="25.5">
      <c r="A682" s="4" t="s">
        <v>379</v>
      </c>
      <c r="B682" s="4" t="s">
        <v>4330</v>
      </c>
      <c r="C682" s="4" t="s">
        <v>4331</v>
      </c>
      <c r="D682" s="4" t="s">
        <v>0</v>
      </c>
      <c r="E682" s="4" t="s">
        <v>380</v>
      </c>
      <c r="F682" s="4" t="s">
        <v>4332</v>
      </c>
      <c r="G682" s="4" t="s">
        <v>4333</v>
      </c>
      <c r="H682" s="4">
        <v>1</v>
      </c>
      <c r="I682" s="3"/>
    </row>
    <row r="683" spans="1:9" ht="25.5">
      <c r="A683" s="4" t="s">
        <v>379</v>
      </c>
      <c r="B683" s="4" t="s">
        <v>4330</v>
      </c>
      <c r="C683" s="4" t="s">
        <v>4331</v>
      </c>
      <c r="D683" s="4" t="s">
        <v>0</v>
      </c>
      <c r="E683" s="4" t="s">
        <v>381</v>
      </c>
      <c r="F683" s="4" t="s">
        <v>4334</v>
      </c>
      <c r="G683" s="4" t="s">
        <v>4335</v>
      </c>
      <c r="H683" s="4">
        <v>1</v>
      </c>
      <c r="I683" s="3"/>
    </row>
    <row r="684" spans="1:9">
      <c r="A684" s="4" t="s">
        <v>397</v>
      </c>
      <c r="B684" s="4" t="s">
        <v>4336</v>
      </c>
      <c r="C684" s="4" t="s">
        <v>4337</v>
      </c>
      <c r="D684" s="4" t="s">
        <v>0</v>
      </c>
      <c r="E684" s="4" t="s">
        <v>398</v>
      </c>
      <c r="F684" s="4" t="s">
        <v>4338</v>
      </c>
      <c r="G684" s="4" t="s">
        <v>4339</v>
      </c>
      <c r="H684" s="4">
        <v>1</v>
      </c>
      <c r="I684" s="3">
        <v>0.56000000000000005</v>
      </c>
    </row>
    <row r="685" spans="1:9" ht="25.5">
      <c r="A685" s="4" t="s">
        <v>595</v>
      </c>
      <c r="B685" s="4" t="s">
        <v>4340</v>
      </c>
      <c r="C685" s="4" t="s">
        <v>4341</v>
      </c>
      <c r="D685" s="4" t="s">
        <v>0</v>
      </c>
      <c r="E685" s="4" t="s">
        <v>1085</v>
      </c>
      <c r="F685" s="4" t="s">
        <v>4342</v>
      </c>
      <c r="G685" s="4" t="s">
        <v>4343</v>
      </c>
      <c r="H685" s="4">
        <v>1</v>
      </c>
      <c r="I685" s="3">
        <v>0.33</v>
      </c>
    </row>
    <row r="686" spans="1:9" ht="25.5">
      <c r="A686" s="4" t="s">
        <v>576</v>
      </c>
      <c r="B686" s="4" t="s">
        <v>4344</v>
      </c>
      <c r="C686" s="4" t="s">
        <v>4345</v>
      </c>
      <c r="D686" s="4" t="s">
        <v>0</v>
      </c>
      <c r="E686" s="4" t="s">
        <v>1086</v>
      </c>
      <c r="F686" s="4" t="s">
        <v>4346</v>
      </c>
      <c r="G686" s="4" t="s">
        <v>4347</v>
      </c>
      <c r="H686" s="4">
        <v>1</v>
      </c>
      <c r="I686" s="3">
        <v>0.27</v>
      </c>
    </row>
    <row r="687" spans="1:9" ht="25.5">
      <c r="A687" s="4" t="s">
        <v>453</v>
      </c>
      <c r="B687" s="4" t="s">
        <v>4348</v>
      </c>
      <c r="C687" s="4" t="s">
        <v>4349</v>
      </c>
      <c r="D687" s="4" t="s">
        <v>0</v>
      </c>
      <c r="E687" s="4" t="s">
        <v>1087</v>
      </c>
      <c r="F687" s="4" t="s">
        <v>4350</v>
      </c>
      <c r="G687" s="4" t="s">
        <v>4351</v>
      </c>
      <c r="H687" s="4">
        <v>1</v>
      </c>
      <c r="I687" s="3">
        <v>1.78</v>
      </c>
    </row>
    <row r="688" spans="1:9" ht="25.5">
      <c r="A688" s="4" t="s">
        <v>453</v>
      </c>
      <c r="B688" s="4" t="s">
        <v>4348</v>
      </c>
      <c r="C688" s="4" t="s">
        <v>4349</v>
      </c>
      <c r="D688" s="4" t="s">
        <v>0</v>
      </c>
      <c r="E688" s="4" t="s">
        <v>1088</v>
      </c>
      <c r="F688" s="4" t="s">
        <v>4352</v>
      </c>
      <c r="G688" s="4" t="s">
        <v>4353</v>
      </c>
      <c r="H688" s="4">
        <v>1</v>
      </c>
      <c r="I688" s="3"/>
    </row>
    <row r="689" spans="1:9" ht="25.5">
      <c r="A689" s="4" t="s">
        <v>454</v>
      </c>
      <c r="B689" s="4" t="s">
        <v>4354</v>
      </c>
      <c r="C689" s="4" t="s">
        <v>4355</v>
      </c>
      <c r="D689" s="4" t="s">
        <v>0</v>
      </c>
      <c r="E689" s="4" t="s">
        <v>1089</v>
      </c>
      <c r="F689" s="4" t="s">
        <v>4356</v>
      </c>
      <c r="G689" s="4" t="s">
        <v>4357</v>
      </c>
      <c r="H689" s="4">
        <v>1</v>
      </c>
      <c r="I689" s="3">
        <v>2.3199999999999998</v>
      </c>
    </row>
    <row r="690" spans="1:9" ht="25.5">
      <c r="A690" s="4" t="s">
        <v>454</v>
      </c>
      <c r="B690" s="4" t="s">
        <v>4354</v>
      </c>
      <c r="C690" s="4" t="s">
        <v>4355</v>
      </c>
      <c r="D690" s="4" t="s">
        <v>0</v>
      </c>
      <c r="E690" s="4" t="s">
        <v>1090</v>
      </c>
      <c r="F690" s="4" t="s">
        <v>4358</v>
      </c>
      <c r="G690" s="4" t="s">
        <v>4359</v>
      </c>
      <c r="H690" s="4">
        <v>1</v>
      </c>
      <c r="I690" s="3"/>
    </row>
    <row r="691" spans="1:9" ht="38.25">
      <c r="A691" s="4" t="s">
        <v>454</v>
      </c>
      <c r="B691" s="4" t="s">
        <v>4354</v>
      </c>
      <c r="C691" s="4" t="s">
        <v>4360</v>
      </c>
      <c r="D691" s="4" t="s">
        <v>1</v>
      </c>
      <c r="E691" s="4" t="s">
        <v>455</v>
      </c>
      <c r="F691" s="4" t="s">
        <v>4361</v>
      </c>
      <c r="G691" s="4" t="s">
        <v>4362</v>
      </c>
      <c r="H691" s="4">
        <v>1</v>
      </c>
      <c r="I691" s="3"/>
    </row>
    <row r="692" spans="1:9" ht="38.25">
      <c r="A692" s="4" t="s">
        <v>382</v>
      </c>
      <c r="B692" s="4" t="s">
        <v>4363</v>
      </c>
      <c r="C692" s="4" t="s">
        <v>4364</v>
      </c>
      <c r="D692" s="4" t="s">
        <v>0</v>
      </c>
      <c r="E692" s="4" t="s">
        <v>383</v>
      </c>
      <c r="F692" s="4" t="s">
        <v>4365</v>
      </c>
      <c r="G692" s="4" t="s">
        <v>4366</v>
      </c>
      <c r="H692" s="4">
        <v>1</v>
      </c>
      <c r="I692" s="3">
        <v>0.05</v>
      </c>
    </row>
    <row r="693" spans="1:9">
      <c r="A693" s="4" t="s">
        <v>402</v>
      </c>
      <c r="B693" s="4" t="s">
        <v>4367</v>
      </c>
      <c r="C693" s="4" t="s">
        <v>4368</v>
      </c>
      <c r="D693" s="4" t="s">
        <v>0</v>
      </c>
      <c r="E693" s="34" t="s">
        <v>622</v>
      </c>
      <c r="F693" s="34" t="s">
        <v>4369</v>
      </c>
      <c r="G693" s="34" t="s">
        <v>4370</v>
      </c>
      <c r="H693" s="34">
        <v>1</v>
      </c>
      <c r="I693" s="3">
        <v>1.93</v>
      </c>
    </row>
    <row r="694" spans="1:9" ht="25.5">
      <c r="A694" s="4" t="s">
        <v>402</v>
      </c>
      <c r="B694" s="4" t="s">
        <v>4367</v>
      </c>
      <c r="C694" s="4" t="s">
        <v>4371</v>
      </c>
      <c r="D694" s="4" t="s">
        <v>0</v>
      </c>
      <c r="E694" s="34" t="s">
        <v>623</v>
      </c>
      <c r="F694" s="34" t="s">
        <v>4369</v>
      </c>
      <c r="G694" s="34" t="s">
        <v>4370</v>
      </c>
      <c r="H694" s="34">
        <v>0</v>
      </c>
      <c r="I694" s="3">
        <v>1.78</v>
      </c>
    </row>
    <row r="695" spans="1:9">
      <c r="A695" s="4" t="s">
        <v>402</v>
      </c>
      <c r="B695" s="4" t="s">
        <v>4367</v>
      </c>
      <c r="C695" s="4" t="s">
        <v>4368</v>
      </c>
      <c r="D695" s="4" t="s">
        <v>0</v>
      </c>
      <c r="E695" s="34" t="s">
        <v>403</v>
      </c>
      <c r="F695" s="34" t="s">
        <v>4372</v>
      </c>
      <c r="G695" s="34" t="s">
        <v>4373</v>
      </c>
      <c r="H695" s="34">
        <v>1</v>
      </c>
      <c r="I695" s="3"/>
    </row>
    <row r="696" spans="1:9" ht="25.5">
      <c r="A696" s="4" t="s">
        <v>1091</v>
      </c>
      <c r="B696" s="4" t="s">
        <v>4367</v>
      </c>
      <c r="C696" s="4" t="s">
        <v>4371</v>
      </c>
      <c r="D696" s="4" t="s">
        <v>0</v>
      </c>
      <c r="E696" s="34" t="s">
        <v>624</v>
      </c>
      <c r="F696" s="34" t="s">
        <v>4372</v>
      </c>
      <c r="G696" s="34" t="s">
        <v>4373</v>
      </c>
      <c r="H696" s="34">
        <v>0</v>
      </c>
      <c r="I696" s="3"/>
    </row>
    <row r="697" spans="1:9" ht="25.5">
      <c r="A697" s="4" t="s">
        <v>402</v>
      </c>
      <c r="B697" s="4" t="s">
        <v>4367</v>
      </c>
      <c r="C697" s="4" t="s">
        <v>4368</v>
      </c>
      <c r="D697" s="4" t="s">
        <v>1</v>
      </c>
      <c r="E697" s="4" t="s">
        <v>404</v>
      </c>
      <c r="F697" s="4" t="s">
        <v>4374</v>
      </c>
      <c r="G697" s="4" t="s">
        <v>4375</v>
      </c>
      <c r="H697" s="4">
        <v>8</v>
      </c>
      <c r="I697" s="3"/>
    </row>
    <row r="698" spans="1:9" ht="38.25">
      <c r="A698" s="4" t="s">
        <v>405</v>
      </c>
      <c r="B698" s="4" t="s">
        <v>4376</v>
      </c>
      <c r="C698" s="4" t="s">
        <v>4377</v>
      </c>
      <c r="D698" s="4" t="s">
        <v>0</v>
      </c>
      <c r="E698" s="34" t="s">
        <v>406</v>
      </c>
      <c r="F698" s="34" t="s">
        <v>4378</v>
      </c>
      <c r="G698" s="34" t="s">
        <v>4379</v>
      </c>
      <c r="H698" s="4">
        <v>1</v>
      </c>
      <c r="I698" s="3">
        <v>0.27</v>
      </c>
    </row>
    <row r="699" spans="1:9" ht="38.25">
      <c r="A699" s="4" t="s">
        <v>405</v>
      </c>
      <c r="B699" s="4" t="s">
        <v>4376</v>
      </c>
      <c r="C699" s="4" t="s">
        <v>4380</v>
      </c>
      <c r="D699" s="4" t="s">
        <v>1</v>
      </c>
      <c r="E699" s="114" t="s">
        <v>407</v>
      </c>
      <c r="F699" s="4" t="s">
        <v>3919</v>
      </c>
      <c r="G699" s="4" t="s">
        <v>3393</v>
      </c>
      <c r="H699" s="4">
        <v>2</v>
      </c>
      <c r="I699" s="3"/>
    </row>
    <row r="700" spans="1:9" ht="25.5">
      <c r="A700" s="4" t="s">
        <v>408</v>
      </c>
      <c r="B700" s="4" t="s">
        <v>4381</v>
      </c>
      <c r="C700" s="4" t="s">
        <v>4382</v>
      </c>
      <c r="D700" s="4" t="s">
        <v>0</v>
      </c>
      <c r="E700" s="34" t="s">
        <v>409</v>
      </c>
      <c r="F700" s="34" t="s">
        <v>4383</v>
      </c>
      <c r="G700" s="34" t="s">
        <v>4384</v>
      </c>
      <c r="H700" s="4">
        <v>1</v>
      </c>
      <c r="I700" s="3">
        <v>0.54</v>
      </c>
    </row>
    <row r="701" spans="1:9" ht="25.5">
      <c r="A701" s="4" t="s">
        <v>408</v>
      </c>
      <c r="B701" s="4" t="s">
        <v>4381</v>
      </c>
      <c r="C701" s="4" t="s">
        <v>4385</v>
      </c>
      <c r="D701" s="4" t="s">
        <v>0</v>
      </c>
      <c r="E701" s="34" t="s">
        <v>410</v>
      </c>
      <c r="F701" s="34" t="s">
        <v>4386</v>
      </c>
      <c r="G701" s="34" t="s">
        <v>4387</v>
      </c>
      <c r="H701" s="4">
        <v>1</v>
      </c>
      <c r="I701" s="3"/>
    </row>
    <row r="702" spans="1:9" ht="25.5">
      <c r="A702" s="4" t="s">
        <v>408</v>
      </c>
      <c r="B702" s="4" t="s">
        <v>4381</v>
      </c>
      <c r="C702" s="4" t="s">
        <v>4385</v>
      </c>
      <c r="D702" s="4" t="s">
        <v>1</v>
      </c>
      <c r="E702" s="4" t="s">
        <v>404</v>
      </c>
      <c r="F702" s="4" t="s">
        <v>4374</v>
      </c>
      <c r="G702" s="4" t="s">
        <v>4388</v>
      </c>
      <c r="H702" s="4">
        <v>4</v>
      </c>
      <c r="I702" s="3"/>
    </row>
    <row r="703" spans="1:9" ht="38.25">
      <c r="A703" s="4" t="s">
        <v>411</v>
      </c>
      <c r="B703" s="4" t="s">
        <v>4389</v>
      </c>
      <c r="C703" s="4" t="s">
        <v>4390</v>
      </c>
      <c r="D703" s="4" t="s">
        <v>0</v>
      </c>
      <c r="E703" s="34" t="s">
        <v>412</v>
      </c>
      <c r="F703" s="34" t="s">
        <v>4391</v>
      </c>
      <c r="G703" s="34" t="s">
        <v>4392</v>
      </c>
      <c r="H703" s="4">
        <v>1</v>
      </c>
      <c r="I703" s="3">
        <v>0.27</v>
      </c>
    </row>
    <row r="704" spans="1:9" ht="38.25">
      <c r="A704" s="4" t="s">
        <v>411</v>
      </c>
      <c r="B704" s="4" t="s">
        <v>4389</v>
      </c>
      <c r="C704" s="4" t="s">
        <v>4393</v>
      </c>
      <c r="D704" s="4" t="s">
        <v>1</v>
      </c>
      <c r="E704" s="114" t="s">
        <v>407</v>
      </c>
      <c r="F704" s="4" t="s">
        <v>3919</v>
      </c>
      <c r="G704" s="4" t="s">
        <v>3393</v>
      </c>
      <c r="H704" s="4">
        <v>2</v>
      </c>
      <c r="I704" s="3"/>
    </row>
    <row r="705" spans="1:9" ht="38.25">
      <c r="A705" s="4" t="s">
        <v>411</v>
      </c>
      <c r="B705" s="4" t="s">
        <v>4389</v>
      </c>
      <c r="C705" s="4" t="s">
        <v>4390</v>
      </c>
      <c r="D705" s="4" t="s">
        <v>2</v>
      </c>
      <c r="E705" s="33" t="s">
        <v>413</v>
      </c>
      <c r="F705" s="4" t="s">
        <v>3610</v>
      </c>
      <c r="G705" s="4" t="s">
        <v>3611</v>
      </c>
      <c r="H705" s="4">
        <v>1</v>
      </c>
      <c r="I705" s="3"/>
    </row>
    <row r="706" spans="1:9" ht="25.5">
      <c r="A706" s="4" t="s">
        <v>414</v>
      </c>
      <c r="B706" s="4" t="s">
        <v>4394</v>
      </c>
      <c r="C706" s="4" t="s">
        <v>4395</v>
      </c>
      <c r="D706" s="4" t="s">
        <v>0</v>
      </c>
      <c r="E706" s="4" t="s">
        <v>415</v>
      </c>
      <c r="F706" s="4" t="s">
        <v>4396</v>
      </c>
      <c r="G706" s="4" t="s">
        <v>4397</v>
      </c>
      <c r="H706" s="4">
        <v>1</v>
      </c>
      <c r="I706" s="3">
        <v>0.19</v>
      </c>
    </row>
    <row r="707" spans="1:9" ht="25.5">
      <c r="A707" s="4" t="s">
        <v>414</v>
      </c>
      <c r="B707" s="4" t="s">
        <v>4394</v>
      </c>
      <c r="C707" s="4" t="s">
        <v>4395</v>
      </c>
      <c r="D707" s="4" t="s">
        <v>1</v>
      </c>
      <c r="E707" s="4" t="s">
        <v>404</v>
      </c>
      <c r="F707" s="4" t="s">
        <v>4374</v>
      </c>
      <c r="G707" s="4" t="s">
        <v>4398</v>
      </c>
      <c r="H707" s="4">
        <v>2</v>
      </c>
      <c r="I707" s="3"/>
    </row>
    <row r="708" spans="1:9" ht="25.5">
      <c r="A708" s="4" t="s">
        <v>219</v>
      </c>
      <c r="B708" s="4" t="s">
        <v>4399</v>
      </c>
      <c r="C708" s="4" t="s">
        <v>4400</v>
      </c>
      <c r="D708" s="4" t="s">
        <v>0</v>
      </c>
      <c r="E708" s="4" t="s">
        <v>1092</v>
      </c>
      <c r="F708" s="4" t="s">
        <v>4401</v>
      </c>
      <c r="G708" s="4" t="s">
        <v>4402</v>
      </c>
      <c r="H708" s="4" t="s">
        <v>42</v>
      </c>
      <c r="I708" s="3">
        <v>0.3</v>
      </c>
    </row>
    <row r="709" spans="1:9" ht="25.5">
      <c r="A709" s="4" t="s">
        <v>219</v>
      </c>
      <c r="B709" s="4" t="s">
        <v>4399</v>
      </c>
      <c r="C709" s="4" t="s">
        <v>4400</v>
      </c>
      <c r="D709" s="4" t="s">
        <v>1</v>
      </c>
      <c r="E709" s="4" t="s">
        <v>220</v>
      </c>
      <c r="F709" s="4" t="s">
        <v>4403</v>
      </c>
      <c r="G709" s="4" t="s">
        <v>4404</v>
      </c>
      <c r="H709" s="4" t="s">
        <v>221</v>
      </c>
      <c r="I709" s="3"/>
    </row>
    <row r="710" spans="1:9" ht="25.5">
      <c r="A710" s="4" t="s">
        <v>1093</v>
      </c>
      <c r="B710" s="4" t="s">
        <v>4405</v>
      </c>
      <c r="C710" s="4" t="s">
        <v>4406</v>
      </c>
      <c r="D710" s="4" t="s">
        <v>0</v>
      </c>
      <c r="E710" s="4" t="s">
        <v>170</v>
      </c>
      <c r="F710" s="4" t="s">
        <v>4407</v>
      </c>
      <c r="G710" s="4" t="s">
        <v>4406</v>
      </c>
      <c r="H710" s="4">
        <v>2</v>
      </c>
      <c r="I710" s="3">
        <v>0.3</v>
      </c>
    </row>
    <row r="711" spans="1:9" ht="25.5">
      <c r="A711" s="64" t="s">
        <v>1094</v>
      </c>
      <c r="B711" s="64" t="s">
        <v>4408</v>
      </c>
      <c r="C711" s="64" t="s">
        <v>4409</v>
      </c>
      <c r="D711" s="65" t="s">
        <v>721</v>
      </c>
      <c r="E711" s="34" t="s">
        <v>1095</v>
      </c>
      <c r="F711" s="76" t="s">
        <v>4410</v>
      </c>
      <c r="G711" s="76" t="s">
        <v>4411</v>
      </c>
      <c r="H711" s="67">
        <v>1</v>
      </c>
      <c r="I711" s="3">
        <v>0.76</v>
      </c>
    </row>
    <row r="712" spans="1:9" ht="25.5">
      <c r="A712" s="64" t="s">
        <v>1094</v>
      </c>
      <c r="B712" s="64" t="s">
        <v>4408</v>
      </c>
      <c r="C712" s="64" t="s">
        <v>4412</v>
      </c>
      <c r="D712" s="65" t="s">
        <v>721</v>
      </c>
      <c r="E712" s="34" t="s">
        <v>201</v>
      </c>
      <c r="F712" s="76" t="s">
        <v>4413</v>
      </c>
      <c r="G712" s="76" t="s">
        <v>4414</v>
      </c>
      <c r="H712" s="67">
        <v>1</v>
      </c>
      <c r="I712" s="3"/>
    </row>
    <row r="713" spans="1:9" ht="25.5">
      <c r="A713" s="64" t="s">
        <v>1094</v>
      </c>
      <c r="B713" s="64" t="s">
        <v>4408</v>
      </c>
      <c r="C713" s="64" t="s">
        <v>4412</v>
      </c>
      <c r="D713" s="65" t="s">
        <v>701</v>
      </c>
      <c r="E713" s="66" t="s">
        <v>1096</v>
      </c>
      <c r="F713" s="66" t="s">
        <v>4415</v>
      </c>
      <c r="G713" s="66" t="s">
        <v>4416</v>
      </c>
      <c r="H713" s="67">
        <v>2</v>
      </c>
      <c r="I713" s="3"/>
    </row>
    <row r="714" spans="1:9" ht="25.5">
      <c r="A714" s="64" t="s">
        <v>1094</v>
      </c>
      <c r="B714" s="64" t="s">
        <v>4408</v>
      </c>
      <c r="C714" s="64" t="s">
        <v>4409</v>
      </c>
      <c r="D714" s="65" t="s">
        <v>824</v>
      </c>
      <c r="E714" s="34" t="s">
        <v>1097</v>
      </c>
      <c r="F714" s="34" t="s">
        <v>4417</v>
      </c>
      <c r="G714" s="34" t="s">
        <v>4418</v>
      </c>
      <c r="H714" s="76">
        <v>4</v>
      </c>
      <c r="I714" s="3"/>
    </row>
    <row r="715" spans="1:9" ht="25.5">
      <c r="A715" s="64" t="s">
        <v>1094</v>
      </c>
      <c r="B715" s="64" t="s">
        <v>4408</v>
      </c>
      <c r="C715" s="64" t="s">
        <v>4409</v>
      </c>
      <c r="D715" s="65"/>
      <c r="E715" s="66" t="s">
        <v>1098</v>
      </c>
      <c r="F715" s="66" t="s">
        <v>4419</v>
      </c>
      <c r="G715" s="66" t="s">
        <v>4420</v>
      </c>
      <c r="H715" s="76">
        <v>4</v>
      </c>
      <c r="I715" s="3"/>
    </row>
    <row r="716" spans="1:9" ht="25.5">
      <c r="A716" s="4" t="s">
        <v>601</v>
      </c>
      <c r="B716" s="4" t="s">
        <v>4421</v>
      </c>
      <c r="C716" s="4" t="s">
        <v>4422</v>
      </c>
      <c r="D716" s="4" t="s">
        <v>0</v>
      </c>
      <c r="E716" s="4" t="s">
        <v>1099</v>
      </c>
      <c r="F716" s="4" t="s">
        <v>4423</v>
      </c>
      <c r="G716" s="4" t="s">
        <v>4424</v>
      </c>
      <c r="H716" s="4">
        <v>1</v>
      </c>
      <c r="I716" s="3">
        <v>0.57999999999999996</v>
      </c>
    </row>
    <row r="717" spans="1:9" ht="25.5">
      <c r="A717" s="4" t="s">
        <v>601</v>
      </c>
      <c r="B717" s="4" t="s">
        <v>4421</v>
      </c>
      <c r="C717" s="4" t="s">
        <v>4422</v>
      </c>
      <c r="D717" s="4" t="s">
        <v>0</v>
      </c>
      <c r="E717" s="4" t="s">
        <v>1100</v>
      </c>
      <c r="F717" s="4" t="s">
        <v>4425</v>
      </c>
      <c r="G717" s="4" t="s">
        <v>4426</v>
      </c>
      <c r="H717" s="4">
        <v>1</v>
      </c>
      <c r="I717" s="3"/>
    </row>
    <row r="718" spans="1:9" ht="25.5">
      <c r="A718" s="4" t="s">
        <v>601</v>
      </c>
      <c r="B718" s="4" t="s">
        <v>4421</v>
      </c>
      <c r="C718" s="4" t="s">
        <v>4422</v>
      </c>
      <c r="D718" s="4" t="s">
        <v>1</v>
      </c>
      <c r="E718" s="4" t="s">
        <v>602</v>
      </c>
      <c r="F718" s="4" t="s">
        <v>4427</v>
      </c>
      <c r="G718" s="4" t="s">
        <v>4428</v>
      </c>
      <c r="H718" s="4">
        <v>2</v>
      </c>
      <c r="I718" s="3"/>
    </row>
    <row r="719" spans="1:9" ht="25.5">
      <c r="A719" s="4" t="s">
        <v>601</v>
      </c>
      <c r="B719" s="4" t="s">
        <v>4421</v>
      </c>
      <c r="C719" s="4" t="s">
        <v>4422</v>
      </c>
      <c r="D719" s="4"/>
      <c r="E719" s="4" t="s">
        <v>603</v>
      </c>
      <c r="F719" s="4" t="s">
        <v>4429</v>
      </c>
      <c r="G719" s="4" t="s">
        <v>4420</v>
      </c>
      <c r="H719" s="4">
        <v>2</v>
      </c>
      <c r="I719" s="3"/>
    </row>
    <row r="720" spans="1:9" ht="25.5">
      <c r="A720" s="4" t="s">
        <v>401</v>
      </c>
      <c r="B720" s="4" t="s">
        <v>4430</v>
      </c>
      <c r="C720" s="4" t="s">
        <v>4431</v>
      </c>
      <c r="D720" s="4" t="s">
        <v>0</v>
      </c>
      <c r="E720" s="4" t="s">
        <v>1101</v>
      </c>
      <c r="F720" s="4" t="s">
        <v>4432</v>
      </c>
      <c r="G720" s="4" t="s">
        <v>4433</v>
      </c>
      <c r="H720" s="4">
        <v>1</v>
      </c>
      <c r="I720" s="3">
        <v>0.21</v>
      </c>
    </row>
    <row r="721" spans="1:9" ht="38.25">
      <c r="A721" s="4" t="s">
        <v>401</v>
      </c>
      <c r="B721" s="4" t="s">
        <v>4430</v>
      </c>
      <c r="C721" s="4" t="s">
        <v>4434</v>
      </c>
      <c r="D721" s="4" t="s">
        <v>1</v>
      </c>
      <c r="E721" s="4" t="s">
        <v>1102</v>
      </c>
      <c r="F721" s="4" t="s">
        <v>4435</v>
      </c>
      <c r="G721" s="4" t="s">
        <v>4436</v>
      </c>
      <c r="H721" s="4">
        <v>1</v>
      </c>
      <c r="I721" s="3"/>
    </row>
    <row r="722" spans="1:9" ht="25.5">
      <c r="A722" s="4" t="s">
        <v>431</v>
      </c>
      <c r="B722" s="4" t="s">
        <v>4437</v>
      </c>
      <c r="C722" s="4" t="s">
        <v>4438</v>
      </c>
      <c r="D722" s="4" t="s">
        <v>0</v>
      </c>
      <c r="E722" s="4" t="s">
        <v>1103</v>
      </c>
      <c r="F722" s="4" t="s">
        <v>4439</v>
      </c>
      <c r="G722" s="4" t="s">
        <v>4440</v>
      </c>
      <c r="H722" s="4">
        <v>1</v>
      </c>
      <c r="I722" s="3">
        <v>7.0000000000000007E-2</v>
      </c>
    </row>
    <row r="723" spans="1:9" ht="25.5">
      <c r="A723" s="64" t="s">
        <v>1104</v>
      </c>
      <c r="B723" s="64" t="s">
        <v>4441</v>
      </c>
      <c r="C723" s="64" t="s">
        <v>4442</v>
      </c>
      <c r="D723" s="3" t="s">
        <v>721</v>
      </c>
      <c r="E723" s="11" t="s">
        <v>1105</v>
      </c>
      <c r="F723" s="11" t="s">
        <v>4443</v>
      </c>
      <c r="G723" s="11" t="s">
        <v>4444</v>
      </c>
      <c r="H723" s="3">
        <v>1</v>
      </c>
      <c r="I723" s="3">
        <v>0.14000000000000001</v>
      </c>
    </row>
    <row r="724" spans="1:9" ht="25.5">
      <c r="A724" s="64" t="s">
        <v>1104</v>
      </c>
      <c r="B724" s="64" t="s">
        <v>4441</v>
      </c>
      <c r="C724" s="64" t="s">
        <v>4445</v>
      </c>
      <c r="D724" s="3" t="s">
        <v>701</v>
      </c>
      <c r="E724" s="66" t="s">
        <v>1106</v>
      </c>
      <c r="F724" s="66" t="s">
        <v>4446</v>
      </c>
      <c r="G724" s="66" t="s">
        <v>4447</v>
      </c>
      <c r="H724" s="67">
        <v>1</v>
      </c>
      <c r="I724" s="3"/>
    </row>
    <row r="725" spans="1:9" ht="25.5">
      <c r="A725" s="4" t="s">
        <v>438</v>
      </c>
      <c r="B725" s="4" t="s">
        <v>4448</v>
      </c>
      <c r="C725" s="4" t="s">
        <v>4449</v>
      </c>
      <c r="D725" s="4" t="s">
        <v>0</v>
      </c>
      <c r="E725" s="4" t="s">
        <v>439</v>
      </c>
      <c r="F725" s="4" t="s">
        <v>4450</v>
      </c>
      <c r="G725" s="4" t="s">
        <v>4451</v>
      </c>
      <c r="H725" s="4">
        <v>1</v>
      </c>
      <c r="I725" s="3">
        <v>0.81</v>
      </c>
    </row>
    <row r="726" spans="1:9" ht="38.25">
      <c r="A726" s="4" t="s">
        <v>438</v>
      </c>
      <c r="B726" s="4" t="s">
        <v>4448</v>
      </c>
      <c r="C726" s="4" t="s">
        <v>4452</v>
      </c>
      <c r="D726" s="4" t="s">
        <v>0</v>
      </c>
      <c r="E726" s="4" t="s">
        <v>1107</v>
      </c>
      <c r="F726" s="4" t="s">
        <v>4453</v>
      </c>
      <c r="G726" s="4" t="s">
        <v>4454</v>
      </c>
      <c r="H726" s="4">
        <v>1</v>
      </c>
      <c r="I726" s="3"/>
    </row>
    <row r="727" spans="1:9" ht="38.25">
      <c r="A727" s="4" t="s">
        <v>440</v>
      </c>
      <c r="B727" s="4" t="s">
        <v>4455</v>
      </c>
      <c r="C727" s="4" t="s">
        <v>4456</v>
      </c>
      <c r="D727" s="4" t="s">
        <v>0</v>
      </c>
      <c r="E727" s="4" t="s">
        <v>441</v>
      </c>
      <c r="F727" s="4" t="s">
        <v>4457</v>
      </c>
      <c r="G727" s="4" t="s">
        <v>4458</v>
      </c>
      <c r="H727" s="4">
        <v>1</v>
      </c>
      <c r="I727" s="3">
        <v>0.75</v>
      </c>
    </row>
    <row r="728" spans="1:9" ht="25.5">
      <c r="A728" s="4" t="s">
        <v>440</v>
      </c>
      <c r="B728" s="4" t="s">
        <v>4455</v>
      </c>
      <c r="C728" s="4" t="s">
        <v>4459</v>
      </c>
      <c r="D728" s="4" t="s">
        <v>0</v>
      </c>
      <c r="E728" s="4" t="s">
        <v>442</v>
      </c>
      <c r="F728" s="4" t="s">
        <v>4460</v>
      </c>
      <c r="G728" s="4" t="s">
        <v>4461</v>
      </c>
      <c r="H728" s="4">
        <v>1</v>
      </c>
      <c r="I728" s="3"/>
    </row>
    <row r="729" spans="1:9" ht="38.25">
      <c r="A729" s="4" t="s">
        <v>443</v>
      </c>
      <c r="B729" s="4" t="s">
        <v>4462</v>
      </c>
      <c r="C729" s="4" t="s">
        <v>4463</v>
      </c>
      <c r="D729" s="4" t="s">
        <v>0</v>
      </c>
      <c r="E729" s="34" t="s">
        <v>1108</v>
      </c>
      <c r="F729" s="34" t="s">
        <v>4464</v>
      </c>
      <c r="G729" s="34" t="s">
        <v>4465</v>
      </c>
      <c r="H729" s="4">
        <v>1</v>
      </c>
      <c r="I729" s="3">
        <v>2.04</v>
      </c>
    </row>
    <row r="730" spans="1:9" ht="38.25">
      <c r="A730" s="4" t="s">
        <v>443</v>
      </c>
      <c r="B730" s="4" t="s">
        <v>4462</v>
      </c>
      <c r="C730" s="4" t="s">
        <v>4466</v>
      </c>
      <c r="D730" s="4" t="s">
        <v>0</v>
      </c>
      <c r="E730" s="34" t="s">
        <v>544</v>
      </c>
      <c r="F730" s="34" t="s">
        <v>4467</v>
      </c>
      <c r="G730" s="34" t="s">
        <v>4468</v>
      </c>
      <c r="H730" s="4">
        <v>1</v>
      </c>
      <c r="I730" s="3"/>
    </row>
    <row r="731" spans="1:9" ht="38.25">
      <c r="A731" s="4" t="s">
        <v>1109</v>
      </c>
      <c r="B731" s="4" t="s">
        <v>4462</v>
      </c>
      <c r="C731" s="4" t="s">
        <v>4466</v>
      </c>
      <c r="D731" s="4" t="s">
        <v>0</v>
      </c>
      <c r="E731" s="126" t="s">
        <v>590</v>
      </c>
      <c r="F731" s="33" t="s">
        <v>4469</v>
      </c>
      <c r="G731" s="33" t="s">
        <v>4470</v>
      </c>
      <c r="H731" s="30">
        <v>1</v>
      </c>
      <c r="I731" s="3">
        <v>2.04</v>
      </c>
    </row>
    <row r="732" spans="1:9" ht="38.25">
      <c r="A732" s="4" t="s">
        <v>443</v>
      </c>
      <c r="B732" s="4" t="s">
        <v>4462</v>
      </c>
      <c r="C732" s="4" t="s">
        <v>4466</v>
      </c>
      <c r="D732" s="4" t="s">
        <v>0</v>
      </c>
      <c r="E732" s="126" t="s">
        <v>591</v>
      </c>
      <c r="F732" s="33" t="s">
        <v>4471</v>
      </c>
      <c r="G732" s="33" t="s">
        <v>4472</v>
      </c>
      <c r="H732" s="4">
        <v>1</v>
      </c>
      <c r="I732" s="3"/>
    </row>
    <row r="733" spans="1:9" ht="38.25">
      <c r="A733" s="4" t="s">
        <v>443</v>
      </c>
      <c r="B733" s="4" t="s">
        <v>4462</v>
      </c>
      <c r="C733" s="4" t="s">
        <v>4466</v>
      </c>
      <c r="D733" s="4" t="s">
        <v>7</v>
      </c>
      <c r="E733" s="4" t="s">
        <v>444</v>
      </c>
      <c r="F733" s="4" t="s">
        <v>2748</v>
      </c>
      <c r="G733" s="4" t="s">
        <v>2749</v>
      </c>
      <c r="H733" s="4">
        <v>1</v>
      </c>
      <c r="I733" s="3"/>
    </row>
    <row r="734" spans="1:9" ht="38.25">
      <c r="A734" s="4" t="s">
        <v>443</v>
      </c>
      <c r="B734" s="4" t="s">
        <v>4462</v>
      </c>
      <c r="C734" s="4" t="s">
        <v>4473</v>
      </c>
      <c r="D734" s="4" t="s">
        <v>10</v>
      </c>
      <c r="E734" s="126" t="s">
        <v>445</v>
      </c>
      <c r="F734" s="33" t="s">
        <v>4474</v>
      </c>
      <c r="G734" s="33" t="s">
        <v>4475</v>
      </c>
      <c r="H734" s="4">
        <v>1</v>
      </c>
      <c r="I734" s="3"/>
    </row>
    <row r="735" spans="1:9" ht="38.25">
      <c r="A735" s="4" t="s">
        <v>443</v>
      </c>
      <c r="B735" s="4" t="s">
        <v>4462</v>
      </c>
      <c r="C735" s="4" t="s">
        <v>4466</v>
      </c>
      <c r="D735" s="4" t="s">
        <v>10</v>
      </c>
      <c r="E735" s="34" t="s">
        <v>1110</v>
      </c>
      <c r="F735" s="34" t="s">
        <v>4476</v>
      </c>
      <c r="G735" s="34" t="s">
        <v>4477</v>
      </c>
      <c r="H735" s="4">
        <v>1</v>
      </c>
      <c r="I735" s="3"/>
    </row>
    <row r="736" spans="1:9" ht="38.25">
      <c r="A736" s="4" t="s">
        <v>443</v>
      </c>
      <c r="B736" s="4" t="s">
        <v>4462</v>
      </c>
      <c r="C736" s="4" t="s">
        <v>4466</v>
      </c>
      <c r="D736" s="4" t="s">
        <v>10</v>
      </c>
      <c r="E736" s="126" t="s">
        <v>446</v>
      </c>
      <c r="F736" s="33" t="s">
        <v>4478</v>
      </c>
      <c r="G736" s="33" t="s">
        <v>4479</v>
      </c>
      <c r="H736" s="4">
        <v>1</v>
      </c>
      <c r="I736" s="3"/>
    </row>
    <row r="737" spans="1:9" ht="38.25">
      <c r="A737" s="4" t="s">
        <v>443</v>
      </c>
      <c r="B737" s="4" t="s">
        <v>4462</v>
      </c>
      <c r="C737" s="4" t="s">
        <v>4466</v>
      </c>
      <c r="D737" s="4" t="s">
        <v>10</v>
      </c>
      <c r="E737" s="126" t="s">
        <v>447</v>
      </c>
      <c r="F737" s="33" t="s">
        <v>4480</v>
      </c>
      <c r="G737" s="33" t="s">
        <v>4481</v>
      </c>
      <c r="H737" s="4">
        <v>1</v>
      </c>
      <c r="I737" s="3"/>
    </row>
    <row r="738" spans="1:9" ht="25.5">
      <c r="A738" s="4" t="s">
        <v>448</v>
      </c>
      <c r="B738" s="4" t="s">
        <v>4482</v>
      </c>
      <c r="C738" s="4" t="s">
        <v>4483</v>
      </c>
      <c r="D738" s="4" t="s">
        <v>0</v>
      </c>
      <c r="E738" s="4" t="s">
        <v>449</v>
      </c>
      <c r="F738" s="4" t="s">
        <v>4484</v>
      </c>
      <c r="G738" s="4" t="s">
        <v>4483</v>
      </c>
      <c r="H738" s="4">
        <v>2</v>
      </c>
      <c r="I738" s="3">
        <v>0.38</v>
      </c>
    </row>
    <row r="739" spans="1:9" ht="38.25">
      <c r="A739" s="4" t="s">
        <v>448</v>
      </c>
      <c r="B739" s="4" t="s">
        <v>4482</v>
      </c>
      <c r="C739" s="4" t="s">
        <v>4483</v>
      </c>
      <c r="D739" s="4" t="s">
        <v>1</v>
      </c>
      <c r="E739" s="4" t="s">
        <v>450</v>
      </c>
      <c r="F739" s="4" t="s">
        <v>4485</v>
      </c>
      <c r="G739" s="4" t="s">
        <v>4486</v>
      </c>
      <c r="H739" s="4">
        <v>4</v>
      </c>
      <c r="I739" s="3"/>
    </row>
    <row r="740" spans="1:9" ht="25.5">
      <c r="A740" s="4" t="s">
        <v>451</v>
      </c>
      <c r="B740" s="4" t="s">
        <v>4487</v>
      </c>
      <c r="C740" s="4" t="s">
        <v>4488</v>
      </c>
      <c r="D740" s="4" t="s">
        <v>0</v>
      </c>
      <c r="E740" s="4" t="s">
        <v>452</v>
      </c>
      <c r="F740" s="4" t="s">
        <v>4489</v>
      </c>
      <c r="G740" s="4" t="s">
        <v>4488</v>
      </c>
      <c r="H740" s="4">
        <v>2</v>
      </c>
      <c r="I740" s="3">
        <v>0.38</v>
      </c>
    </row>
    <row r="741" spans="1:9" ht="38.25">
      <c r="A741" s="4" t="s">
        <v>451</v>
      </c>
      <c r="B741" s="4" t="s">
        <v>4487</v>
      </c>
      <c r="C741" s="4" t="s">
        <v>4490</v>
      </c>
      <c r="D741" s="4" t="s">
        <v>1</v>
      </c>
      <c r="E741" s="4" t="s">
        <v>450</v>
      </c>
      <c r="F741" s="4" t="s">
        <v>4485</v>
      </c>
      <c r="G741" s="4" t="s">
        <v>4486</v>
      </c>
      <c r="H741" s="4">
        <v>4</v>
      </c>
      <c r="I741" s="3"/>
    </row>
    <row r="742" spans="1:9" ht="25.5">
      <c r="A742" s="4" t="s">
        <v>458</v>
      </c>
      <c r="B742" s="4" t="s">
        <v>4491</v>
      </c>
      <c r="C742" s="4" t="s">
        <v>4492</v>
      </c>
      <c r="D742" s="4" t="s">
        <v>0</v>
      </c>
      <c r="E742" s="4" t="s">
        <v>459</v>
      </c>
      <c r="F742" s="4" t="s">
        <v>4493</v>
      </c>
      <c r="G742" s="4" t="s">
        <v>4494</v>
      </c>
      <c r="H742" s="4">
        <v>1</v>
      </c>
      <c r="I742" s="3">
        <v>0.93</v>
      </c>
    </row>
    <row r="743" spans="1:9" ht="25.5">
      <c r="A743" s="4" t="s">
        <v>458</v>
      </c>
      <c r="B743" s="4" t="s">
        <v>4491</v>
      </c>
      <c r="C743" s="4" t="s">
        <v>4492</v>
      </c>
      <c r="D743" s="4" t="s">
        <v>0</v>
      </c>
      <c r="E743" s="4" t="s">
        <v>460</v>
      </c>
      <c r="F743" s="4" t="s">
        <v>4495</v>
      </c>
      <c r="G743" s="4" t="s">
        <v>4496</v>
      </c>
      <c r="H743" s="4">
        <v>1</v>
      </c>
      <c r="I743" s="3"/>
    </row>
    <row r="744" spans="1:9" ht="25.5">
      <c r="A744" s="4" t="s">
        <v>464</v>
      </c>
      <c r="B744" s="4" t="s">
        <v>4497</v>
      </c>
      <c r="C744" s="4" t="s">
        <v>4498</v>
      </c>
      <c r="D744" s="4" t="s">
        <v>0</v>
      </c>
      <c r="E744" s="4" t="s">
        <v>465</v>
      </c>
      <c r="F744" s="4" t="s">
        <v>4499</v>
      </c>
      <c r="G744" s="4" t="s">
        <v>4500</v>
      </c>
      <c r="H744" s="4">
        <v>1</v>
      </c>
      <c r="I744" s="3">
        <v>0.87</v>
      </c>
    </row>
    <row r="745" spans="1:9" ht="25.5">
      <c r="A745" s="4" t="s">
        <v>464</v>
      </c>
      <c r="B745" s="4" t="s">
        <v>4497</v>
      </c>
      <c r="C745" s="4" t="s">
        <v>4498</v>
      </c>
      <c r="D745" s="4" t="s">
        <v>0</v>
      </c>
      <c r="E745" s="4" t="s">
        <v>466</v>
      </c>
      <c r="F745" s="4" t="s">
        <v>4501</v>
      </c>
      <c r="G745" s="4" t="s">
        <v>4502</v>
      </c>
      <c r="H745" s="4">
        <v>1</v>
      </c>
      <c r="I745" s="3"/>
    </row>
    <row r="746" spans="1:9" ht="38.25">
      <c r="A746" s="4" t="s">
        <v>467</v>
      </c>
      <c r="B746" s="4" t="s">
        <v>4503</v>
      </c>
      <c r="C746" s="4" t="s">
        <v>4504</v>
      </c>
      <c r="D746" s="4" t="s">
        <v>0</v>
      </c>
      <c r="E746" s="4" t="s">
        <v>468</v>
      </c>
      <c r="F746" s="4" t="s">
        <v>4505</v>
      </c>
      <c r="G746" s="4" t="s">
        <v>4506</v>
      </c>
      <c r="H746" s="4">
        <v>1</v>
      </c>
      <c r="I746" s="3">
        <v>0.32</v>
      </c>
    </row>
    <row r="747" spans="1:9" ht="25.5">
      <c r="A747" s="4" t="s">
        <v>467</v>
      </c>
      <c r="B747" s="4" t="s">
        <v>4503</v>
      </c>
      <c r="C747" s="4" t="s">
        <v>4507</v>
      </c>
      <c r="D747" s="4" t="s">
        <v>0</v>
      </c>
      <c r="E747" s="4" t="s">
        <v>469</v>
      </c>
      <c r="F747" s="4" t="s">
        <v>4508</v>
      </c>
      <c r="G747" s="4" t="s">
        <v>4509</v>
      </c>
      <c r="H747" s="4">
        <v>1</v>
      </c>
      <c r="I747" s="3"/>
    </row>
    <row r="748" spans="1:9" ht="25.5">
      <c r="A748" s="4" t="s">
        <v>467</v>
      </c>
      <c r="B748" s="4" t="s">
        <v>4503</v>
      </c>
      <c r="C748" s="4" t="s">
        <v>4507</v>
      </c>
      <c r="D748" s="4" t="s">
        <v>1</v>
      </c>
      <c r="E748" s="4" t="s">
        <v>59</v>
      </c>
      <c r="F748" s="4" t="s">
        <v>2836</v>
      </c>
      <c r="G748" s="4" t="s">
        <v>2738</v>
      </c>
      <c r="H748" s="4">
        <v>2</v>
      </c>
      <c r="I748" s="3"/>
    </row>
    <row r="749" spans="1:9" ht="25.5">
      <c r="A749" s="4" t="s">
        <v>470</v>
      </c>
      <c r="B749" s="4" t="s">
        <v>4510</v>
      </c>
      <c r="C749" s="4" t="s">
        <v>4511</v>
      </c>
      <c r="D749" s="4" t="s">
        <v>0</v>
      </c>
      <c r="E749" s="4" t="s">
        <v>471</v>
      </c>
      <c r="F749" s="4" t="s">
        <v>4512</v>
      </c>
      <c r="G749" s="4" t="s">
        <v>4513</v>
      </c>
      <c r="H749" s="4">
        <v>1</v>
      </c>
      <c r="I749" s="3">
        <v>0.88</v>
      </c>
    </row>
    <row r="750" spans="1:9" ht="25.5">
      <c r="A750" s="4" t="s">
        <v>470</v>
      </c>
      <c r="B750" s="4" t="s">
        <v>4510</v>
      </c>
      <c r="C750" s="4" t="s">
        <v>4511</v>
      </c>
      <c r="D750" s="4" t="s">
        <v>0</v>
      </c>
      <c r="E750" s="4" t="s">
        <v>472</v>
      </c>
      <c r="F750" s="4" t="s">
        <v>4514</v>
      </c>
      <c r="G750" s="4" t="s">
        <v>4515</v>
      </c>
      <c r="H750" s="4">
        <v>1</v>
      </c>
      <c r="I750" s="3"/>
    </row>
    <row r="751" spans="1:9" ht="25.5">
      <c r="A751" s="4" t="s">
        <v>470</v>
      </c>
      <c r="B751" s="4" t="s">
        <v>4510</v>
      </c>
      <c r="C751" s="4" t="s">
        <v>4511</v>
      </c>
      <c r="D751" s="4" t="s">
        <v>1</v>
      </c>
      <c r="E751" s="4" t="s">
        <v>59</v>
      </c>
      <c r="F751" s="4" t="s">
        <v>2836</v>
      </c>
      <c r="G751" s="4" t="s">
        <v>2738</v>
      </c>
      <c r="H751" s="4">
        <v>10</v>
      </c>
      <c r="I751" s="3"/>
    </row>
    <row r="752" spans="1:9" ht="25.5">
      <c r="A752" s="4" t="s">
        <v>473</v>
      </c>
      <c r="B752" s="4" t="s">
        <v>4516</v>
      </c>
      <c r="C752" s="4" t="s">
        <v>4517</v>
      </c>
      <c r="D752" s="4" t="s">
        <v>0</v>
      </c>
      <c r="E752" s="4" t="s">
        <v>474</v>
      </c>
      <c r="F752" s="4" t="s">
        <v>4518</v>
      </c>
      <c r="G752" s="4" t="s">
        <v>4519</v>
      </c>
      <c r="H752" s="4">
        <v>1</v>
      </c>
      <c r="I752" s="3">
        <v>0.32</v>
      </c>
    </row>
    <row r="753" spans="1:9" ht="38.25">
      <c r="A753" s="4" t="s">
        <v>473</v>
      </c>
      <c r="B753" s="4" t="s">
        <v>4516</v>
      </c>
      <c r="C753" s="4" t="s">
        <v>4520</v>
      </c>
      <c r="D753" s="4" t="s">
        <v>0</v>
      </c>
      <c r="E753" s="4" t="s">
        <v>475</v>
      </c>
      <c r="F753" s="4" t="s">
        <v>4521</v>
      </c>
      <c r="G753" s="4" t="s">
        <v>4522</v>
      </c>
      <c r="H753" s="4">
        <v>1</v>
      </c>
      <c r="I753" s="3"/>
    </row>
    <row r="754" spans="1:9" ht="38.25">
      <c r="A754" s="4" t="s">
        <v>473</v>
      </c>
      <c r="B754" s="4" t="s">
        <v>4516</v>
      </c>
      <c r="C754" s="4" t="s">
        <v>4523</v>
      </c>
      <c r="D754" s="4" t="s">
        <v>1</v>
      </c>
      <c r="E754" s="4" t="s">
        <v>59</v>
      </c>
      <c r="F754" s="4" t="s">
        <v>2836</v>
      </c>
      <c r="G754" s="4" t="s">
        <v>2738</v>
      </c>
      <c r="H754" s="4">
        <v>2</v>
      </c>
      <c r="I754" s="3"/>
    </row>
    <row r="755" spans="1:9" ht="25.5">
      <c r="A755" s="4" t="s">
        <v>476</v>
      </c>
      <c r="B755" s="4" t="s">
        <v>4524</v>
      </c>
      <c r="C755" s="4" t="s">
        <v>4525</v>
      </c>
      <c r="D755" s="4" t="s">
        <v>0</v>
      </c>
      <c r="E755" s="4" t="s">
        <v>477</v>
      </c>
      <c r="F755" s="4" t="s">
        <v>4526</v>
      </c>
      <c r="G755" s="4" t="s">
        <v>4527</v>
      </c>
      <c r="H755" s="4">
        <v>1</v>
      </c>
      <c r="I755" s="3">
        <v>0.49</v>
      </c>
    </row>
    <row r="756" spans="1:9" ht="25.5">
      <c r="A756" s="4" t="s">
        <v>476</v>
      </c>
      <c r="B756" s="4" t="s">
        <v>4524</v>
      </c>
      <c r="C756" s="4" t="s">
        <v>4528</v>
      </c>
      <c r="D756" s="4" t="s">
        <v>0</v>
      </c>
      <c r="E756" s="4" t="s">
        <v>478</v>
      </c>
      <c r="F756" s="4" t="s">
        <v>4529</v>
      </c>
      <c r="G756" s="4" t="s">
        <v>4530</v>
      </c>
      <c r="H756" s="4">
        <v>1</v>
      </c>
      <c r="I756" s="3"/>
    </row>
    <row r="757" spans="1:9" ht="25.5">
      <c r="A757" s="4" t="s">
        <v>476</v>
      </c>
      <c r="B757" s="4" t="s">
        <v>4524</v>
      </c>
      <c r="C757" s="4" t="s">
        <v>4528</v>
      </c>
      <c r="D757" s="4" t="s">
        <v>1</v>
      </c>
      <c r="E757" s="4" t="s">
        <v>479</v>
      </c>
      <c r="F757" s="4" t="s">
        <v>4531</v>
      </c>
      <c r="G757" s="4" t="s">
        <v>4532</v>
      </c>
      <c r="H757" s="4">
        <v>4</v>
      </c>
      <c r="I757" s="3"/>
    </row>
    <row r="758" spans="1:9" ht="25.5">
      <c r="A758" s="4" t="s">
        <v>476</v>
      </c>
      <c r="B758" s="4" t="s">
        <v>4524</v>
      </c>
      <c r="C758" s="4" t="s">
        <v>4528</v>
      </c>
      <c r="D758" s="4" t="s">
        <v>2</v>
      </c>
      <c r="E758" s="4" t="s">
        <v>59</v>
      </c>
      <c r="F758" s="4" t="s">
        <v>2836</v>
      </c>
      <c r="G758" s="4" t="s">
        <v>2738</v>
      </c>
      <c r="H758" s="4">
        <v>2</v>
      </c>
      <c r="I758" s="3"/>
    </row>
    <row r="759" spans="1:9" ht="25.5">
      <c r="A759" s="4" t="s">
        <v>480</v>
      </c>
      <c r="B759" s="4" t="s">
        <v>4533</v>
      </c>
      <c r="C759" s="4" t="s">
        <v>4534</v>
      </c>
      <c r="D759" s="4" t="s">
        <v>0</v>
      </c>
      <c r="E759" s="4" t="s">
        <v>481</v>
      </c>
      <c r="F759" s="4" t="s">
        <v>4535</v>
      </c>
      <c r="G759" s="4" t="s">
        <v>4536</v>
      </c>
      <c r="H759" s="4">
        <v>1</v>
      </c>
      <c r="I759" s="3">
        <v>0.88</v>
      </c>
    </row>
    <row r="760" spans="1:9" ht="25.5">
      <c r="A760" s="4" t="s">
        <v>480</v>
      </c>
      <c r="B760" s="4" t="s">
        <v>4533</v>
      </c>
      <c r="C760" s="4" t="s">
        <v>4534</v>
      </c>
      <c r="D760" s="4" t="s">
        <v>0</v>
      </c>
      <c r="E760" s="4" t="s">
        <v>482</v>
      </c>
      <c r="F760" s="4" t="s">
        <v>4537</v>
      </c>
      <c r="G760" s="4" t="s">
        <v>4538</v>
      </c>
      <c r="H760" s="4">
        <v>1</v>
      </c>
      <c r="I760" s="3"/>
    </row>
    <row r="761" spans="1:9" ht="25.5">
      <c r="A761" s="4" t="s">
        <v>480</v>
      </c>
      <c r="B761" s="4" t="s">
        <v>4533</v>
      </c>
      <c r="C761" s="4" t="s">
        <v>4534</v>
      </c>
      <c r="D761" s="4" t="s">
        <v>1</v>
      </c>
      <c r="E761" s="4" t="s">
        <v>59</v>
      </c>
      <c r="F761" s="4" t="s">
        <v>2836</v>
      </c>
      <c r="G761" s="4" t="s">
        <v>2738</v>
      </c>
      <c r="H761" s="4">
        <v>10</v>
      </c>
      <c r="I761" s="3"/>
    </row>
    <row r="762" spans="1:9" ht="25.5">
      <c r="A762" s="129" t="s">
        <v>1111</v>
      </c>
      <c r="B762" s="129" t="s">
        <v>4539</v>
      </c>
      <c r="C762" s="129" t="s">
        <v>4540</v>
      </c>
      <c r="D762" s="4" t="s">
        <v>0</v>
      </c>
      <c r="E762" s="34" t="s">
        <v>484</v>
      </c>
      <c r="F762" s="114" t="s">
        <v>4541</v>
      </c>
      <c r="G762" s="114" t="s">
        <v>4542</v>
      </c>
      <c r="H762" s="4">
        <v>1</v>
      </c>
      <c r="I762" s="3">
        <v>0.7</v>
      </c>
    </row>
    <row r="763" spans="1:9" ht="25.5">
      <c r="A763" s="129" t="s">
        <v>483</v>
      </c>
      <c r="B763" s="129" t="s">
        <v>4539</v>
      </c>
      <c r="C763" s="129" t="s">
        <v>4540</v>
      </c>
      <c r="D763" s="4" t="s">
        <v>0</v>
      </c>
      <c r="E763" s="34" t="s">
        <v>485</v>
      </c>
      <c r="F763" s="114" t="s">
        <v>4543</v>
      </c>
      <c r="G763" s="114" t="s">
        <v>4544</v>
      </c>
      <c r="H763" s="4">
        <v>1</v>
      </c>
      <c r="I763" s="3"/>
    </row>
    <row r="764" spans="1:9" ht="25.5">
      <c r="A764" s="129" t="s">
        <v>483</v>
      </c>
      <c r="B764" s="129" t="s">
        <v>4539</v>
      </c>
      <c r="C764" s="129" t="s">
        <v>4540</v>
      </c>
      <c r="D764" s="4" t="s">
        <v>1</v>
      </c>
      <c r="E764" s="115" t="s">
        <v>26</v>
      </c>
      <c r="F764" s="4" t="s">
        <v>2767</v>
      </c>
      <c r="G764" s="4" t="s">
        <v>3044</v>
      </c>
      <c r="H764" s="4">
        <v>6</v>
      </c>
      <c r="I764" s="3"/>
    </row>
    <row r="765" spans="1:9" ht="25.5">
      <c r="A765" s="4" t="s">
        <v>1112</v>
      </c>
      <c r="B765" s="4" t="s">
        <v>4545</v>
      </c>
      <c r="C765" s="4" t="s">
        <v>4546</v>
      </c>
      <c r="D765" s="4" t="s">
        <v>0</v>
      </c>
      <c r="E765" s="4" t="s">
        <v>487</v>
      </c>
      <c r="F765" s="4" t="s">
        <v>4547</v>
      </c>
      <c r="G765" s="4" t="s">
        <v>4548</v>
      </c>
      <c r="H765" s="4">
        <v>1</v>
      </c>
      <c r="I765" s="3">
        <v>0.34</v>
      </c>
    </row>
    <row r="766" spans="1:9" ht="25.5">
      <c r="A766" s="4" t="s">
        <v>486</v>
      </c>
      <c r="B766" s="4" t="s">
        <v>4545</v>
      </c>
      <c r="C766" s="4" t="s">
        <v>4549</v>
      </c>
      <c r="D766" s="4" t="s">
        <v>0</v>
      </c>
      <c r="E766" s="4" t="s">
        <v>488</v>
      </c>
      <c r="F766" s="4" t="s">
        <v>4550</v>
      </c>
      <c r="G766" s="4" t="s">
        <v>4551</v>
      </c>
      <c r="H766" s="4">
        <v>1</v>
      </c>
      <c r="I766" s="3"/>
    </row>
    <row r="767" spans="1:9" ht="25.5">
      <c r="A767" s="4" t="s">
        <v>489</v>
      </c>
      <c r="B767" s="4" t="s">
        <v>4552</v>
      </c>
      <c r="C767" s="4" t="s">
        <v>4553</v>
      </c>
      <c r="D767" s="4" t="s">
        <v>0</v>
      </c>
      <c r="E767" s="4" t="s">
        <v>490</v>
      </c>
      <c r="F767" s="4" t="s">
        <v>4554</v>
      </c>
      <c r="G767" s="4" t="s">
        <v>4555</v>
      </c>
      <c r="H767" s="4">
        <v>1</v>
      </c>
      <c r="I767" s="3">
        <v>0.54</v>
      </c>
    </row>
    <row r="768" spans="1:9" ht="25.5">
      <c r="A768" s="4" t="s">
        <v>489</v>
      </c>
      <c r="B768" s="4" t="s">
        <v>4552</v>
      </c>
      <c r="C768" s="4" t="s">
        <v>4556</v>
      </c>
      <c r="D768" s="4" t="s">
        <v>0</v>
      </c>
      <c r="E768" s="114" t="s">
        <v>491</v>
      </c>
      <c r="F768" s="114" t="s">
        <v>4557</v>
      </c>
      <c r="G768" s="114" t="s">
        <v>4558</v>
      </c>
      <c r="H768" s="4">
        <v>1</v>
      </c>
      <c r="I768" s="3"/>
    </row>
    <row r="769" spans="1:9" ht="38.25">
      <c r="A769" s="4" t="s">
        <v>489</v>
      </c>
      <c r="B769" s="4" t="s">
        <v>4552</v>
      </c>
      <c r="C769" s="4" t="s">
        <v>4556</v>
      </c>
      <c r="D769" s="4" t="s">
        <v>1</v>
      </c>
      <c r="E769" s="114" t="s">
        <v>492</v>
      </c>
      <c r="F769" s="4" t="s">
        <v>4361</v>
      </c>
      <c r="G769" s="4" t="s">
        <v>4559</v>
      </c>
      <c r="H769" s="4">
        <v>4</v>
      </c>
      <c r="I769" s="3"/>
    </row>
    <row r="770" spans="1:9" ht="25.5">
      <c r="A770" s="4" t="s">
        <v>1113</v>
      </c>
      <c r="B770" s="4" t="s">
        <v>4560</v>
      </c>
      <c r="C770" s="4" t="s">
        <v>4561</v>
      </c>
      <c r="D770" s="4" t="s">
        <v>0</v>
      </c>
      <c r="E770" s="4" t="s">
        <v>494</v>
      </c>
      <c r="F770" s="4" t="s">
        <v>4562</v>
      </c>
      <c r="G770" s="4" t="s">
        <v>4563</v>
      </c>
      <c r="H770" s="4">
        <v>1</v>
      </c>
      <c r="I770" s="3">
        <v>0.34</v>
      </c>
    </row>
    <row r="771" spans="1:9" ht="25.5">
      <c r="A771" s="4" t="s">
        <v>493</v>
      </c>
      <c r="B771" s="4" t="s">
        <v>4560</v>
      </c>
      <c r="C771" s="4" t="s">
        <v>4564</v>
      </c>
      <c r="D771" s="4" t="s">
        <v>0</v>
      </c>
      <c r="E771" s="4" t="s">
        <v>495</v>
      </c>
      <c r="F771" s="4" t="s">
        <v>4565</v>
      </c>
      <c r="G771" s="4" t="s">
        <v>4566</v>
      </c>
      <c r="H771" s="4">
        <v>1</v>
      </c>
      <c r="I771" s="3"/>
    </row>
    <row r="772" spans="1:9" ht="25.5">
      <c r="A772" s="4" t="s">
        <v>496</v>
      </c>
      <c r="B772" s="4" t="s">
        <v>4567</v>
      </c>
      <c r="C772" s="4" t="s">
        <v>4568</v>
      </c>
      <c r="D772" s="4" t="s">
        <v>0</v>
      </c>
      <c r="E772" s="63" t="s">
        <v>497</v>
      </c>
      <c r="F772" s="4" t="s">
        <v>4569</v>
      </c>
      <c r="G772" s="4" t="s">
        <v>4570</v>
      </c>
      <c r="H772" s="4">
        <v>1</v>
      </c>
      <c r="I772" s="3">
        <v>0.44</v>
      </c>
    </row>
    <row r="773" spans="1:9" ht="25.5">
      <c r="A773" s="4" t="s">
        <v>496</v>
      </c>
      <c r="B773" s="4" t="s">
        <v>4567</v>
      </c>
      <c r="C773" s="4" t="s">
        <v>4568</v>
      </c>
      <c r="D773" s="4" t="s">
        <v>0</v>
      </c>
      <c r="E773" s="63" t="s">
        <v>498</v>
      </c>
      <c r="F773" s="4" t="s">
        <v>4571</v>
      </c>
      <c r="G773" s="4" t="s">
        <v>4572</v>
      </c>
      <c r="H773" s="4">
        <v>1</v>
      </c>
      <c r="I773" s="3"/>
    </row>
    <row r="774" spans="1:9" ht="38.25">
      <c r="A774" s="4" t="s">
        <v>496</v>
      </c>
      <c r="B774" s="4" t="s">
        <v>4567</v>
      </c>
      <c r="C774" s="4" t="s">
        <v>4573</v>
      </c>
      <c r="D774" s="4" t="s">
        <v>1</v>
      </c>
      <c r="E774" s="4" t="s">
        <v>492</v>
      </c>
      <c r="F774" s="4" t="s">
        <v>4361</v>
      </c>
      <c r="G774" s="4" t="s">
        <v>4574</v>
      </c>
      <c r="H774" s="4">
        <v>2</v>
      </c>
      <c r="I774" s="3"/>
    </row>
    <row r="775" spans="1:9" ht="25.5">
      <c r="A775" s="4" t="s">
        <v>1114</v>
      </c>
      <c r="B775" s="4" t="s">
        <v>4575</v>
      </c>
      <c r="C775" s="4" t="s">
        <v>4576</v>
      </c>
      <c r="D775" s="4" t="s">
        <v>0</v>
      </c>
      <c r="E775" s="4" t="s">
        <v>500</v>
      </c>
      <c r="F775" s="4" t="s">
        <v>4577</v>
      </c>
      <c r="G775" s="4" t="s">
        <v>4578</v>
      </c>
      <c r="H775" s="4">
        <v>1</v>
      </c>
      <c r="I775" s="3">
        <v>0.52</v>
      </c>
    </row>
    <row r="776" spans="1:9" ht="25.5">
      <c r="A776" s="4" t="s">
        <v>499</v>
      </c>
      <c r="B776" s="4" t="s">
        <v>4575</v>
      </c>
      <c r="C776" s="4" t="s">
        <v>4576</v>
      </c>
      <c r="D776" s="4" t="s">
        <v>0</v>
      </c>
      <c r="E776" s="4" t="s">
        <v>501</v>
      </c>
      <c r="F776" s="4" t="s">
        <v>4579</v>
      </c>
      <c r="G776" s="4" t="s">
        <v>4580</v>
      </c>
      <c r="H776" s="4">
        <v>1</v>
      </c>
      <c r="I776" s="3"/>
    </row>
    <row r="777" spans="1:9" ht="25.5">
      <c r="A777" s="4" t="s">
        <v>499</v>
      </c>
      <c r="B777" s="4" t="s">
        <v>4575</v>
      </c>
      <c r="C777" s="4" t="s">
        <v>4581</v>
      </c>
      <c r="D777" s="4" t="s">
        <v>1</v>
      </c>
      <c r="E777" s="4" t="s">
        <v>502</v>
      </c>
      <c r="F777" s="4" t="s">
        <v>4582</v>
      </c>
      <c r="G777" s="4" t="s">
        <v>4583</v>
      </c>
      <c r="H777" s="4">
        <v>2</v>
      </c>
      <c r="I777" s="3"/>
    </row>
    <row r="778" spans="1:9" ht="25.5">
      <c r="A778" s="4" t="s">
        <v>1115</v>
      </c>
      <c r="B778" s="4" t="s">
        <v>4584</v>
      </c>
      <c r="C778" s="4" t="s">
        <v>4585</v>
      </c>
      <c r="D778" s="4" t="s">
        <v>0</v>
      </c>
      <c r="E778" s="4" t="s">
        <v>504</v>
      </c>
      <c r="F778" s="4" t="s">
        <v>4586</v>
      </c>
      <c r="G778" s="4" t="s">
        <v>4587</v>
      </c>
      <c r="H778" s="4">
        <v>1</v>
      </c>
      <c r="I778" s="3">
        <v>0.34</v>
      </c>
    </row>
    <row r="779" spans="1:9" ht="25.5">
      <c r="A779" s="4" t="s">
        <v>503</v>
      </c>
      <c r="B779" s="4" t="s">
        <v>4584</v>
      </c>
      <c r="C779" s="4" t="s">
        <v>4585</v>
      </c>
      <c r="D779" s="4" t="s">
        <v>0</v>
      </c>
      <c r="E779" s="4" t="s">
        <v>505</v>
      </c>
      <c r="F779" s="4" t="s">
        <v>4588</v>
      </c>
      <c r="G779" s="4" t="s">
        <v>4589</v>
      </c>
      <c r="H779" s="4">
        <v>1</v>
      </c>
      <c r="I779" s="3"/>
    </row>
    <row r="780" spans="1:9" ht="25.5">
      <c r="A780" s="4" t="s">
        <v>519</v>
      </c>
      <c r="B780" s="4" t="s">
        <v>4590</v>
      </c>
      <c r="C780" s="4" t="s">
        <v>4591</v>
      </c>
      <c r="D780" s="4" t="s">
        <v>0</v>
      </c>
      <c r="E780" s="4" t="s">
        <v>520</v>
      </c>
      <c r="F780" s="4" t="s">
        <v>4592</v>
      </c>
      <c r="G780" s="4" t="s">
        <v>4593</v>
      </c>
      <c r="H780" s="4">
        <v>1</v>
      </c>
      <c r="I780" s="3">
        <v>0.12</v>
      </c>
    </row>
    <row r="781" spans="1:9" ht="25.5">
      <c r="A781" s="4" t="s">
        <v>519</v>
      </c>
      <c r="B781" s="4" t="s">
        <v>4590</v>
      </c>
      <c r="C781" s="4" t="s">
        <v>4591</v>
      </c>
      <c r="D781" s="4" t="s">
        <v>0</v>
      </c>
      <c r="E781" s="4" t="s">
        <v>521</v>
      </c>
      <c r="F781" s="4" t="s">
        <v>4594</v>
      </c>
      <c r="G781" s="4" t="s">
        <v>4595</v>
      </c>
      <c r="H781" s="4">
        <v>1</v>
      </c>
      <c r="I781" s="3"/>
    </row>
    <row r="782" spans="1:9" ht="38.25">
      <c r="A782" s="4" t="s">
        <v>522</v>
      </c>
      <c r="B782" s="4" t="s">
        <v>4596</v>
      </c>
      <c r="C782" s="4" t="s">
        <v>4597</v>
      </c>
      <c r="D782" s="4" t="s">
        <v>0</v>
      </c>
      <c r="E782" s="4" t="s">
        <v>523</v>
      </c>
      <c r="F782" s="4" t="s">
        <v>4598</v>
      </c>
      <c r="G782" s="4" t="s">
        <v>4599</v>
      </c>
      <c r="H782" s="4">
        <v>1</v>
      </c>
      <c r="I782" s="3">
        <v>0.14000000000000001</v>
      </c>
    </row>
    <row r="783" spans="1:9" ht="38.25">
      <c r="A783" s="4" t="s">
        <v>1116</v>
      </c>
      <c r="B783" s="4" t="s">
        <v>4600</v>
      </c>
      <c r="C783" s="4" t="s">
        <v>4601</v>
      </c>
      <c r="D783" s="4" t="s">
        <v>0</v>
      </c>
      <c r="E783" s="4" t="s">
        <v>85</v>
      </c>
      <c r="F783" s="4" t="s">
        <v>2963</v>
      </c>
      <c r="G783" s="4" t="s">
        <v>3140</v>
      </c>
      <c r="H783" s="4">
        <v>4</v>
      </c>
      <c r="I783" s="3">
        <v>0.42</v>
      </c>
    </row>
    <row r="784" spans="1:9" ht="38.25">
      <c r="A784" s="4" t="s">
        <v>524</v>
      </c>
      <c r="B784" s="4" t="s">
        <v>4600</v>
      </c>
      <c r="C784" s="4" t="s">
        <v>4601</v>
      </c>
      <c r="D784" s="4" t="s">
        <v>1</v>
      </c>
      <c r="E784" s="4" t="s">
        <v>525</v>
      </c>
      <c r="F784" s="4" t="s">
        <v>4602</v>
      </c>
      <c r="G784" s="4" t="s">
        <v>4603</v>
      </c>
      <c r="H784" s="4">
        <v>1</v>
      </c>
      <c r="I784" s="3"/>
    </row>
    <row r="785" spans="1:9" ht="38.25">
      <c r="A785" s="4" t="s">
        <v>524</v>
      </c>
      <c r="B785" s="4" t="s">
        <v>4600</v>
      </c>
      <c r="C785" s="4" t="s">
        <v>4601</v>
      </c>
      <c r="D785" s="4" t="s">
        <v>1</v>
      </c>
      <c r="E785" s="4" t="s">
        <v>526</v>
      </c>
      <c r="F785" s="4" t="s">
        <v>4604</v>
      </c>
      <c r="G785" s="4" t="s">
        <v>4605</v>
      </c>
      <c r="H785" s="4">
        <v>1</v>
      </c>
      <c r="I785" s="3"/>
    </row>
    <row r="786" spans="1:9" ht="38.25">
      <c r="A786" s="4" t="s">
        <v>524</v>
      </c>
      <c r="B786" s="4" t="s">
        <v>4600</v>
      </c>
      <c r="C786" s="4" t="s">
        <v>4601</v>
      </c>
      <c r="D786" s="4" t="s">
        <v>2</v>
      </c>
      <c r="E786" s="4" t="s">
        <v>527</v>
      </c>
      <c r="F786" s="4" t="s">
        <v>3077</v>
      </c>
      <c r="G786" s="4" t="s">
        <v>2792</v>
      </c>
      <c r="H786" s="4">
        <v>4</v>
      </c>
      <c r="I786" s="3"/>
    </row>
    <row r="787" spans="1:9" ht="25.5">
      <c r="A787" s="4" t="s">
        <v>528</v>
      </c>
      <c r="B787" s="4" t="s">
        <v>4606</v>
      </c>
      <c r="C787" s="4" t="s">
        <v>4607</v>
      </c>
      <c r="D787" s="4" t="s">
        <v>0</v>
      </c>
      <c r="E787" s="4" t="s">
        <v>1117</v>
      </c>
      <c r="F787" s="4" t="s">
        <v>4608</v>
      </c>
      <c r="G787" s="4" t="s">
        <v>4609</v>
      </c>
      <c r="H787" s="4">
        <v>1</v>
      </c>
      <c r="I787" s="3">
        <v>0.12</v>
      </c>
    </row>
    <row r="788" spans="1:9" ht="25.5">
      <c r="A788" s="4" t="s">
        <v>528</v>
      </c>
      <c r="B788" s="4" t="s">
        <v>4606</v>
      </c>
      <c r="C788" s="4" t="s">
        <v>4610</v>
      </c>
      <c r="D788" s="4" t="s">
        <v>0</v>
      </c>
      <c r="E788" s="136" t="s">
        <v>529</v>
      </c>
      <c r="F788" s="136" t="s">
        <v>4611</v>
      </c>
      <c r="G788" s="136" t="s">
        <v>4612</v>
      </c>
      <c r="H788" s="4">
        <v>1</v>
      </c>
      <c r="I788" s="3"/>
    </row>
    <row r="789" spans="1:9" ht="25.5">
      <c r="A789" s="4" t="s">
        <v>530</v>
      </c>
      <c r="B789" s="4" t="s">
        <v>4613</v>
      </c>
      <c r="C789" s="4" t="s">
        <v>4614</v>
      </c>
      <c r="D789" s="4" t="s">
        <v>0</v>
      </c>
      <c r="E789" s="4" t="s">
        <v>1118</v>
      </c>
      <c r="F789" s="4" t="s">
        <v>4615</v>
      </c>
      <c r="G789" s="4" t="s">
        <v>4616</v>
      </c>
      <c r="H789" s="4">
        <v>1</v>
      </c>
      <c r="I789" s="3">
        <v>0.12</v>
      </c>
    </row>
    <row r="790" spans="1:9" ht="25.5">
      <c r="A790" s="4" t="s">
        <v>530</v>
      </c>
      <c r="B790" s="4" t="s">
        <v>4613</v>
      </c>
      <c r="C790" s="4" t="s">
        <v>4614</v>
      </c>
      <c r="D790" s="4" t="s">
        <v>0</v>
      </c>
      <c r="E790" s="136" t="s">
        <v>1119</v>
      </c>
      <c r="F790" s="136" t="s">
        <v>4617</v>
      </c>
      <c r="G790" s="136" t="s">
        <v>4618</v>
      </c>
      <c r="H790" s="4">
        <v>1</v>
      </c>
      <c r="I790" s="3"/>
    </row>
    <row r="791" spans="1:9" ht="25.5">
      <c r="A791" s="4" t="s">
        <v>535</v>
      </c>
      <c r="B791" s="4" t="s">
        <v>4619</v>
      </c>
      <c r="C791" s="4" t="s">
        <v>4620</v>
      </c>
      <c r="D791" s="4" t="s">
        <v>0</v>
      </c>
      <c r="E791" s="4" t="s">
        <v>278</v>
      </c>
      <c r="F791" s="4" t="s">
        <v>4621</v>
      </c>
      <c r="G791" s="4" t="s">
        <v>4622</v>
      </c>
      <c r="H791" s="4">
        <v>16</v>
      </c>
      <c r="I791" s="3">
        <v>1.8</v>
      </c>
    </row>
    <row r="792" spans="1:9" ht="25.5">
      <c r="A792" s="4" t="s">
        <v>535</v>
      </c>
      <c r="B792" s="4" t="s">
        <v>4619</v>
      </c>
      <c r="C792" s="4" t="s">
        <v>4620</v>
      </c>
      <c r="D792" s="4" t="s">
        <v>1</v>
      </c>
      <c r="E792" s="4" t="s">
        <v>536</v>
      </c>
      <c r="F792" s="4" t="s">
        <v>4623</v>
      </c>
      <c r="G792" s="4" t="s">
        <v>4624</v>
      </c>
      <c r="H792" s="4">
        <v>4</v>
      </c>
      <c r="I792" s="3"/>
    </row>
    <row r="793" spans="1:9" ht="38.25">
      <c r="A793" s="4" t="s">
        <v>535</v>
      </c>
      <c r="B793" s="4" t="s">
        <v>4619</v>
      </c>
      <c r="C793" s="4" t="s">
        <v>4620</v>
      </c>
      <c r="D793" s="4" t="s">
        <v>2</v>
      </c>
      <c r="E793" s="4" t="s">
        <v>527</v>
      </c>
      <c r="F793" s="4" t="s">
        <v>4625</v>
      </c>
      <c r="G793" s="4" t="s">
        <v>4626</v>
      </c>
      <c r="H793" s="4">
        <v>16</v>
      </c>
      <c r="I793" s="3"/>
    </row>
    <row r="794" spans="1:9" ht="25.5">
      <c r="A794" s="4" t="s">
        <v>1120</v>
      </c>
      <c r="B794" s="4" t="s">
        <v>4627</v>
      </c>
      <c r="C794" s="4" t="s">
        <v>4628</v>
      </c>
      <c r="D794" s="4" t="s">
        <v>0</v>
      </c>
      <c r="E794" s="4" t="s">
        <v>1121</v>
      </c>
      <c r="F794" s="4" t="s">
        <v>4629</v>
      </c>
      <c r="G794" s="4" t="s">
        <v>4630</v>
      </c>
      <c r="H794" s="4">
        <v>1</v>
      </c>
      <c r="I794" s="3">
        <v>0.24</v>
      </c>
    </row>
    <row r="795" spans="1:9" ht="25.5">
      <c r="A795" s="4" t="s">
        <v>539</v>
      </c>
      <c r="B795" s="4" t="s">
        <v>4627</v>
      </c>
      <c r="C795" s="4" t="s">
        <v>4628</v>
      </c>
      <c r="D795" s="4" t="s">
        <v>1</v>
      </c>
      <c r="E795" s="4" t="s">
        <v>540</v>
      </c>
      <c r="F795" s="4" t="s">
        <v>4631</v>
      </c>
      <c r="G795" s="4" t="s">
        <v>4632</v>
      </c>
      <c r="H795" s="4">
        <v>1</v>
      </c>
      <c r="I795" s="3"/>
    </row>
    <row r="796" spans="1:9" ht="25.5">
      <c r="A796" s="4" t="s">
        <v>539</v>
      </c>
      <c r="B796" s="4" t="s">
        <v>4627</v>
      </c>
      <c r="C796" s="4" t="s">
        <v>4633</v>
      </c>
      <c r="D796" s="4" t="s">
        <v>2</v>
      </c>
      <c r="E796" s="4" t="s">
        <v>348</v>
      </c>
      <c r="F796" s="4" t="s">
        <v>4281</v>
      </c>
      <c r="G796" s="4" t="s">
        <v>4282</v>
      </c>
      <c r="H796" s="4">
        <v>2</v>
      </c>
      <c r="I796" s="3"/>
    </row>
    <row r="797" spans="1:9">
      <c r="A797" s="93" t="s">
        <v>1122</v>
      </c>
      <c r="B797" s="93" t="s">
        <v>4634</v>
      </c>
      <c r="C797" s="93" t="s">
        <v>4635</v>
      </c>
      <c r="D797" s="93" t="s">
        <v>697</v>
      </c>
      <c r="E797" s="93" t="s">
        <v>1123</v>
      </c>
      <c r="F797" s="93" t="s">
        <v>4636</v>
      </c>
      <c r="G797" s="93" t="s">
        <v>4637</v>
      </c>
      <c r="H797" s="93">
        <v>1</v>
      </c>
      <c r="I797" s="3">
        <v>0.19</v>
      </c>
    </row>
    <row r="798" spans="1:9">
      <c r="A798" s="93" t="s">
        <v>1122</v>
      </c>
      <c r="B798" s="93" t="s">
        <v>4634</v>
      </c>
      <c r="C798" s="93" t="s">
        <v>4635</v>
      </c>
      <c r="D798" s="93" t="s">
        <v>717</v>
      </c>
      <c r="E798" s="34" t="s">
        <v>541</v>
      </c>
      <c r="F798" s="34" t="s">
        <v>2836</v>
      </c>
      <c r="G798" s="34" t="s">
        <v>2738</v>
      </c>
      <c r="H798" s="91">
        <v>2</v>
      </c>
      <c r="I798" s="3"/>
    </row>
    <row r="799" spans="1:9" ht="25.5">
      <c r="A799" s="64" t="s">
        <v>1124</v>
      </c>
      <c r="B799" s="64" t="s">
        <v>4638</v>
      </c>
      <c r="C799" s="64" t="s">
        <v>4639</v>
      </c>
      <c r="D799" s="64" t="s">
        <v>0</v>
      </c>
      <c r="E799" s="64" t="s">
        <v>542</v>
      </c>
      <c r="F799" s="64" t="s">
        <v>4640</v>
      </c>
      <c r="G799" s="64" t="s">
        <v>4641</v>
      </c>
      <c r="H799" s="64">
        <v>1</v>
      </c>
      <c r="I799" s="3">
        <v>0.1</v>
      </c>
    </row>
    <row r="800" spans="1:9" ht="25.5">
      <c r="A800" s="64" t="s">
        <v>543</v>
      </c>
      <c r="B800" s="64" t="s">
        <v>4638</v>
      </c>
      <c r="C800" s="64" t="s">
        <v>4642</v>
      </c>
      <c r="D800" s="64" t="s">
        <v>1</v>
      </c>
      <c r="E800" s="64" t="s">
        <v>21</v>
      </c>
      <c r="F800" s="64" t="s">
        <v>3701</v>
      </c>
      <c r="G800" s="64" t="s">
        <v>2738</v>
      </c>
      <c r="H800" s="64">
        <v>1</v>
      </c>
      <c r="I800" s="3"/>
    </row>
    <row r="801" spans="1:9" ht="38.25">
      <c r="A801" s="26" t="s">
        <v>1125</v>
      </c>
      <c r="B801" s="27" t="s">
        <v>4643</v>
      </c>
      <c r="C801" s="27" t="s">
        <v>4644</v>
      </c>
      <c r="D801" s="4" t="s">
        <v>0</v>
      </c>
      <c r="E801" s="28" t="s">
        <v>546</v>
      </c>
      <c r="F801" s="28" t="s">
        <v>4645</v>
      </c>
      <c r="G801" s="28" t="s">
        <v>4644</v>
      </c>
      <c r="H801" s="29">
        <v>1</v>
      </c>
      <c r="I801" s="3">
        <v>0.09</v>
      </c>
    </row>
    <row r="802" spans="1:9" ht="51">
      <c r="A802" s="26" t="s">
        <v>547</v>
      </c>
      <c r="B802" s="131" t="s">
        <v>4646</v>
      </c>
      <c r="C802" s="131" t="s">
        <v>4647</v>
      </c>
      <c r="D802" s="26" t="s">
        <v>0</v>
      </c>
      <c r="E802" s="125" t="s">
        <v>548</v>
      </c>
      <c r="F802" s="125" t="s">
        <v>4648</v>
      </c>
      <c r="G802" s="125" t="s">
        <v>4649</v>
      </c>
      <c r="H802" s="3">
        <v>1</v>
      </c>
      <c r="I802" s="3">
        <v>2.1</v>
      </c>
    </row>
    <row r="803" spans="1:9" ht="51">
      <c r="A803" s="26" t="s">
        <v>547</v>
      </c>
      <c r="B803" s="131" t="s">
        <v>4646</v>
      </c>
      <c r="C803" s="131" t="s">
        <v>4650</v>
      </c>
      <c r="D803" s="26" t="s">
        <v>0</v>
      </c>
      <c r="E803" s="125" t="s">
        <v>549</v>
      </c>
      <c r="F803" s="125" t="s">
        <v>4651</v>
      </c>
      <c r="G803" s="125" t="s">
        <v>4652</v>
      </c>
      <c r="H803" s="3">
        <v>1</v>
      </c>
      <c r="I803" s="3"/>
    </row>
    <row r="804" spans="1:9" ht="51">
      <c r="A804" s="26" t="s">
        <v>547</v>
      </c>
      <c r="B804" s="131" t="s">
        <v>4646</v>
      </c>
      <c r="C804" s="131" t="s">
        <v>4653</v>
      </c>
      <c r="D804" s="26" t="s">
        <v>1</v>
      </c>
      <c r="E804" s="125" t="s">
        <v>550</v>
      </c>
      <c r="F804" s="125" t="s">
        <v>4654</v>
      </c>
      <c r="G804" s="125" t="s">
        <v>4655</v>
      </c>
      <c r="H804" s="3">
        <v>1</v>
      </c>
      <c r="I804" s="3"/>
    </row>
    <row r="805" spans="1:9" ht="51">
      <c r="A805" s="26" t="s">
        <v>547</v>
      </c>
      <c r="B805" s="131" t="s">
        <v>4646</v>
      </c>
      <c r="C805" s="131" t="s">
        <v>4650</v>
      </c>
      <c r="D805" s="26" t="s">
        <v>1</v>
      </c>
      <c r="E805" s="125" t="s">
        <v>551</v>
      </c>
      <c r="F805" s="125" t="s">
        <v>4656</v>
      </c>
      <c r="G805" s="125" t="s">
        <v>4657</v>
      </c>
      <c r="H805" s="3">
        <v>1</v>
      </c>
      <c r="I805" s="3"/>
    </row>
    <row r="806" spans="1:9" ht="51">
      <c r="A806" s="26" t="s">
        <v>547</v>
      </c>
      <c r="B806" s="131" t="s">
        <v>4646</v>
      </c>
      <c r="C806" s="131" t="s">
        <v>4653</v>
      </c>
      <c r="D806" s="26" t="s">
        <v>2</v>
      </c>
      <c r="E806" s="125" t="s">
        <v>552</v>
      </c>
      <c r="F806" s="125" t="s">
        <v>4658</v>
      </c>
      <c r="G806" s="125" t="s">
        <v>4659</v>
      </c>
      <c r="H806" s="3">
        <v>1</v>
      </c>
      <c r="I806" s="3"/>
    </row>
    <row r="807" spans="1:9" ht="51">
      <c r="A807" s="26" t="s">
        <v>547</v>
      </c>
      <c r="B807" s="131" t="s">
        <v>4646</v>
      </c>
      <c r="C807" s="131" t="s">
        <v>4650</v>
      </c>
      <c r="D807" s="26" t="s">
        <v>2</v>
      </c>
      <c r="E807" s="125" t="s">
        <v>553</v>
      </c>
      <c r="F807" s="125" t="s">
        <v>4660</v>
      </c>
      <c r="G807" s="125" t="s">
        <v>4661</v>
      </c>
      <c r="H807" s="3">
        <v>1</v>
      </c>
      <c r="I807" s="3"/>
    </row>
    <row r="808" spans="1:9">
      <c r="A808" s="26" t="s">
        <v>554</v>
      </c>
      <c r="B808" s="27" t="s">
        <v>4662</v>
      </c>
      <c r="C808" s="27" t="s">
        <v>4663</v>
      </c>
      <c r="D808" s="4" t="s">
        <v>0</v>
      </c>
      <c r="E808" s="28" t="s">
        <v>555</v>
      </c>
      <c r="F808" s="28" t="s">
        <v>4664</v>
      </c>
      <c r="G808" s="28" t="s">
        <v>4665</v>
      </c>
      <c r="H808" s="29">
        <v>1</v>
      </c>
      <c r="I808" s="3">
        <v>1.3049999999999999</v>
      </c>
    </row>
    <row r="809" spans="1:9" ht="25.5">
      <c r="A809" s="26" t="s">
        <v>556</v>
      </c>
      <c r="B809" s="27" t="s">
        <v>4666</v>
      </c>
      <c r="C809" s="27" t="s">
        <v>4667</v>
      </c>
      <c r="D809" s="4" t="s">
        <v>0</v>
      </c>
      <c r="E809" s="28" t="s">
        <v>557</v>
      </c>
      <c r="F809" s="28" t="s">
        <v>4668</v>
      </c>
      <c r="G809" s="28" t="s">
        <v>4669</v>
      </c>
      <c r="H809" s="29">
        <v>2</v>
      </c>
      <c r="I809" s="3">
        <v>0.1</v>
      </c>
    </row>
    <row r="810" spans="1:9" ht="25.5">
      <c r="A810" s="26" t="s">
        <v>558</v>
      </c>
      <c r="B810" s="27" t="s">
        <v>4670</v>
      </c>
      <c r="C810" s="27" t="s">
        <v>4671</v>
      </c>
      <c r="D810" s="4" t="s">
        <v>0</v>
      </c>
      <c r="E810" s="28" t="s">
        <v>559</v>
      </c>
      <c r="F810" s="28" t="s">
        <v>4672</v>
      </c>
      <c r="G810" s="28" t="s">
        <v>4673</v>
      </c>
      <c r="H810" s="29">
        <v>2</v>
      </c>
      <c r="I810" s="3">
        <v>0.1</v>
      </c>
    </row>
    <row r="811" spans="1:9" ht="25.5">
      <c r="A811" s="4" t="s">
        <v>1126</v>
      </c>
      <c r="B811" s="4" t="s">
        <v>4674</v>
      </c>
      <c r="C811" s="4" t="s">
        <v>4675</v>
      </c>
      <c r="D811" s="4" t="s">
        <v>0</v>
      </c>
      <c r="E811" s="34" t="s">
        <v>564</v>
      </c>
      <c r="F811" s="34" t="s">
        <v>4676</v>
      </c>
      <c r="G811" s="34" t="s">
        <v>4675</v>
      </c>
      <c r="H811" s="34">
        <v>0</v>
      </c>
      <c r="I811" s="3">
        <v>2.41</v>
      </c>
    </row>
    <row r="812" spans="1:9" ht="25.5">
      <c r="A812" s="4" t="s">
        <v>563</v>
      </c>
      <c r="B812" s="4" t="s">
        <v>4674</v>
      </c>
      <c r="C812" s="4" t="s">
        <v>4675</v>
      </c>
      <c r="D812" s="4" t="s">
        <v>0</v>
      </c>
      <c r="E812" s="34" t="s">
        <v>565</v>
      </c>
      <c r="F812" s="34" t="s">
        <v>4677</v>
      </c>
      <c r="G812" s="34" t="s">
        <v>4675</v>
      </c>
      <c r="H812" s="34">
        <v>1</v>
      </c>
      <c r="I812" s="3">
        <v>2.41</v>
      </c>
    </row>
    <row r="813" spans="1:9" ht="25.5">
      <c r="A813" s="4" t="s">
        <v>563</v>
      </c>
      <c r="B813" s="4" t="s">
        <v>4674</v>
      </c>
      <c r="C813" s="4" t="s">
        <v>4675</v>
      </c>
      <c r="D813" s="4" t="s">
        <v>1</v>
      </c>
      <c r="E813" s="4" t="s">
        <v>16</v>
      </c>
      <c r="F813" s="4" t="s">
        <v>3976</v>
      </c>
      <c r="G813" s="4" t="s">
        <v>4678</v>
      </c>
      <c r="H813" s="4">
        <v>2</v>
      </c>
      <c r="I813" s="3"/>
    </row>
    <row r="814" spans="1:9" ht="25.5">
      <c r="A814" s="4" t="s">
        <v>1127</v>
      </c>
      <c r="B814" s="4" t="s">
        <v>4679</v>
      </c>
      <c r="C814" s="4" t="s">
        <v>4680</v>
      </c>
      <c r="D814" s="4" t="s">
        <v>0</v>
      </c>
      <c r="E814" s="34" t="s">
        <v>1128</v>
      </c>
      <c r="F814" s="34" t="s">
        <v>4681</v>
      </c>
      <c r="G814" s="34" t="s">
        <v>4680</v>
      </c>
      <c r="H814" s="34">
        <v>0</v>
      </c>
      <c r="I814" s="3">
        <v>1.25</v>
      </c>
    </row>
    <row r="815" spans="1:9" ht="25.5">
      <c r="A815" s="4" t="s">
        <v>159</v>
      </c>
      <c r="B815" s="4" t="s">
        <v>4679</v>
      </c>
      <c r="C815" s="4" t="s">
        <v>4680</v>
      </c>
      <c r="D815" s="4" t="s">
        <v>0</v>
      </c>
      <c r="E815" s="34" t="s">
        <v>1129</v>
      </c>
      <c r="F815" s="34" t="s">
        <v>4682</v>
      </c>
      <c r="G815" s="34" t="s">
        <v>4680</v>
      </c>
      <c r="H815" s="34">
        <v>1</v>
      </c>
      <c r="I815" s="3"/>
    </row>
    <row r="816" spans="1:9" ht="25.5">
      <c r="A816" s="4" t="s">
        <v>159</v>
      </c>
      <c r="B816" s="4" t="s">
        <v>4679</v>
      </c>
      <c r="C816" s="4" t="s">
        <v>4680</v>
      </c>
      <c r="D816" s="4" t="s">
        <v>1</v>
      </c>
      <c r="E816" s="4" t="s">
        <v>16</v>
      </c>
      <c r="F816" s="4" t="s">
        <v>3976</v>
      </c>
      <c r="G816" s="4" t="s">
        <v>4678</v>
      </c>
      <c r="H816" s="4">
        <v>1</v>
      </c>
      <c r="I816" s="3"/>
    </row>
    <row r="817" spans="1:9" ht="25.5">
      <c r="A817" s="4" t="s">
        <v>566</v>
      </c>
      <c r="B817" s="4" t="s">
        <v>4683</v>
      </c>
      <c r="C817" s="4" t="s">
        <v>4684</v>
      </c>
      <c r="D817" s="4" t="s">
        <v>0</v>
      </c>
      <c r="E817" s="34" t="s">
        <v>1130</v>
      </c>
      <c r="F817" s="34" t="s">
        <v>4685</v>
      </c>
      <c r="G817" s="34" t="s">
        <v>4686</v>
      </c>
      <c r="H817" s="34">
        <v>0</v>
      </c>
      <c r="I817" s="3">
        <v>0.48</v>
      </c>
    </row>
    <row r="818" spans="1:9" ht="25.5">
      <c r="A818" s="4" t="s">
        <v>566</v>
      </c>
      <c r="B818" s="4" t="s">
        <v>4683</v>
      </c>
      <c r="C818" s="4" t="s">
        <v>4684</v>
      </c>
      <c r="D818" s="4" t="s">
        <v>0</v>
      </c>
      <c r="E818" s="34" t="s">
        <v>1131</v>
      </c>
      <c r="F818" s="34" t="s">
        <v>4685</v>
      </c>
      <c r="G818" s="34" t="s">
        <v>4686</v>
      </c>
      <c r="H818" s="34">
        <v>1</v>
      </c>
      <c r="I818" s="3"/>
    </row>
    <row r="819" spans="1:9" ht="25.5">
      <c r="A819" s="4" t="s">
        <v>566</v>
      </c>
      <c r="B819" s="4" t="s">
        <v>4683</v>
      </c>
      <c r="C819" s="4" t="s">
        <v>4684</v>
      </c>
      <c r="D819" s="4" t="s">
        <v>1</v>
      </c>
      <c r="E819" s="4" t="s">
        <v>16</v>
      </c>
      <c r="F819" s="4" t="s">
        <v>3976</v>
      </c>
      <c r="G819" s="4" t="s">
        <v>4678</v>
      </c>
      <c r="H819" s="4">
        <v>1</v>
      </c>
      <c r="I819" s="3"/>
    </row>
    <row r="820" spans="1:9" ht="38.25">
      <c r="A820" s="30" t="s">
        <v>1132</v>
      </c>
      <c r="B820" s="30" t="s">
        <v>4687</v>
      </c>
      <c r="C820" s="30" t="s">
        <v>4688</v>
      </c>
      <c r="D820" s="30" t="s">
        <v>721</v>
      </c>
      <c r="E820" s="30" t="s">
        <v>1133</v>
      </c>
      <c r="F820" s="30" t="s">
        <v>4689</v>
      </c>
      <c r="G820" s="30" t="s">
        <v>4690</v>
      </c>
      <c r="H820" s="27">
        <v>1</v>
      </c>
      <c r="I820" s="3">
        <v>0.1</v>
      </c>
    </row>
    <row r="821" spans="1:9" ht="38.25">
      <c r="A821" s="30" t="s">
        <v>585</v>
      </c>
      <c r="B821" s="27" t="s">
        <v>4691</v>
      </c>
      <c r="C821" s="27" t="s">
        <v>4692</v>
      </c>
      <c r="D821" s="30" t="s">
        <v>701</v>
      </c>
      <c r="E821" s="83" t="s">
        <v>1134</v>
      </c>
      <c r="F821" s="83" t="s">
        <v>2836</v>
      </c>
      <c r="G821" s="83" t="s">
        <v>4693</v>
      </c>
      <c r="H821" s="27">
        <v>1</v>
      </c>
      <c r="I821" s="3"/>
    </row>
    <row r="822" spans="1:9" ht="25.5">
      <c r="A822" s="93" t="s">
        <v>1135</v>
      </c>
      <c r="B822" s="93" t="s">
        <v>4694</v>
      </c>
      <c r="C822" s="93" t="s">
        <v>4695</v>
      </c>
      <c r="D822" s="93" t="s">
        <v>697</v>
      </c>
      <c r="E822" s="34" t="s">
        <v>1136</v>
      </c>
      <c r="F822" s="34" t="s">
        <v>4696</v>
      </c>
      <c r="G822" s="34" t="s">
        <v>4697</v>
      </c>
      <c r="H822" s="93">
        <v>1</v>
      </c>
      <c r="I822" s="3">
        <v>3.29</v>
      </c>
    </row>
    <row r="823" spans="1:9" ht="25.5">
      <c r="A823" s="93" t="s">
        <v>1135</v>
      </c>
      <c r="B823" s="93" t="s">
        <v>4694</v>
      </c>
      <c r="C823" s="93" t="s">
        <v>4695</v>
      </c>
      <c r="D823" s="65" t="s">
        <v>717</v>
      </c>
      <c r="E823" s="93" t="s">
        <v>918</v>
      </c>
      <c r="F823" s="93" t="s">
        <v>4698</v>
      </c>
      <c r="G823" s="93" t="s">
        <v>4678</v>
      </c>
      <c r="H823" s="93">
        <v>2</v>
      </c>
      <c r="I823" s="3"/>
    </row>
    <row r="824" spans="1:9" ht="25.5">
      <c r="A824" s="93" t="s">
        <v>1135</v>
      </c>
      <c r="B824" s="93" t="s">
        <v>4694</v>
      </c>
      <c r="C824" s="93" t="s">
        <v>4695</v>
      </c>
      <c r="D824" s="65" t="s">
        <v>863</v>
      </c>
      <c r="E824" s="93" t="s">
        <v>1137</v>
      </c>
      <c r="F824" s="93" t="s">
        <v>3461</v>
      </c>
      <c r="G824" s="93" t="s">
        <v>2768</v>
      </c>
      <c r="H824" s="93">
        <v>1</v>
      </c>
      <c r="I824" s="3"/>
    </row>
    <row r="825" spans="1:9" ht="25.5">
      <c r="A825" s="93" t="s">
        <v>1135</v>
      </c>
      <c r="B825" s="93" t="s">
        <v>4694</v>
      </c>
      <c r="C825" s="93" t="s">
        <v>4695</v>
      </c>
      <c r="D825" s="65" t="s">
        <v>864</v>
      </c>
      <c r="E825" s="93" t="s">
        <v>1138</v>
      </c>
      <c r="F825" s="93" t="s">
        <v>2737</v>
      </c>
      <c r="G825" s="93" t="s">
        <v>2738</v>
      </c>
      <c r="H825" s="93">
        <v>2</v>
      </c>
      <c r="I825" s="3"/>
    </row>
    <row r="826" spans="1:9" ht="25.5">
      <c r="A826" s="4" t="s">
        <v>531</v>
      </c>
      <c r="B826" s="4" t="s">
        <v>4699</v>
      </c>
      <c r="C826" s="4" t="s">
        <v>4700</v>
      </c>
      <c r="D826" s="4" t="s">
        <v>0</v>
      </c>
      <c r="E826" s="108" t="s">
        <v>532</v>
      </c>
      <c r="F826" s="108" t="s">
        <v>4701</v>
      </c>
      <c r="G826" s="108" t="s">
        <v>4702</v>
      </c>
      <c r="H826" s="4">
        <v>1</v>
      </c>
      <c r="I826" s="3">
        <v>1.3</v>
      </c>
    </row>
    <row r="827" spans="1:9" ht="25.5">
      <c r="A827" s="4" t="s">
        <v>531</v>
      </c>
      <c r="B827" s="4" t="s">
        <v>4699</v>
      </c>
      <c r="C827" s="4" t="s">
        <v>4703</v>
      </c>
      <c r="D827" s="4" t="s">
        <v>0</v>
      </c>
      <c r="E827" s="108" t="s">
        <v>533</v>
      </c>
      <c r="F827" s="108" t="s">
        <v>4704</v>
      </c>
      <c r="G827" s="108" t="s">
        <v>4705</v>
      </c>
      <c r="H827" s="4">
        <v>1</v>
      </c>
      <c r="I827" s="3"/>
    </row>
    <row r="828" spans="1:9" ht="25.5">
      <c r="A828" s="4" t="s">
        <v>534</v>
      </c>
      <c r="B828" s="4" t="s">
        <v>4706</v>
      </c>
      <c r="C828" s="4" t="s">
        <v>4684</v>
      </c>
      <c r="D828" s="4" t="s">
        <v>0</v>
      </c>
      <c r="E828" s="108" t="s">
        <v>1139</v>
      </c>
      <c r="F828" s="108" t="s">
        <v>4707</v>
      </c>
      <c r="G828" s="108" t="s">
        <v>4684</v>
      </c>
      <c r="H828" s="4">
        <v>2</v>
      </c>
      <c r="I828" s="3">
        <v>0.98</v>
      </c>
    </row>
    <row r="829" spans="1:9" ht="25.5">
      <c r="A829" s="4" t="s">
        <v>1140</v>
      </c>
      <c r="B829" s="4" t="s">
        <v>4708</v>
      </c>
      <c r="C829" s="4" t="s">
        <v>4709</v>
      </c>
      <c r="D829" s="4" t="s">
        <v>0</v>
      </c>
      <c r="E829" s="4" t="s">
        <v>305</v>
      </c>
      <c r="F829" s="4" t="s">
        <v>4710</v>
      </c>
      <c r="G829" s="4" t="s">
        <v>4711</v>
      </c>
      <c r="H829" s="4">
        <v>1</v>
      </c>
      <c r="I829" s="3">
        <v>0.54</v>
      </c>
    </row>
    <row r="830" spans="1:9" ht="67.5">
      <c r="A830" s="20" t="s">
        <v>1141</v>
      </c>
      <c r="B830" s="134" t="s">
        <v>4712</v>
      </c>
      <c r="C830" s="134" t="s">
        <v>4713</v>
      </c>
      <c r="D830" s="133" t="s">
        <v>0</v>
      </c>
      <c r="E830" s="137" t="s">
        <v>1142</v>
      </c>
      <c r="F830" s="137" t="s">
        <v>4714</v>
      </c>
      <c r="G830" s="137" t="s">
        <v>4715</v>
      </c>
      <c r="H830" s="133">
        <v>1</v>
      </c>
      <c r="I830" s="3"/>
    </row>
    <row r="831" spans="1:9" ht="67.5">
      <c r="A831" s="20" t="s">
        <v>681</v>
      </c>
      <c r="B831" s="134" t="s">
        <v>4712</v>
      </c>
      <c r="C831" s="134" t="s">
        <v>4713</v>
      </c>
      <c r="D831" s="133" t="s">
        <v>1</v>
      </c>
      <c r="E831" s="133" t="s">
        <v>669</v>
      </c>
      <c r="F831" s="133" t="s">
        <v>2836</v>
      </c>
      <c r="G831" s="133" t="s">
        <v>2861</v>
      </c>
      <c r="H831" s="133">
        <v>1</v>
      </c>
      <c r="I831" s="3"/>
    </row>
    <row r="832" spans="1:9" ht="25.5">
      <c r="A832" s="30" t="s">
        <v>1143</v>
      </c>
      <c r="B832" s="30" t="s">
        <v>4716</v>
      </c>
      <c r="C832" s="30" t="s">
        <v>4717</v>
      </c>
      <c r="D832" s="30" t="s">
        <v>721</v>
      </c>
      <c r="E832" s="83" t="s">
        <v>1144</v>
      </c>
      <c r="F832" s="83" t="s">
        <v>4718</v>
      </c>
      <c r="G832" s="83" t="s">
        <v>4719</v>
      </c>
      <c r="H832" s="83" t="s">
        <v>41</v>
      </c>
      <c r="I832" s="3">
        <v>0.24</v>
      </c>
    </row>
    <row r="833" spans="1:10" ht="25.5">
      <c r="A833" s="30" t="s">
        <v>1143</v>
      </c>
      <c r="B833" s="30" t="s">
        <v>4716</v>
      </c>
      <c r="C833" s="30" t="s">
        <v>4717</v>
      </c>
      <c r="D833" s="30" t="s">
        <v>701</v>
      </c>
      <c r="E833" s="83" t="s">
        <v>567</v>
      </c>
      <c r="F833" s="83" t="s">
        <v>2836</v>
      </c>
      <c r="G833" s="83" t="s">
        <v>2738</v>
      </c>
      <c r="H833" s="83">
        <v>3</v>
      </c>
      <c r="I833" s="3"/>
    </row>
    <row r="834" spans="1:10" ht="25.5">
      <c r="A834" s="86" t="s">
        <v>1145</v>
      </c>
      <c r="B834" s="86" t="s">
        <v>4720</v>
      </c>
      <c r="C834" s="86" t="s">
        <v>4721</v>
      </c>
      <c r="D834" s="86" t="s">
        <v>0</v>
      </c>
      <c r="E834" s="83" t="s">
        <v>1146</v>
      </c>
      <c r="F834" s="83" t="s">
        <v>4722</v>
      </c>
      <c r="G834" s="83" t="s">
        <v>4723</v>
      </c>
      <c r="H834" s="83" t="s">
        <v>41</v>
      </c>
      <c r="I834" s="3">
        <v>0.41</v>
      </c>
    </row>
    <row r="835" spans="1:10" ht="25.5">
      <c r="A835" s="86" t="s">
        <v>568</v>
      </c>
      <c r="B835" s="86" t="s">
        <v>4720</v>
      </c>
      <c r="C835" s="86" t="s">
        <v>4724</v>
      </c>
      <c r="D835" s="86" t="s">
        <v>1</v>
      </c>
      <c r="E835" s="83" t="s">
        <v>569</v>
      </c>
      <c r="F835" s="83" t="s">
        <v>2836</v>
      </c>
      <c r="G835" s="83" t="s">
        <v>2738</v>
      </c>
      <c r="H835" s="83">
        <v>4</v>
      </c>
      <c r="I835" s="3"/>
    </row>
    <row r="836" spans="1:10" ht="38.25">
      <c r="A836" s="86" t="s">
        <v>1147</v>
      </c>
      <c r="B836" s="86" t="s">
        <v>4725</v>
      </c>
      <c r="C836" s="86" t="s">
        <v>4726</v>
      </c>
      <c r="D836" s="86" t="s">
        <v>0</v>
      </c>
      <c r="E836" s="83" t="s">
        <v>1148</v>
      </c>
      <c r="F836" s="83" t="s">
        <v>4727</v>
      </c>
      <c r="G836" s="83" t="s">
        <v>4728</v>
      </c>
      <c r="H836" s="83" t="s">
        <v>41</v>
      </c>
      <c r="I836" s="3">
        <v>0.41</v>
      </c>
    </row>
    <row r="837" spans="1:10" ht="38.25">
      <c r="A837" s="86" t="s">
        <v>586</v>
      </c>
      <c r="B837" s="86" t="s">
        <v>4725</v>
      </c>
      <c r="C837" s="86" t="s">
        <v>4726</v>
      </c>
      <c r="D837" s="86" t="s">
        <v>701</v>
      </c>
      <c r="E837" s="83" t="s">
        <v>1149</v>
      </c>
      <c r="F837" s="83" t="s">
        <v>2836</v>
      </c>
      <c r="G837" s="83" t="s">
        <v>2738</v>
      </c>
      <c r="H837" s="83">
        <v>4</v>
      </c>
      <c r="I837" s="3"/>
    </row>
    <row r="838" spans="1:10" ht="38.25">
      <c r="A838" s="30" t="s">
        <v>1150</v>
      </c>
      <c r="B838" s="30" t="s">
        <v>4729</v>
      </c>
      <c r="C838" s="30" t="s">
        <v>4730</v>
      </c>
      <c r="D838" s="30" t="s">
        <v>721</v>
      </c>
      <c r="E838" s="83" t="s">
        <v>1151</v>
      </c>
      <c r="F838" s="83" t="s">
        <v>4731</v>
      </c>
      <c r="G838" s="83" t="s">
        <v>4732</v>
      </c>
      <c r="H838" s="83">
        <v>1</v>
      </c>
      <c r="I838" s="3">
        <v>0.28999999999999998</v>
      </c>
    </row>
    <row r="839" spans="1:10" ht="38.25">
      <c r="A839" s="30" t="s">
        <v>1150</v>
      </c>
      <c r="B839" s="30" t="s">
        <v>4729</v>
      </c>
      <c r="C839" s="30" t="s">
        <v>4733</v>
      </c>
      <c r="D839" s="30" t="s">
        <v>701</v>
      </c>
      <c r="E839" s="83" t="s">
        <v>1152</v>
      </c>
      <c r="F839" s="83" t="s">
        <v>2836</v>
      </c>
      <c r="G839" s="83" t="s">
        <v>2738</v>
      </c>
      <c r="H839" s="83">
        <v>4</v>
      </c>
      <c r="I839" s="3"/>
    </row>
    <row r="840" spans="1:10" ht="75">
      <c r="A840" s="166" t="s">
        <v>1153</v>
      </c>
      <c r="B840" s="166" t="s">
        <v>4734</v>
      </c>
      <c r="C840" s="166" t="s">
        <v>4735</v>
      </c>
      <c r="D840" s="166" t="s">
        <v>721</v>
      </c>
      <c r="E840" s="102" t="s">
        <v>1154</v>
      </c>
      <c r="F840" s="102" t="s">
        <v>2836</v>
      </c>
      <c r="G840" s="102" t="s">
        <v>4693</v>
      </c>
      <c r="H840" s="102">
        <v>1</v>
      </c>
      <c r="I840" s="3"/>
      <c r="J840" s="3"/>
    </row>
    <row r="841" spans="1:10" ht="38.25">
      <c r="A841" s="27" t="s">
        <v>1155</v>
      </c>
      <c r="B841" s="27" t="s">
        <v>4736</v>
      </c>
      <c r="C841" s="27" t="s">
        <v>4737</v>
      </c>
      <c r="D841" s="65" t="s">
        <v>721</v>
      </c>
      <c r="E841" s="138" t="s">
        <v>1156</v>
      </c>
      <c r="F841" s="138" t="s">
        <v>3906</v>
      </c>
      <c r="G841" s="138" t="s">
        <v>3904</v>
      </c>
      <c r="H841" s="95">
        <v>1</v>
      </c>
      <c r="I841" s="3">
        <v>0.26</v>
      </c>
    </row>
    <row r="842" spans="1:10" ht="25.5">
      <c r="A842" s="27" t="s">
        <v>1155</v>
      </c>
      <c r="B842" s="27" t="s">
        <v>4736</v>
      </c>
      <c r="C842" s="27" t="s">
        <v>3905</v>
      </c>
      <c r="D842" s="65" t="s">
        <v>721</v>
      </c>
      <c r="E842" s="138" t="s">
        <v>1157</v>
      </c>
      <c r="F842" s="138" t="s">
        <v>3906</v>
      </c>
      <c r="G842" s="138" t="s">
        <v>4738</v>
      </c>
      <c r="H842" s="95">
        <v>1</v>
      </c>
      <c r="I842" s="3"/>
    </row>
    <row r="843" spans="1:10" ht="25.5">
      <c r="A843" s="27" t="s">
        <v>574</v>
      </c>
      <c r="B843" s="27" t="s">
        <v>4739</v>
      </c>
      <c r="C843" s="27" t="s">
        <v>4740</v>
      </c>
      <c r="D843" s="27" t="s">
        <v>0</v>
      </c>
      <c r="E843" s="27" t="s">
        <v>575</v>
      </c>
      <c r="F843" s="27" t="s">
        <v>4741</v>
      </c>
      <c r="G843" s="27" t="s">
        <v>4742</v>
      </c>
      <c r="H843" s="27">
        <v>0</v>
      </c>
      <c r="I843" s="3">
        <v>0.64</v>
      </c>
    </row>
    <row r="844" spans="1:10" ht="25.5">
      <c r="A844" s="27" t="s">
        <v>574</v>
      </c>
      <c r="B844" s="27" t="s">
        <v>4739</v>
      </c>
      <c r="C844" s="27" t="s">
        <v>4740</v>
      </c>
      <c r="D844" s="27" t="s">
        <v>0</v>
      </c>
      <c r="E844" s="27" t="s">
        <v>1158</v>
      </c>
      <c r="F844" s="27" t="s">
        <v>4741</v>
      </c>
      <c r="G844" s="27" t="s">
        <v>4743</v>
      </c>
      <c r="H844" s="27">
        <v>1</v>
      </c>
      <c r="I844" s="3">
        <v>0.64</v>
      </c>
    </row>
    <row r="845" spans="1:10" ht="25.5">
      <c r="A845" s="27" t="s">
        <v>1159</v>
      </c>
      <c r="B845" s="27" t="s">
        <v>4744</v>
      </c>
      <c r="C845" s="27" t="s">
        <v>4745</v>
      </c>
      <c r="D845" s="65" t="s">
        <v>721</v>
      </c>
      <c r="E845" s="75" t="s">
        <v>1160</v>
      </c>
      <c r="F845" s="75" t="s">
        <v>4746</v>
      </c>
      <c r="G845" s="75" t="s">
        <v>4747</v>
      </c>
      <c r="H845" s="49">
        <v>0</v>
      </c>
      <c r="I845" s="3">
        <v>0.24</v>
      </c>
    </row>
    <row r="846" spans="1:10" ht="38.25">
      <c r="A846" s="27" t="s">
        <v>1159</v>
      </c>
      <c r="B846" s="27" t="s">
        <v>4744</v>
      </c>
      <c r="C846" s="27" t="s">
        <v>4748</v>
      </c>
      <c r="D846" s="65" t="s">
        <v>721</v>
      </c>
      <c r="E846" s="75" t="s">
        <v>1161</v>
      </c>
      <c r="F846" s="75" t="s">
        <v>4746</v>
      </c>
      <c r="G846" s="75" t="s">
        <v>4747</v>
      </c>
      <c r="H846" s="49">
        <v>1</v>
      </c>
      <c r="I846" s="3">
        <v>0.24</v>
      </c>
    </row>
    <row r="847" spans="1:10" ht="25.5">
      <c r="A847" s="4" t="s">
        <v>570</v>
      </c>
      <c r="B847" s="4" t="s">
        <v>4749</v>
      </c>
      <c r="C847" s="4" t="s">
        <v>4750</v>
      </c>
      <c r="D847" s="4" t="s">
        <v>0</v>
      </c>
      <c r="E847" s="4" t="s">
        <v>571</v>
      </c>
      <c r="F847" s="4" t="s">
        <v>4751</v>
      </c>
      <c r="G847" s="4" t="s">
        <v>4750</v>
      </c>
      <c r="H847" s="4">
        <v>1</v>
      </c>
      <c r="I847" s="3">
        <v>0.09</v>
      </c>
    </row>
    <row r="848" spans="1:10" ht="25.5">
      <c r="A848" s="4" t="s">
        <v>572</v>
      </c>
      <c r="B848" s="4" t="s">
        <v>4752</v>
      </c>
      <c r="C848" s="4" t="s">
        <v>4753</v>
      </c>
      <c r="D848" s="4" t="s">
        <v>0</v>
      </c>
      <c r="E848" s="33" t="s">
        <v>1162</v>
      </c>
      <c r="F848" s="33" t="s">
        <v>4754</v>
      </c>
      <c r="G848" s="33" t="s">
        <v>4755</v>
      </c>
      <c r="H848" s="4">
        <v>0</v>
      </c>
      <c r="I848" s="3">
        <v>0.9</v>
      </c>
    </row>
    <row r="849" spans="1:9" ht="25.5">
      <c r="A849" s="4" t="s">
        <v>572</v>
      </c>
      <c r="B849" s="4" t="s">
        <v>4752</v>
      </c>
      <c r="C849" s="4" t="s">
        <v>4756</v>
      </c>
      <c r="D849" s="4" t="s">
        <v>0</v>
      </c>
      <c r="E849" s="33" t="s">
        <v>1163</v>
      </c>
      <c r="F849" s="33" t="s">
        <v>4757</v>
      </c>
      <c r="G849" s="33" t="s">
        <v>4758</v>
      </c>
      <c r="H849" s="4">
        <v>0</v>
      </c>
      <c r="I849" s="3"/>
    </row>
    <row r="850" spans="1:9" ht="25.5">
      <c r="A850" s="4" t="s">
        <v>572</v>
      </c>
      <c r="B850" s="4" t="s">
        <v>4752</v>
      </c>
      <c r="C850" s="4" t="s">
        <v>4753</v>
      </c>
      <c r="D850" s="4" t="s">
        <v>0</v>
      </c>
      <c r="E850" s="33" t="s">
        <v>1164</v>
      </c>
      <c r="F850" s="33" t="s">
        <v>4754</v>
      </c>
      <c r="G850" s="33" t="s">
        <v>4755</v>
      </c>
      <c r="H850" s="4">
        <v>0</v>
      </c>
      <c r="I850" s="3"/>
    </row>
    <row r="851" spans="1:9" ht="25.5">
      <c r="A851" s="4" t="s">
        <v>572</v>
      </c>
      <c r="B851" s="4" t="s">
        <v>4752</v>
      </c>
      <c r="C851" s="4" t="s">
        <v>4753</v>
      </c>
      <c r="D851" s="4" t="s">
        <v>0</v>
      </c>
      <c r="E851" s="33" t="s">
        <v>1165</v>
      </c>
      <c r="F851" s="33" t="s">
        <v>4757</v>
      </c>
      <c r="G851" s="33" t="s">
        <v>4758</v>
      </c>
      <c r="H851" s="4">
        <v>0</v>
      </c>
      <c r="I851" s="3"/>
    </row>
    <row r="852" spans="1:9" ht="25.5">
      <c r="A852" s="27" t="s">
        <v>1166</v>
      </c>
      <c r="B852" s="27" t="s">
        <v>4759</v>
      </c>
      <c r="C852" s="27" t="s">
        <v>4753</v>
      </c>
      <c r="D852" s="65" t="s">
        <v>721</v>
      </c>
      <c r="E852" s="138" t="s">
        <v>573</v>
      </c>
      <c r="F852" s="138" t="s">
        <v>4760</v>
      </c>
      <c r="G852" s="138" t="s">
        <v>4761</v>
      </c>
      <c r="H852" s="3">
        <v>1</v>
      </c>
      <c r="I852" s="3"/>
    </row>
    <row r="853" spans="1:9" ht="25.5">
      <c r="A853" s="27" t="s">
        <v>1166</v>
      </c>
      <c r="B853" s="27" t="s">
        <v>4759</v>
      </c>
      <c r="C853" s="27" t="s">
        <v>4753</v>
      </c>
      <c r="D853" s="65" t="s">
        <v>721</v>
      </c>
      <c r="E853" s="34" t="s">
        <v>1167</v>
      </c>
      <c r="F853" s="187" t="s">
        <v>4762</v>
      </c>
      <c r="G853" s="187" t="s">
        <v>4763</v>
      </c>
      <c r="H853" s="3">
        <v>1</v>
      </c>
      <c r="I853" s="3"/>
    </row>
    <row r="854" spans="1:9" ht="25.5">
      <c r="A854" s="4" t="s">
        <v>572</v>
      </c>
      <c r="B854" s="4" t="s">
        <v>4752</v>
      </c>
      <c r="C854" s="4" t="s">
        <v>4753</v>
      </c>
      <c r="D854" s="4" t="s">
        <v>1</v>
      </c>
      <c r="E854" s="33" t="s">
        <v>1168</v>
      </c>
      <c r="F854" s="33" t="s">
        <v>4764</v>
      </c>
      <c r="G854" s="33" t="s">
        <v>4765</v>
      </c>
      <c r="H854" s="4">
        <v>0</v>
      </c>
      <c r="I854" s="3"/>
    </row>
    <row r="855" spans="1:9" ht="25.5">
      <c r="A855" s="4" t="s">
        <v>572</v>
      </c>
      <c r="B855" s="4" t="s">
        <v>4752</v>
      </c>
      <c r="C855" s="4" t="s">
        <v>4766</v>
      </c>
      <c r="D855" s="4" t="s">
        <v>1</v>
      </c>
      <c r="E855" s="33" t="s">
        <v>1169</v>
      </c>
      <c r="F855" s="33" t="s">
        <v>4767</v>
      </c>
      <c r="G855" s="33" t="s">
        <v>4768</v>
      </c>
      <c r="H855" s="4">
        <v>0</v>
      </c>
      <c r="I855" s="3"/>
    </row>
    <row r="856" spans="1:9" ht="25.5">
      <c r="A856" s="4" t="s">
        <v>572</v>
      </c>
      <c r="B856" s="4" t="s">
        <v>4752</v>
      </c>
      <c r="C856" s="4" t="s">
        <v>4769</v>
      </c>
      <c r="D856" s="4" t="s">
        <v>1</v>
      </c>
      <c r="E856" s="34" t="s">
        <v>1170</v>
      </c>
      <c r="F856" s="187" t="s">
        <v>4770</v>
      </c>
      <c r="G856" s="187" t="s">
        <v>4771</v>
      </c>
      <c r="H856" s="3">
        <v>1</v>
      </c>
      <c r="I856" s="3"/>
    </row>
    <row r="857" spans="1:9" ht="25.5">
      <c r="A857" s="4" t="s">
        <v>572</v>
      </c>
      <c r="B857" s="4" t="s">
        <v>4752</v>
      </c>
      <c r="C857" s="4" t="s">
        <v>4756</v>
      </c>
      <c r="D857" s="4" t="s">
        <v>1</v>
      </c>
      <c r="E857" s="34" t="s">
        <v>1171</v>
      </c>
      <c r="F857" s="187" t="s">
        <v>4772</v>
      </c>
      <c r="G857" s="187" t="s">
        <v>4773</v>
      </c>
      <c r="H857" s="3">
        <v>1</v>
      </c>
      <c r="I857" s="3"/>
    </row>
    <row r="858" spans="1:9" ht="25.5">
      <c r="A858" s="4" t="s">
        <v>572</v>
      </c>
      <c r="B858" s="4" t="s">
        <v>4752</v>
      </c>
      <c r="C858" s="4" t="s">
        <v>4753</v>
      </c>
      <c r="D858" s="4" t="s">
        <v>2</v>
      </c>
      <c r="E858" s="33" t="s">
        <v>1172</v>
      </c>
      <c r="F858" s="33" t="s">
        <v>4774</v>
      </c>
      <c r="G858" s="33" t="s">
        <v>4775</v>
      </c>
      <c r="H858" s="4">
        <v>0</v>
      </c>
      <c r="I858" s="3"/>
    </row>
    <row r="859" spans="1:9" ht="25.5">
      <c r="A859" s="4" t="s">
        <v>572</v>
      </c>
      <c r="B859" s="4" t="s">
        <v>4752</v>
      </c>
      <c r="C859" s="4" t="s">
        <v>4776</v>
      </c>
      <c r="D859" s="4" t="s">
        <v>2</v>
      </c>
      <c r="E859" s="33" t="s">
        <v>1173</v>
      </c>
      <c r="F859" s="33" t="s">
        <v>4777</v>
      </c>
      <c r="G859" s="33" t="s">
        <v>4778</v>
      </c>
      <c r="H859" s="4">
        <v>0</v>
      </c>
      <c r="I859" s="3"/>
    </row>
    <row r="860" spans="1:9" ht="25.5">
      <c r="A860" s="4" t="s">
        <v>572</v>
      </c>
      <c r="B860" s="4" t="s">
        <v>4752</v>
      </c>
      <c r="C860" s="4" t="s">
        <v>4753</v>
      </c>
      <c r="D860" s="4" t="s">
        <v>2</v>
      </c>
      <c r="E860" s="34" t="s">
        <v>1174</v>
      </c>
      <c r="F860" s="187" t="s">
        <v>4779</v>
      </c>
      <c r="G860" s="187" t="s">
        <v>4780</v>
      </c>
      <c r="H860" s="3">
        <v>1</v>
      </c>
      <c r="I860" s="3"/>
    </row>
    <row r="861" spans="1:9" ht="25.5">
      <c r="A861" s="4" t="s">
        <v>572</v>
      </c>
      <c r="B861" s="4" t="s">
        <v>4752</v>
      </c>
      <c r="C861" s="4" t="s">
        <v>4781</v>
      </c>
      <c r="D861" s="4" t="s">
        <v>2</v>
      </c>
      <c r="E861" s="34" t="s">
        <v>1175</v>
      </c>
      <c r="F861" s="187" t="s">
        <v>4782</v>
      </c>
      <c r="G861" s="187" t="s">
        <v>4783</v>
      </c>
      <c r="H861" s="139">
        <v>1</v>
      </c>
      <c r="I861" s="3"/>
    </row>
    <row r="862" spans="1:9" ht="25.5">
      <c r="A862" s="4" t="s">
        <v>572</v>
      </c>
      <c r="B862" s="4" t="s">
        <v>4752</v>
      </c>
      <c r="C862" s="4" t="s">
        <v>4781</v>
      </c>
      <c r="D862" s="4" t="s">
        <v>7</v>
      </c>
      <c r="E862" s="4" t="s">
        <v>253</v>
      </c>
      <c r="F862" s="4" t="s">
        <v>4004</v>
      </c>
      <c r="G862" s="4" t="s">
        <v>4784</v>
      </c>
      <c r="H862" s="4">
        <v>8</v>
      </c>
      <c r="I862" s="3"/>
    </row>
    <row r="863" spans="1:9" ht="51">
      <c r="A863" s="30" t="s">
        <v>1176</v>
      </c>
      <c r="B863" s="30" t="s">
        <v>4785</v>
      </c>
      <c r="C863" s="30" t="s">
        <v>4786</v>
      </c>
      <c r="D863" s="30" t="s">
        <v>721</v>
      </c>
      <c r="E863" s="83" t="s">
        <v>1177</v>
      </c>
      <c r="F863" s="83" t="s">
        <v>4787</v>
      </c>
      <c r="G863" s="83" t="s">
        <v>4788</v>
      </c>
      <c r="H863" s="83">
        <v>1</v>
      </c>
      <c r="I863" s="3">
        <v>0.24</v>
      </c>
    </row>
    <row r="864" spans="1:9" ht="51">
      <c r="A864" s="30" t="s">
        <v>1176</v>
      </c>
      <c r="B864" s="30" t="s">
        <v>4785</v>
      </c>
      <c r="C864" s="30" t="s">
        <v>4789</v>
      </c>
      <c r="D864" s="30" t="s">
        <v>701</v>
      </c>
      <c r="E864" s="84" t="s">
        <v>1178</v>
      </c>
      <c r="F864" s="84" t="s">
        <v>3411</v>
      </c>
      <c r="G864" s="84" t="s">
        <v>3412</v>
      </c>
      <c r="H864" s="83">
        <v>1</v>
      </c>
      <c r="I864" s="3"/>
    </row>
    <row r="865" spans="1:9" ht="25.5">
      <c r="A865" s="30" t="s">
        <v>1179</v>
      </c>
      <c r="B865" s="30" t="s">
        <v>4790</v>
      </c>
      <c r="C865" s="30" t="s">
        <v>3497</v>
      </c>
      <c r="D865" s="30" t="s">
        <v>721</v>
      </c>
      <c r="E865" s="83" t="s">
        <v>1180</v>
      </c>
      <c r="F865" s="83" t="s">
        <v>4791</v>
      </c>
      <c r="G865" s="83" t="s">
        <v>3499</v>
      </c>
      <c r="H865" s="83">
        <v>1</v>
      </c>
      <c r="I865" s="3">
        <v>0.1</v>
      </c>
    </row>
    <row r="866" spans="1:9" ht="25.5">
      <c r="A866" s="30" t="s">
        <v>1179</v>
      </c>
      <c r="B866" s="30" t="s">
        <v>4790</v>
      </c>
      <c r="C866" s="30" t="s">
        <v>3497</v>
      </c>
      <c r="D866" s="30" t="s">
        <v>701</v>
      </c>
      <c r="E866" s="84" t="s">
        <v>1181</v>
      </c>
      <c r="F866" s="84" t="s">
        <v>2836</v>
      </c>
      <c r="G866" s="84" t="s">
        <v>2738</v>
      </c>
      <c r="H866" s="83">
        <v>1</v>
      </c>
      <c r="I866" s="3"/>
    </row>
    <row r="867" spans="1:9" ht="25.5">
      <c r="A867" s="30" t="s">
        <v>1182</v>
      </c>
      <c r="B867" s="30" t="s">
        <v>4792</v>
      </c>
      <c r="C867" s="30" t="s">
        <v>4793</v>
      </c>
      <c r="D867" s="30" t="s">
        <v>721</v>
      </c>
      <c r="E867" s="28" t="s">
        <v>1183</v>
      </c>
      <c r="F867" s="30" t="s">
        <v>4794</v>
      </c>
      <c r="G867" s="30" t="s">
        <v>4793</v>
      </c>
      <c r="H867" s="30">
        <v>1</v>
      </c>
      <c r="I867" s="3">
        <v>0.47</v>
      </c>
    </row>
    <row r="868" spans="1:9" ht="25.5">
      <c r="A868" s="30" t="s">
        <v>1182</v>
      </c>
      <c r="B868" s="30" t="s">
        <v>4792</v>
      </c>
      <c r="C868" s="30" t="s">
        <v>4793</v>
      </c>
      <c r="D868" s="30" t="s">
        <v>701</v>
      </c>
      <c r="E868" s="28" t="s">
        <v>1184</v>
      </c>
      <c r="F868" s="11" t="s">
        <v>4795</v>
      </c>
      <c r="G868" s="11" t="s">
        <v>4796</v>
      </c>
      <c r="H868" s="11">
        <v>3</v>
      </c>
      <c r="I868" s="3"/>
    </row>
    <row r="869" spans="1:9" ht="25.5">
      <c r="A869" s="30" t="s">
        <v>1182</v>
      </c>
      <c r="B869" s="30" t="s">
        <v>4792</v>
      </c>
      <c r="C869" s="30" t="s">
        <v>4793</v>
      </c>
      <c r="D869" s="30" t="s">
        <v>824</v>
      </c>
      <c r="E869" s="28" t="s">
        <v>587</v>
      </c>
      <c r="F869" s="30" t="s">
        <v>4797</v>
      </c>
      <c r="G869" s="30" t="s">
        <v>4284</v>
      </c>
      <c r="H869" s="30">
        <v>1</v>
      </c>
      <c r="I869" s="3"/>
    </row>
    <row r="870" spans="1:9" ht="25.5">
      <c r="A870" s="30" t="s">
        <v>1182</v>
      </c>
      <c r="B870" s="30" t="s">
        <v>4792</v>
      </c>
      <c r="C870" s="30" t="s">
        <v>4793</v>
      </c>
      <c r="D870" s="30" t="s">
        <v>826</v>
      </c>
      <c r="E870" s="28" t="s">
        <v>1185</v>
      </c>
      <c r="F870" s="30" t="s">
        <v>4798</v>
      </c>
      <c r="G870" s="30" t="s">
        <v>4799</v>
      </c>
      <c r="H870" s="30">
        <v>1</v>
      </c>
      <c r="I870" s="3"/>
    </row>
    <row r="871" spans="1:9" ht="25.5">
      <c r="A871" s="30" t="s">
        <v>1182</v>
      </c>
      <c r="B871" s="30" t="s">
        <v>4792</v>
      </c>
      <c r="C871" s="30" t="s">
        <v>4800</v>
      </c>
      <c r="D871" s="30" t="s">
        <v>828</v>
      </c>
      <c r="E871" s="28" t="s">
        <v>1186</v>
      </c>
      <c r="F871" s="11" t="s">
        <v>3423</v>
      </c>
      <c r="G871" s="11" t="s">
        <v>4801</v>
      </c>
      <c r="H871" s="11">
        <v>2</v>
      </c>
      <c r="I871" s="3"/>
    </row>
    <row r="872" spans="1:9" ht="38.25">
      <c r="A872" s="4" t="s">
        <v>522</v>
      </c>
      <c r="B872" s="4" t="s">
        <v>4596</v>
      </c>
      <c r="C872" s="4" t="s">
        <v>4802</v>
      </c>
      <c r="D872" s="4" t="s">
        <v>0</v>
      </c>
      <c r="E872" s="4" t="s">
        <v>589</v>
      </c>
      <c r="F872" s="4" t="s">
        <v>4803</v>
      </c>
      <c r="G872" s="4" t="s">
        <v>4804</v>
      </c>
      <c r="H872" s="30">
        <v>1</v>
      </c>
      <c r="I872" s="3">
        <v>0.14000000000000001</v>
      </c>
    </row>
    <row r="873" spans="1:9" ht="25.5">
      <c r="A873" s="1" t="s">
        <v>615</v>
      </c>
      <c r="B873" s="1" t="s">
        <v>4805</v>
      </c>
      <c r="C873" s="1" t="s">
        <v>4806</v>
      </c>
      <c r="D873" s="1" t="s">
        <v>0</v>
      </c>
      <c r="E873" s="11" t="s">
        <v>1187</v>
      </c>
      <c r="F873" s="11" t="s">
        <v>4807</v>
      </c>
      <c r="G873" s="11" t="s">
        <v>4808</v>
      </c>
      <c r="H873" s="1">
        <v>1</v>
      </c>
      <c r="I873" s="3">
        <v>0.52</v>
      </c>
    </row>
    <row r="874" spans="1:9" ht="25.5">
      <c r="A874" s="4" t="s">
        <v>615</v>
      </c>
      <c r="B874" s="4" t="s">
        <v>4805</v>
      </c>
      <c r="C874" s="4" t="s">
        <v>4806</v>
      </c>
      <c r="D874" s="4" t="s">
        <v>1</v>
      </c>
      <c r="E874" s="131" t="s">
        <v>612</v>
      </c>
      <c r="F874" s="4" t="s">
        <v>4809</v>
      </c>
      <c r="G874" s="4" t="s">
        <v>4810</v>
      </c>
      <c r="H874" s="4">
        <v>2</v>
      </c>
      <c r="I874" s="3"/>
    </row>
    <row r="875" spans="1:9" ht="25.5">
      <c r="A875" s="4" t="s">
        <v>615</v>
      </c>
      <c r="B875" s="4" t="s">
        <v>4805</v>
      </c>
      <c r="C875" s="4" t="s">
        <v>4806</v>
      </c>
      <c r="D875" s="4" t="s">
        <v>2</v>
      </c>
      <c r="E875" s="4" t="s">
        <v>5</v>
      </c>
      <c r="F875" s="4" t="s">
        <v>2767</v>
      </c>
      <c r="G875" s="4" t="s">
        <v>3063</v>
      </c>
      <c r="H875" s="4">
        <v>1</v>
      </c>
      <c r="I875" s="3"/>
    </row>
    <row r="876" spans="1:9" ht="63.75">
      <c r="A876" s="45" t="s">
        <v>1188</v>
      </c>
      <c r="B876" s="45" t="s">
        <v>3406</v>
      </c>
      <c r="C876" s="45" t="s">
        <v>4811</v>
      </c>
      <c r="D876" s="119" t="s">
        <v>721</v>
      </c>
      <c r="E876" s="83" t="s">
        <v>844</v>
      </c>
      <c r="F876" s="179" t="s">
        <v>3408</v>
      </c>
      <c r="G876" s="179" t="s">
        <v>3409</v>
      </c>
      <c r="H876" s="83">
        <v>1</v>
      </c>
      <c r="I876" s="3">
        <v>0.16</v>
      </c>
    </row>
    <row r="877" spans="1:9" ht="51">
      <c r="A877" s="45" t="s">
        <v>1188</v>
      </c>
      <c r="B877" s="45" t="s">
        <v>3406</v>
      </c>
      <c r="C877" s="45" t="s">
        <v>3410</v>
      </c>
      <c r="D877" s="119" t="s">
        <v>701</v>
      </c>
      <c r="E877" s="84" t="s">
        <v>616</v>
      </c>
      <c r="F877" s="84" t="s">
        <v>3411</v>
      </c>
      <c r="G877" s="84" t="s">
        <v>3412</v>
      </c>
      <c r="H877" s="83">
        <v>1</v>
      </c>
      <c r="I877" s="3"/>
    </row>
    <row r="878" spans="1:9" ht="25.5">
      <c r="A878" s="30" t="s">
        <v>1189</v>
      </c>
      <c r="B878" s="30" t="s">
        <v>4812</v>
      </c>
      <c r="C878" s="30" t="s">
        <v>4813</v>
      </c>
      <c r="D878" s="30" t="s">
        <v>721</v>
      </c>
      <c r="E878" s="28" t="s">
        <v>1190</v>
      </c>
      <c r="F878" s="30" t="s">
        <v>4814</v>
      </c>
      <c r="G878" s="30" t="s">
        <v>4815</v>
      </c>
      <c r="H878" s="30">
        <v>1</v>
      </c>
      <c r="I878" s="3">
        <v>0.36</v>
      </c>
    </row>
    <row r="879" spans="1:9" ht="25.5">
      <c r="A879" s="30" t="s">
        <v>1189</v>
      </c>
      <c r="B879" s="30" t="s">
        <v>4812</v>
      </c>
      <c r="C879" s="30" t="s">
        <v>4813</v>
      </c>
      <c r="D879" s="30" t="s">
        <v>701</v>
      </c>
      <c r="E879" s="28" t="s">
        <v>625</v>
      </c>
      <c r="F879" s="30" t="s">
        <v>4816</v>
      </c>
      <c r="G879" s="30" t="s">
        <v>4817</v>
      </c>
      <c r="H879" s="30">
        <v>1</v>
      </c>
      <c r="I879" s="3"/>
    </row>
    <row r="880" spans="1:9" ht="25.5">
      <c r="A880" s="30" t="s">
        <v>1189</v>
      </c>
      <c r="B880" s="30" t="s">
        <v>4812</v>
      </c>
      <c r="C880" s="30" t="s">
        <v>4813</v>
      </c>
      <c r="D880" s="30" t="s">
        <v>824</v>
      </c>
      <c r="E880" s="28" t="s">
        <v>626</v>
      </c>
      <c r="F880" s="30" t="s">
        <v>4818</v>
      </c>
      <c r="G880" s="30" t="s">
        <v>4819</v>
      </c>
      <c r="H880" s="30">
        <v>1</v>
      </c>
      <c r="I880" s="3"/>
    </row>
    <row r="881" spans="1:9" ht="25.5">
      <c r="A881" s="30" t="s">
        <v>1191</v>
      </c>
      <c r="B881" s="30" t="s">
        <v>4820</v>
      </c>
      <c r="C881" s="30" t="s">
        <v>4821</v>
      </c>
      <c r="D881" s="30" t="s">
        <v>721</v>
      </c>
      <c r="E881" s="28" t="s">
        <v>1192</v>
      </c>
      <c r="F881" s="30" t="s">
        <v>4822</v>
      </c>
      <c r="G881" s="30" t="s">
        <v>4821</v>
      </c>
      <c r="H881" s="30">
        <v>1</v>
      </c>
      <c r="I881" s="3">
        <v>0.51</v>
      </c>
    </row>
    <row r="882" spans="1:9" ht="25.5">
      <c r="A882" s="30" t="s">
        <v>1191</v>
      </c>
      <c r="B882" s="30" t="s">
        <v>4820</v>
      </c>
      <c r="C882" s="30" t="s">
        <v>4821</v>
      </c>
      <c r="D882" s="30" t="s">
        <v>701</v>
      </c>
      <c r="E882" s="28" t="s">
        <v>1193</v>
      </c>
      <c r="F882" s="30" t="s">
        <v>2836</v>
      </c>
      <c r="G882" s="30" t="s">
        <v>2738</v>
      </c>
      <c r="H882" s="30">
        <v>3</v>
      </c>
      <c r="I882" s="3"/>
    </row>
    <row r="883" spans="1:9" ht="25.5">
      <c r="A883" s="30" t="s">
        <v>1191</v>
      </c>
      <c r="B883" s="30" t="s">
        <v>4820</v>
      </c>
      <c r="C883" s="30" t="s">
        <v>4821</v>
      </c>
      <c r="D883" s="30" t="s">
        <v>824</v>
      </c>
      <c r="E883" s="28" t="s">
        <v>625</v>
      </c>
      <c r="F883" s="30" t="s">
        <v>4816</v>
      </c>
      <c r="G883" s="30" t="s">
        <v>4823</v>
      </c>
      <c r="H883" s="30">
        <v>1</v>
      </c>
      <c r="I883" s="3"/>
    </row>
    <row r="884" spans="1:9" ht="25.5">
      <c r="A884" s="30" t="s">
        <v>1191</v>
      </c>
      <c r="B884" s="30" t="s">
        <v>4820</v>
      </c>
      <c r="C884" s="30" t="s">
        <v>4821</v>
      </c>
      <c r="D884" s="30" t="s">
        <v>826</v>
      </c>
      <c r="E884" s="28" t="s">
        <v>626</v>
      </c>
      <c r="F884" s="30" t="s">
        <v>4818</v>
      </c>
      <c r="G884" s="30" t="s">
        <v>4824</v>
      </c>
      <c r="H884" s="30">
        <v>1</v>
      </c>
      <c r="I884" s="3"/>
    </row>
    <row r="885" spans="1:9" ht="25.5">
      <c r="A885" s="140" t="s">
        <v>1194</v>
      </c>
      <c r="B885" s="140" t="s">
        <v>4825</v>
      </c>
      <c r="C885" s="140" t="s">
        <v>4826</v>
      </c>
      <c r="D885" s="77" t="s">
        <v>0</v>
      </c>
      <c r="E885" s="90" t="s">
        <v>628</v>
      </c>
      <c r="F885" s="90" t="s">
        <v>4827</v>
      </c>
      <c r="G885" s="90" t="s">
        <v>4828</v>
      </c>
      <c r="H885" s="3">
        <v>0</v>
      </c>
      <c r="I885" s="3">
        <v>0.2</v>
      </c>
    </row>
    <row r="886" spans="1:9" ht="25.5">
      <c r="A886" s="4" t="s">
        <v>1194</v>
      </c>
      <c r="B886" s="4" t="s">
        <v>4825</v>
      </c>
      <c r="C886" s="4" t="s">
        <v>4829</v>
      </c>
      <c r="D886" s="4" t="s">
        <v>1</v>
      </c>
      <c r="E886" s="136" t="s">
        <v>629</v>
      </c>
      <c r="F886" s="4" t="s">
        <v>4827</v>
      </c>
      <c r="G886" s="4" t="s">
        <v>4828</v>
      </c>
      <c r="H886" s="4">
        <v>1</v>
      </c>
      <c r="I886" s="3"/>
    </row>
    <row r="887" spans="1:9" ht="25.5">
      <c r="A887" s="4" t="s">
        <v>630</v>
      </c>
      <c r="B887" s="4" t="s">
        <v>4825</v>
      </c>
      <c r="C887" s="4" t="s">
        <v>4830</v>
      </c>
      <c r="D887" s="4" t="s">
        <v>2</v>
      </c>
      <c r="E887" s="136" t="s">
        <v>631</v>
      </c>
      <c r="F887" s="136" t="s">
        <v>4831</v>
      </c>
      <c r="G887" s="136" t="s">
        <v>4832</v>
      </c>
      <c r="H887" s="4">
        <v>2</v>
      </c>
      <c r="I887" s="3"/>
    </row>
    <row r="888" spans="1:9" ht="25.5">
      <c r="A888" s="4" t="s">
        <v>630</v>
      </c>
      <c r="B888" s="4" t="s">
        <v>4825</v>
      </c>
      <c r="C888" s="4" t="s">
        <v>4829</v>
      </c>
      <c r="D888" s="4" t="s">
        <v>7</v>
      </c>
      <c r="E888" s="4" t="s">
        <v>632</v>
      </c>
      <c r="F888" s="4" t="s">
        <v>4827</v>
      </c>
      <c r="G888" s="4" t="s">
        <v>4833</v>
      </c>
      <c r="H888" s="4">
        <v>1</v>
      </c>
      <c r="I888" s="3"/>
    </row>
    <row r="889" spans="1:9" ht="25.5">
      <c r="A889" s="4" t="s">
        <v>1195</v>
      </c>
      <c r="B889" s="4" t="s">
        <v>4834</v>
      </c>
      <c r="C889" s="4" t="s">
        <v>4835</v>
      </c>
      <c r="D889" s="4" t="s">
        <v>0</v>
      </c>
      <c r="E889" s="5" t="s">
        <v>634</v>
      </c>
      <c r="F889" s="5" t="s">
        <v>4827</v>
      </c>
      <c r="G889" s="5" t="s">
        <v>4836</v>
      </c>
      <c r="H889" s="3">
        <v>2</v>
      </c>
      <c r="I889" s="3">
        <v>0.25</v>
      </c>
    </row>
    <row r="890" spans="1:9" ht="25.5">
      <c r="A890" s="4" t="s">
        <v>635</v>
      </c>
      <c r="B890" s="4" t="s">
        <v>4834</v>
      </c>
      <c r="C890" s="4" t="s">
        <v>4835</v>
      </c>
      <c r="D890" s="4" t="s">
        <v>1</v>
      </c>
      <c r="E890" s="5" t="s">
        <v>629</v>
      </c>
      <c r="F890" s="5" t="s">
        <v>4831</v>
      </c>
      <c r="G890" s="5" t="s">
        <v>4832</v>
      </c>
      <c r="H890" s="3">
        <v>1</v>
      </c>
      <c r="I890" s="3"/>
    </row>
    <row r="891" spans="1:9" ht="25.5">
      <c r="A891" s="4" t="s">
        <v>635</v>
      </c>
      <c r="B891" s="4" t="s">
        <v>4834</v>
      </c>
      <c r="C891" s="4" t="s">
        <v>4835</v>
      </c>
      <c r="D891" s="4" t="s">
        <v>2</v>
      </c>
      <c r="E891" s="4" t="s">
        <v>636</v>
      </c>
      <c r="F891" s="4" t="s">
        <v>4827</v>
      </c>
      <c r="G891" s="4" t="s">
        <v>4837</v>
      </c>
      <c r="H891" s="3">
        <v>2</v>
      </c>
      <c r="I891" s="3"/>
    </row>
    <row r="892" spans="1:9" ht="25.5">
      <c r="A892" s="4" t="s">
        <v>1196</v>
      </c>
      <c r="B892" s="4" t="s">
        <v>4838</v>
      </c>
      <c r="C892" s="4" t="s">
        <v>4839</v>
      </c>
      <c r="D892" s="4" t="s">
        <v>0</v>
      </c>
      <c r="E892" s="5" t="s">
        <v>634</v>
      </c>
      <c r="F892" s="5" t="s">
        <v>4827</v>
      </c>
      <c r="G892" s="5" t="s">
        <v>4832</v>
      </c>
      <c r="H892" s="4">
        <v>8</v>
      </c>
      <c r="I892" s="3">
        <v>0.8</v>
      </c>
    </row>
    <row r="893" spans="1:9" ht="25.5">
      <c r="A893" s="4" t="s">
        <v>637</v>
      </c>
      <c r="B893" s="4" t="s">
        <v>4838</v>
      </c>
      <c r="C893" s="4" t="s">
        <v>4839</v>
      </c>
      <c r="D893" s="4" t="s">
        <v>1</v>
      </c>
      <c r="E893" s="5" t="s">
        <v>631</v>
      </c>
      <c r="F893" s="5" t="s">
        <v>4831</v>
      </c>
      <c r="G893" s="5" t="s">
        <v>4832</v>
      </c>
      <c r="H893" s="4">
        <v>8</v>
      </c>
      <c r="I893" s="3"/>
    </row>
    <row r="894" spans="1:9" ht="38.25">
      <c r="A894" s="1" t="s">
        <v>1197</v>
      </c>
      <c r="B894" s="1" t="s">
        <v>4840</v>
      </c>
      <c r="C894" s="1" t="s">
        <v>4841</v>
      </c>
      <c r="D894" s="1" t="s">
        <v>0</v>
      </c>
      <c r="E894" s="1" t="s">
        <v>638</v>
      </c>
      <c r="F894" s="1" t="s">
        <v>4827</v>
      </c>
      <c r="G894" s="1" t="s">
        <v>4828</v>
      </c>
      <c r="H894" s="1">
        <v>2</v>
      </c>
      <c r="I894" s="3">
        <v>0.1</v>
      </c>
    </row>
    <row r="895" spans="1:9" ht="25.5">
      <c r="A895" s="1" t="s">
        <v>1198</v>
      </c>
      <c r="B895" s="1" t="s">
        <v>4842</v>
      </c>
      <c r="C895" s="1" t="s">
        <v>4843</v>
      </c>
      <c r="D895" s="1" t="s">
        <v>0</v>
      </c>
      <c r="E895" s="5" t="s">
        <v>634</v>
      </c>
      <c r="F895" s="1" t="s">
        <v>4827</v>
      </c>
      <c r="G895" s="1" t="s">
        <v>4833</v>
      </c>
      <c r="H895" s="1">
        <v>6</v>
      </c>
      <c r="I895" s="3">
        <v>1.1000000000000001</v>
      </c>
    </row>
    <row r="896" spans="1:9" ht="25.5">
      <c r="A896" s="7" t="s">
        <v>1198</v>
      </c>
      <c r="B896" s="7" t="s">
        <v>4842</v>
      </c>
      <c r="C896" s="7" t="s">
        <v>4843</v>
      </c>
      <c r="D896" s="8" t="s">
        <v>1</v>
      </c>
      <c r="E896" s="6" t="s">
        <v>628</v>
      </c>
      <c r="F896" s="6" t="s">
        <v>4827</v>
      </c>
      <c r="G896" s="6" t="s">
        <v>4833</v>
      </c>
      <c r="H896" s="9" t="s">
        <v>1199</v>
      </c>
      <c r="I896" s="3"/>
    </row>
    <row r="897" spans="1:9" ht="25.5">
      <c r="A897" s="1" t="s">
        <v>639</v>
      </c>
      <c r="B897" s="1" t="s">
        <v>4842</v>
      </c>
      <c r="C897" s="1" t="s">
        <v>4844</v>
      </c>
      <c r="D897" s="1" t="s">
        <v>2</v>
      </c>
      <c r="E897" s="1" t="s">
        <v>640</v>
      </c>
      <c r="F897" s="1" t="s">
        <v>4845</v>
      </c>
      <c r="G897" s="1" t="s">
        <v>4846</v>
      </c>
      <c r="H897" s="1">
        <v>4</v>
      </c>
      <c r="I897" s="3"/>
    </row>
    <row r="898" spans="1:9" ht="25.5">
      <c r="A898" s="1" t="s">
        <v>639</v>
      </c>
      <c r="B898" s="1" t="s">
        <v>4842</v>
      </c>
      <c r="C898" s="1" t="s">
        <v>4847</v>
      </c>
      <c r="D898" s="1" t="s">
        <v>7</v>
      </c>
      <c r="E898" s="5" t="s">
        <v>629</v>
      </c>
      <c r="F898" s="5" t="s">
        <v>4831</v>
      </c>
      <c r="G898" s="5" t="s">
        <v>4832</v>
      </c>
      <c r="H898" s="1">
        <v>8</v>
      </c>
      <c r="I898" s="3"/>
    </row>
    <row r="899" spans="1:9" ht="25.5">
      <c r="A899" s="1" t="s">
        <v>639</v>
      </c>
      <c r="B899" s="1" t="s">
        <v>4842</v>
      </c>
      <c r="C899" s="1" t="s">
        <v>4847</v>
      </c>
      <c r="D899" s="1" t="s">
        <v>9</v>
      </c>
      <c r="E899" s="5" t="s">
        <v>631</v>
      </c>
      <c r="F899" s="5" t="s">
        <v>4831</v>
      </c>
      <c r="G899" s="5" t="s">
        <v>4832</v>
      </c>
      <c r="H899" s="1">
        <v>2</v>
      </c>
      <c r="I899" s="3"/>
    </row>
    <row r="900" spans="1:9" ht="25.5">
      <c r="A900" s="1" t="s">
        <v>1198</v>
      </c>
      <c r="B900" s="1" t="s">
        <v>4842</v>
      </c>
      <c r="C900" s="1" t="s">
        <v>4847</v>
      </c>
      <c r="D900" s="1" t="s">
        <v>10</v>
      </c>
      <c r="E900" s="1" t="s">
        <v>641</v>
      </c>
      <c r="F900" s="1" t="s">
        <v>4827</v>
      </c>
      <c r="G900" s="1" t="s">
        <v>4828</v>
      </c>
      <c r="H900" s="1">
        <v>2</v>
      </c>
      <c r="I900" s="3"/>
    </row>
    <row r="901" spans="1:9" ht="25.5">
      <c r="A901" s="1" t="s">
        <v>1200</v>
      </c>
      <c r="B901" s="1" t="s">
        <v>4848</v>
      </c>
      <c r="C901" s="1" t="s">
        <v>4849</v>
      </c>
      <c r="D901" s="1" t="s">
        <v>0</v>
      </c>
      <c r="E901" s="10" t="s">
        <v>634</v>
      </c>
      <c r="F901" s="1" t="s">
        <v>4827</v>
      </c>
      <c r="G901" s="1" t="s">
        <v>4832</v>
      </c>
      <c r="H901" s="1">
        <v>2</v>
      </c>
      <c r="I901" s="3">
        <v>1.2</v>
      </c>
    </row>
    <row r="902" spans="1:9" ht="25.5">
      <c r="A902" s="1" t="s">
        <v>642</v>
      </c>
      <c r="B902" s="1" t="s">
        <v>4848</v>
      </c>
      <c r="C902" s="1" t="s">
        <v>4849</v>
      </c>
      <c r="D902" s="1" t="s">
        <v>1</v>
      </c>
      <c r="E902" s="5" t="s">
        <v>629</v>
      </c>
      <c r="F902" s="1" t="s">
        <v>4827</v>
      </c>
      <c r="G902" s="1" t="s">
        <v>4832</v>
      </c>
      <c r="H902" s="1">
        <v>8</v>
      </c>
      <c r="I902" s="3"/>
    </row>
    <row r="903" spans="1:9" ht="25.5">
      <c r="A903" s="1" t="s">
        <v>642</v>
      </c>
      <c r="B903" s="1" t="s">
        <v>4848</v>
      </c>
      <c r="C903" s="1" t="s">
        <v>4849</v>
      </c>
      <c r="D903" s="1" t="s">
        <v>2</v>
      </c>
      <c r="E903" s="10" t="s">
        <v>643</v>
      </c>
      <c r="F903" s="1" t="s">
        <v>4827</v>
      </c>
      <c r="G903" s="1" t="s">
        <v>4832</v>
      </c>
      <c r="H903" s="1">
        <v>2</v>
      </c>
      <c r="I903" s="3"/>
    </row>
    <row r="904" spans="1:9" ht="25.5">
      <c r="A904" s="1" t="s">
        <v>642</v>
      </c>
      <c r="B904" s="1" t="s">
        <v>4848</v>
      </c>
      <c r="C904" s="1" t="s">
        <v>4849</v>
      </c>
      <c r="D904" s="1" t="s">
        <v>7</v>
      </c>
      <c r="E904" s="1" t="s">
        <v>644</v>
      </c>
      <c r="F904" s="1" t="s">
        <v>4831</v>
      </c>
      <c r="G904" s="1" t="s">
        <v>4832</v>
      </c>
      <c r="H904" s="1">
        <v>2</v>
      </c>
      <c r="I904" s="3"/>
    </row>
    <row r="905" spans="1:9" ht="25.5">
      <c r="A905" s="1" t="s">
        <v>642</v>
      </c>
      <c r="B905" s="1" t="s">
        <v>4848</v>
      </c>
      <c r="C905" s="1" t="s">
        <v>4850</v>
      </c>
      <c r="D905" s="1" t="s">
        <v>9</v>
      </c>
      <c r="E905" s="1" t="s">
        <v>645</v>
      </c>
      <c r="F905" s="1" t="s">
        <v>4851</v>
      </c>
      <c r="G905" s="1" t="s">
        <v>4852</v>
      </c>
      <c r="H905" s="1">
        <v>10</v>
      </c>
      <c r="I905" s="3"/>
    </row>
    <row r="906" spans="1:9" ht="25.5">
      <c r="A906" s="9" t="s">
        <v>1201</v>
      </c>
      <c r="B906" s="9" t="s">
        <v>4853</v>
      </c>
      <c r="C906" s="9" t="s">
        <v>4854</v>
      </c>
      <c r="D906" s="9" t="s">
        <v>0</v>
      </c>
      <c r="E906" s="9" t="s">
        <v>646</v>
      </c>
      <c r="F906" s="9" t="s">
        <v>4831</v>
      </c>
      <c r="G906" s="9" t="s">
        <v>4832</v>
      </c>
      <c r="H906" s="4">
        <v>4</v>
      </c>
      <c r="I906" s="3">
        <v>0.3</v>
      </c>
    </row>
    <row r="907" spans="1:9" ht="25.5">
      <c r="A907" s="9" t="s">
        <v>647</v>
      </c>
      <c r="B907" s="9" t="s">
        <v>4853</v>
      </c>
      <c r="C907" s="9" t="s">
        <v>4855</v>
      </c>
      <c r="D907" s="9" t="s">
        <v>1</v>
      </c>
      <c r="E907" s="9" t="s">
        <v>634</v>
      </c>
      <c r="F907" s="9" t="s">
        <v>4827</v>
      </c>
      <c r="G907" s="9" t="s">
        <v>4832</v>
      </c>
      <c r="H907" s="4">
        <v>2</v>
      </c>
      <c r="I907" s="3"/>
    </row>
    <row r="908" spans="1:9" ht="25.5">
      <c r="A908" s="9" t="s">
        <v>1201</v>
      </c>
      <c r="B908" s="9" t="s">
        <v>4853</v>
      </c>
      <c r="C908" s="9" t="s">
        <v>4855</v>
      </c>
      <c r="D908" s="1" t="s">
        <v>864</v>
      </c>
      <c r="E908" s="6" t="s">
        <v>651</v>
      </c>
      <c r="F908" s="6" t="s">
        <v>4831</v>
      </c>
      <c r="G908" s="6" t="s">
        <v>4832</v>
      </c>
      <c r="H908" s="4">
        <v>0</v>
      </c>
      <c r="I908" s="3"/>
    </row>
    <row r="909" spans="1:9" ht="38.25">
      <c r="A909" s="1" t="s">
        <v>1202</v>
      </c>
      <c r="B909" s="1" t="s">
        <v>4840</v>
      </c>
      <c r="C909" s="1" t="s">
        <v>4856</v>
      </c>
      <c r="D909" s="1" t="s">
        <v>0</v>
      </c>
      <c r="E909" s="4" t="s">
        <v>634</v>
      </c>
      <c r="F909" s="4" t="s">
        <v>4827</v>
      </c>
      <c r="G909" s="4" t="s">
        <v>4857</v>
      </c>
      <c r="H909" s="4">
        <v>1</v>
      </c>
      <c r="I909" s="3">
        <v>0.05</v>
      </c>
    </row>
    <row r="910" spans="1:9" ht="25.5">
      <c r="A910" s="1" t="s">
        <v>1203</v>
      </c>
      <c r="B910" s="1" t="s">
        <v>4858</v>
      </c>
      <c r="C910" s="1" t="s">
        <v>4859</v>
      </c>
      <c r="D910" s="1" t="s">
        <v>0</v>
      </c>
      <c r="E910" s="4" t="s">
        <v>1204</v>
      </c>
      <c r="F910" s="4" t="s">
        <v>4827</v>
      </c>
      <c r="G910" s="4" t="s">
        <v>4857</v>
      </c>
      <c r="H910" s="4">
        <v>0</v>
      </c>
      <c r="I910" s="3">
        <v>0.1</v>
      </c>
    </row>
    <row r="911" spans="1:9" ht="25.5">
      <c r="A911" s="11" t="s">
        <v>1205</v>
      </c>
      <c r="B911" s="11" t="s">
        <v>4860</v>
      </c>
      <c r="C911" s="11" t="s">
        <v>4861</v>
      </c>
      <c r="D911" s="12" t="s">
        <v>0</v>
      </c>
      <c r="E911" s="12" t="s">
        <v>631</v>
      </c>
      <c r="F911" s="188" t="s">
        <v>4831</v>
      </c>
      <c r="G911" s="188" t="s">
        <v>4832</v>
      </c>
      <c r="H911" s="4">
        <v>2</v>
      </c>
      <c r="I911" s="3">
        <v>0.25</v>
      </c>
    </row>
    <row r="912" spans="1:9" ht="25.5">
      <c r="A912" s="11" t="s">
        <v>648</v>
      </c>
      <c r="B912" s="11" t="s">
        <v>4860</v>
      </c>
      <c r="C912" s="11" t="s">
        <v>4861</v>
      </c>
      <c r="D912" s="12" t="s">
        <v>1</v>
      </c>
      <c r="E912" s="12" t="s">
        <v>629</v>
      </c>
      <c r="F912" s="188" t="s">
        <v>4831</v>
      </c>
      <c r="G912" s="188" t="s">
        <v>4832</v>
      </c>
      <c r="H912" s="4">
        <v>3</v>
      </c>
      <c r="I912" s="3"/>
    </row>
    <row r="913" spans="1:9" ht="25.5">
      <c r="A913" s="1" t="s">
        <v>1206</v>
      </c>
      <c r="B913" s="1" t="s">
        <v>4862</v>
      </c>
      <c r="C913" s="1" t="s">
        <v>4863</v>
      </c>
      <c r="D913" s="1" t="s">
        <v>0</v>
      </c>
      <c r="E913" s="4" t="s">
        <v>650</v>
      </c>
      <c r="F913" s="4" t="s">
        <v>4864</v>
      </c>
      <c r="G913" s="4" t="s">
        <v>4865</v>
      </c>
      <c r="H913" s="4">
        <v>1</v>
      </c>
      <c r="I913" s="3">
        <v>0.15</v>
      </c>
    </row>
    <row r="914" spans="1:9" ht="25.5">
      <c r="A914" s="1" t="s">
        <v>649</v>
      </c>
      <c r="B914" s="1" t="s">
        <v>4862</v>
      </c>
      <c r="C914" s="1" t="s">
        <v>4866</v>
      </c>
      <c r="D914" s="13" t="s">
        <v>1</v>
      </c>
      <c r="E914" s="13" t="s">
        <v>1207</v>
      </c>
      <c r="F914" s="13" t="s">
        <v>4827</v>
      </c>
      <c r="G914" s="13" t="s">
        <v>4836</v>
      </c>
      <c r="H914" s="4">
        <v>2</v>
      </c>
      <c r="I914" s="3"/>
    </row>
    <row r="915" spans="1:9" ht="25.5">
      <c r="A915" s="1" t="s">
        <v>1208</v>
      </c>
      <c r="B915" s="1" t="s">
        <v>4867</v>
      </c>
      <c r="C915" s="1" t="s">
        <v>4868</v>
      </c>
      <c r="D915" s="1" t="s">
        <v>0</v>
      </c>
      <c r="E915" s="4" t="s">
        <v>631</v>
      </c>
      <c r="F915" s="4" t="s">
        <v>4831</v>
      </c>
      <c r="G915" s="4" t="s">
        <v>4832</v>
      </c>
      <c r="H915" s="4">
        <v>6</v>
      </c>
      <c r="I915" s="3">
        <v>1.65</v>
      </c>
    </row>
    <row r="916" spans="1:9" ht="25.5">
      <c r="A916" s="1" t="s">
        <v>652</v>
      </c>
      <c r="B916" s="1" t="s">
        <v>4867</v>
      </c>
      <c r="C916" s="1" t="s">
        <v>4869</v>
      </c>
      <c r="D916" s="1" t="s">
        <v>1</v>
      </c>
      <c r="E916" s="1" t="s">
        <v>653</v>
      </c>
      <c r="F916" s="1" t="s">
        <v>4831</v>
      </c>
      <c r="G916" s="1" t="s">
        <v>4832</v>
      </c>
      <c r="H916" s="4">
        <v>2</v>
      </c>
      <c r="I916" s="3"/>
    </row>
    <row r="917" spans="1:9" ht="25.5">
      <c r="A917" s="4" t="s">
        <v>652</v>
      </c>
      <c r="B917" s="4" t="s">
        <v>4867</v>
      </c>
      <c r="C917" s="4" t="s">
        <v>4869</v>
      </c>
      <c r="D917" s="4" t="s">
        <v>2</v>
      </c>
      <c r="E917" s="14" t="s">
        <v>1209</v>
      </c>
      <c r="F917" s="4" t="s">
        <v>4827</v>
      </c>
      <c r="G917" s="4" t="s">
        <v>4832</v>
      </c>
      <c r="H917" s="4">
        <v>9</v>
      </c>
      <c r="I917" s="3"/>
    </row>
    <row r="918" spans="1:9" ht="25.5">
      <c r="A918" s="4" t="s">
        <v>1208</v>
      </c>
      <c r="B918" s="4" t="s">
        <v>4867</v>
      </c>
      <c r="C918" s="4" t="s">
        <v>4870</v>
      </c>
      <c r="D918" s="4" t="s">
        <v>7</v>
      </c>
      <c r="E918" s="4" t="s">
        <v>636</v>
      </c>
      <c r="F918" s="4" t="s">
        <v>4827</v>
      </c>
      <c r="G918" s="4" t="s">
        <v>4832</v>
      </c>
      <c r="H918" s="4">
        <v>2</v>
      </c>
      <c r="I918" s="3"/>
    </row>
    <row r="919" spans="1:9" ht="25.5">
      <c r="A919" s="4" t="s">
        <v>652</v>
      </c>
      <c r="B919" s="4" t="s">
        <v>4867</v>
      </c>
      <c r="C919" s="4" t="s">
        <v>4868</v>
      </c>
      <c r="D919" s="4" t="s">
        <v>9</v>
      </c>
      <c r="E919" s="14" t="s">
        <v>629</v>
      </c>
      <c r="F919" s="4" t="s">
        <v>4831</v>
      </c>
      <c r="G919" s="4" t="s">
        <v>4832</v>
      </c>
      <c r="H919" s="4">
        <v>8</v>
      </c>
      <c r="I919" s="3"/>
    </row>
    <row r="920" spans="1:9" ht="25.5">
      <c r="A920" s="4" t="s">
        <v>652</v>
      </c>
      <c r="B920" s="4" t="s">
        <v>4867</v>
      </c>
      <c r="C920" s="4" t="s">
        <v>4869</v>
      </c>
      <c r="D920" s="4" t="s">
        <v>10</v>
      </c>
      <c r="E920" s="4" t="s">
        <v>654</v>
      </c>
      <c r="F920" s="4" t="s">
        <v>4827</v>
      </c>
      <c r="G920" s="4" t="s">
        <v>4832</v>
      </c>
      <c r="H920" s="4">
        <v>2</v>
      </c>
      <c r="I920" s="3"/>
    </row>
    <row r="921" spans="1:9" ht="25.5">
      <c r="A921" s="4" t="s">
        <v>652</v>
      </c>
      <c r="B921" s="4" t="s">
        <v>4867</v>
      </c>
      <c r="C921" s="4" t="s">
        <v>4870</v>
      </c>
      <c r="D921" s="4" t="s">
        <v>24</v>
      </c>
      <c r="E921" s="4" t="s">
        <v>655</v>
      </c>
      <c r="F921" s="4" t="s">
        <v>4827</v>
      </c>
      <c r="G921" s="4" t="s">
        <v>4857</v>
      </c>
      <c r="H921" s="4">
        <v>2</v>
      </c>
      <c r="I921" s="3"/>
    </row>
    <row r="922" spans="1:9" ht="25.5">
      <c r="A922" s="4" t="s">
        <v>1210</v>
      </c>
      <c r="B922" s="4" t="s">
        <v>4871</v>
      </c>
      <c r="C922" s="4" t="s">
        <v>4872</v>
      </c>
      <c r="D922" s="4" t="s">
        <v>0</v>
      </c>
      <c r="E922" s="4" t="s">
        <v>1209</v>
      </c>
      <c r="F922" s="4" t="s">
        <v>4827</v>
      </c>
      <c r="G922" s="4" t="s">
        <v>4857</v>
      </c>
      <c r="H922" s="4">
        <v>2</v>
      </c>
      <c r="I922" s="3">
        <v>1.35</v>
      </c>
    </row>
    <row r="923" spans="1:9" ht="25.5">
      <c r="A923" s="4" t="s">
        <v>656</v>
      </c>
      <c r="B923" s="4" t="s">
        <v>4871</v>
      </c>
      <c r="C923" s="4" t="s">
        <v>4873</v>
      </c>
      <c r="D923" s="4" t="s">
        <v>1</v>
      </c>
      <c r="E923" s="4" t="s">
        <v>631</v>
      </c>
      <c r="F923" s="4" t="s">
        <v>4831</v>
      </c>
      <c r="G923" s="4" t="s">
        <v>4832</v>
      </c>
      <c r="H923" s="4">
        <v>11</v>
      </c>
      <c r="I923" s="3"/>
    </row>
    <row r="924" spans="1:9" ht="25.5">
      <c r="A924" s="4" t="s">
        <v>656</v>
      </c>
      <c r="B924" s="4" t="s">
        <v>4871</v>
      </c>
      <c r="C924" s="4" t="s">
        <v>4874</v>
      </c>
      <c r="D924" s="4" t="s">
        <v>2</v>
      </c>
      <c r="E924" s="4" t="s">
        <v>636</v>
      </c>
      <c r="F924" s="4" t="s">
        <v>4827</v>
      </c>
      <c r="G924" s="4" t="s">
        <v>4832</v>
      </c>
      <c r="H924" s="4">
        <v>2</v>
      </c>
      <c r="I924" s="3"/>
    </row>
    <row r="925" spans="1:9" ht="25.5">
      <c r="A925" s="4" t="s">
        <v>656</v>
      </c>
      <c r="B925" s="4" t="s">
        <v>4871</v>
      </c>
      <c r="C925" s="4" t="s">
        <v>4873</v>
      </c>
      <c r="D925" s="4" t="s">
        <v>7</v>
      </c>
      <c r="E925" s="4" t="s">
        <v>629</v>
      </c>
      <c r="F925" s="4" t="s">
        <v>4831</v>
      </c>
      <c r="G925" s="4" t="s">
        <v>4832</v>
      </c>
      <c r="H925" s="4">
        <v>12</v>
      </c>
      <c r="I925" s="3"/>
    </row>
    <row r="926" spans="1:9" ht="38.25">
      <c r="A926" s="1" t="s">
        <v>661</v>
      </c>
      <c r="B926" s="1" t="s">
        <v>4875</v>
      </c>
      <c r="C926" s="1" t="s">
        <v>4876</v>
      </c>
      <c r="D926" s="1" t="s">
        <v>0</v>
      </c>
      <c r="E926" s="17" t="s">
        <v>1211</v>
      </c>
      <c r="F926" s="17" t="s">
        <v>4877</v>
      </c>
      <c r="G926" s="17" t="s">
        <v>4878</v>
      </c>
      <c r="H926" s="1">
        <v>1</v>
      </c>
      <c r="I926" s="3"/>
    </row>
    <row r="927" spans="1:9" ht="38.25">
      <c r="A927" s="1" t="s">
        <v>661</v>
      </c>
      <c r="B927" s="1" t="s">
        <v>4875</v>
      </c>
      <c r="C927" s="1" t="s">
        <v>4876</v>
      </c>
      <c r="D927" s="1" t="s">
        <v>1</v>
      </c>
      <c r="E927" s="1" t="s">
        <v>16</v>
      </c>
      <c r="F927" s="1" t="s">
        <v>3976</v>
      </c>
      <c r="G927" s="1" t="s">
        <v>4678</v>
      </c>
      <c r="H927" s="1">
        <v>3</v>
      </c>
      <c r="I927" s="3"/>
    </row>
    <row r="928" spans="1:9" ht="38.25">
      <c r="A928" s="1" t="s">
        <v>661</v>
      </c>
      <c r="B928" s="1" t="s">
        <v>4875</v>
      </c>
      <c r="C928" s="1" t="s">
        <v>4876</v>
      </c>
      <c r="D928" s="1" t="s">
        <v>2</v>
      </c>
      <c r="E928" s="18" t="s">
        <v>3</v>
      </c>
      <c r="F928" s="1" t="s">
        <v>3610</v>
      </c>
      <c r="G928" s="1" t="s">
        <v>4879</v>
      </c>
      <c r="H928" s="1">
        <v>2</v>
      </c>
      <c r="I928" s="3"/>
    </row>
    <row r="929" spans="1:9" ht="38.25">
      <c r="A929" s="1" t="s">
        <v>661</v>
      </c>
      <c r="B929" s="1" t="s">
        <v>4875</v>
      </c>
      <c r="C929" s="1" t="s">
        <v>4880</v>
      </c>
      <c r="D929" s="1" t="s">
        <v>7</v>
      </c>
      <c r="E929" s="18" t="s">
        <v>13</v>
      </c>
      <c r="F929" s="1" t="s">
        <v>3610</v>
      </c>
      <c r="G929" s="1" t="s">
        <v>4879</v>
      </c>
      <c r="H929" s="1">
        <v>2</v>
      </c>
      <c r="I929" s="3"/>
    </row>
    <row r="930" spans="1:9" ht="38.25">
      <c r="A930" s="1" t="s">
        <v>661</v>
      </c>
      <c r="B930" s="1" t="s">
        <v>4875</v>
      </c>
      <c r="C930" s="1" t="s">
        <v>4880</v>
      </c>
      <c r="D930" s="1" t="s">
        <v>9</v>
      </c>
      <c r="E930" s="1" t="s">
        <v>662</v>
      </c>
      <c r="F930" s="1" t="s">
        <v>2836</v>
      </c>
      <c r="G930" s="1" t="s">
        <v>2738</v>
      </c>
      <c r="H930" s="1">
        <v>1</v>
      </c>
      <c r="I930" s="3"/>
    </row>
    <row r="931" spans="1:9" ht="60">
      <c r="A931" s="25" t="s">
        <v>1212</v>
      </c>
      <c r="B931" s="25" t="s">
        <v>4881</v>
      </c>
      <c r="C931" s="25" t="s">
        <v>4882</v>
      </c>
      <c r="D931" s="25" t="s">
        <v>721</v>
      </c>
      <c r="E931" s="16" t="s">
        <v>1213</v>
      </c>
      <c r="F931" s="141" t="s">
        <v>4883</v>
      </c>
      <c r="G931" s="141" t="s">
        <v>4884</v>
      </c>
      <c r="H931" s="25">
        <v>1</v>
      </c>
      <c r="I931" s="3"/>
    </row>
    <row r="932" spans="1:9" ht="48">
      <c r="A932" s="25" t="s">
        <v>1212</v>
      </c>
      <c r="B932" s="25" t="s">
        <v>4881</v>
      </c>
      <c r="C932" s="25" t="s">
        <v>4885</v>
      </c>
      <c r="D932" s="25" t="s">
        <v>701</v>
      </c>
      <c r="E932" s="141" t="s">
        <v>1214</v>
      </c>
      <c r="F932" s="141" t="s">
        <v>4886</v>
      </c>
      <c r="G932" s="141" t="s">
        <v>4887</v>
      </c>
      <c r="H932" s="25">
        <v>1</v>
      </c>
      <c r="I932" s="3"/>
    </row>
    <row r="933" spans="1:9" ht="48">
      <c r="A933" s="25" t="s">
        <v>1212</v>
      </c>
      <c r="B933" s="25" t="s">
        <v>4881</v>
      </c>
      <c r="C933" s="25" t="s">
        <v>4885</v>
      </c>
      <c r="D933" s="25" t="s">
        <v>824</v>
      </c>
      <c r="E933" s="142" t="s">
        <v>1215</v>
      </c>
      <c r="F933" s="142" t="s">
        <v>4888</v>
      </c>
      <c r="G933" s="142" t="s">
        <v>4889</v>
      </c>
      <c r="H933" s="25">
        <v>1</v>
      </c>
      <c r="I933" s="3"/>
    </row>
    <row r="934" spans="1:9" ht="24">
      <c r="A934" s="20" t="s">
        <v>1216</v>
      </c>
      <c r="B934" s="25" t="s">
        <v>4890</v>
      </c>
      <c r="C934" s="25" t="s">
        <v>4891</v>
      </c>
      <c r="D934" s="4" t="s">
        <v>0</v>
      </c>
      <c r="E934" s="4" t="s">
        <v>1217</v>
      </c>
      <c r="F934" s="4" t="s">
        <v>4892</v>
      </c>
      <c r="G934" s="4" t="s">
        <v>4893</v>
      </c>
      <c r="H934" s="25">
        <v>1</v>
      </c>
      <c r="I934" s="3"/>
    </row>
    <row r="935" spans="1:9" ht="24">
      <c r="A935" s="20" t="s">
        <v>682</v>
      </c>
      <c r="B935" s="25" t="s">
        <v>4890</v>
      </c>
      <c r="C935" s="25" t="s">
        <v>4891</v>
      </c>
      <c r="D935" s="4" t="s">
        <v>1</v>
      </c>
      <c r="E935" s="143" t="s">
        <v>220</v>
      </c>
      <c r="F935" s="143" t="s">
        <v>2836</v>
      </c>
      <c r="G935" s="143" t="s">
        <v>2738</v>
      </c>
      <c r="H935" s="144">
        <v>4</v>
      </c>
      <c r="I935" s="3"/>
    </row>
    <row r="936" spans="1:9" ht="38.25">
      <c r="A936" s="145" t="s">
        <v>1218</v>
      </c>
      <c r="B936" s="145" t="s">
        <v>4894</v>
      </c>
      <c r="C936" s="145" t="s">
        <v>4895</v>
      </c>
      <c r="D936" s="8" t="s">
        <v>0</v>
      </c>
      <c r="E936" s="6" t="s">
        <v>683</v>
      </c>
      <c r="F936" s="6" t="s">
        <v>4896</v>
      </c>
      <c r="G936" s="6" t="s">
        <v>4897</v>
      </c>
      <c r="H936" s="146">
        <v>1</v>
      </c>
      <c r="I936" s="3"/>
    </row>
    <row r="937" spans="1:9" ht="38.25">
      <c r="A937" s="145" t="s">
        <v>1218</v>
      </c>
      <c r="B937" s="145" t="s">
        <v>4894</v>
      </c>
      <c r="C937" s="145" t="s">
        <v>4898</v>
      </c>
      <c r="D937" s="8" t="s">
        <v>1</v>
      </c>
      <c r="E937" s="6" t="s">
        <v>1219</v>
      </c>
      <c r="F937" s="6" t="s">
        <v>4899</v>
      </c>
      <c r="G937" s="6" t="s">
        <v>4900</v>
      </c>
      <c r="H937" s="146">
        <v>1</v>
      </c>
      <c r="I937" s="3"/>
    </row>
    <row r="938" spans="1:9" ht="38.25">
      <c r="A938" s="145" t="s">
        <v>1218</v>
      </c>
      <c r="B938" s="145" t="s">
        <v>4894</v>
      </c>
      <c r="C938" s="145" t="s">
        <v>4895</v>
      </c>
      <c r="D938" s="8" t="s">
        <v>863</v>
      </c>
      <c r="E938" s="6" t="s">
        <v>1220</v>
      </c>
      <c r="F938" s="6" t="s">
        <v>2837</v>
      </c>
      <c r="G938" s="6" t="s">
        <v>4901</v>
      </c>
      <c r="H938" s="146">
        <v>1</v>
      </c>
      <c r="I938" s="3"/>
    </row>
    <row r="939" spans="1:9" ht="38.25">
      <c r="A939" s="145" t="s">
        <v>1218</v>
      </c>
      <c r="B939" s="145" t="s">
        <v>4894</v>
      </c>
      <c r="C939" s="145" t="s">
        <v>4895</v>
      </c>
      <c r="D939" s="8"/>
      <c r="E939" s="6" t="s">
        <v>684</v>
      </c>
      <c r="F939" s="6" t="s">
        <v>4902</v>
      </c>
      <c r="G939" s="6" t="s">
        <v>4903</v>
      </c>
      <c r="H939" s="146">
        <v>1</v>
      </c>
      <c r="I939" s="3"/>
    </row>
    <row r="940" spans="1:9" ht="24">
      <c r="A940" s="147" t="s">
        <v>1221</v>
      </c>
      <c r="B940" s="147" t="s">
        <v>4904</v>
      </c>
      <c r="C940" s="147" t="s">
        <v>4905</v>
      </c>
      <c r="D940" s="147" t="s">
        <v>0</v>
      </c>
      <c r="E940" s="147" t="s">
        <v>684</v>
      </c>
      <c r="F940" s="25" t="s">
        <v>4902</v>
      </c>
      <c r="G940" s="25" t="s">
        <v>4906</v>
      </c>
      <c r="H940" s="147">
        <v>1</v>
      </c>
      <c r="I940" s="3">
        <v>0.43</v>
      </c>
    </row>
    <row r="941" spans="1:9" ht="24">
      <c r="A941" s="147" t="s">
        <v>685</v>
      </c>
      <c r="B941" s="147" t="s">
        <v>4904</v>
      </c>
      <c r="C941" s="147" t="s">
        <v>4907</v>
      </c>
      <c r="D941" s="147" t="s">
        <v>1</v>
      </c>
      <c r="E941" s="147" t="s">
        <v>686</v>
      </c>
      <c r="F941" s="25" t="s">
        <v>4908</v>
      </c>
      <c r="G941" s="25" t="s">
        <v>4909</v>
      </c>
      <c r="H941" s="147">
        <v>1</v>
      </c>
      <c r="I941" s="3"/>
    </row>
    <row r="942" spans="1:9" ht="36">
      <c r="A942" s="147" t="s">
        <v>1221</v>
      </c>
      <c r="B942" s="147" t="s">
        <v>4904</v>
      </c>
      <c r="C942" s="147" t="s">
        <v>4897</v>
      </c>
      <c r="D942" s="147" t="s">
        <v>2</v>
      </c>
      <c r="E942" s="147" t="s">
        <v>687</v>
      </c>
      <c r="F942" s="25" t="s">
        <v>4910</v>
      </c>
      <c r="G942" s="25" t="s">
        <v>4911</v>
      </c>
      <c r="H942" s="147">
        <v>1</v>
      </c>
      <c r="I942" s="3"/>
    </row>
    <row r="943" spans="1:9">
      <c r="A943" s="147" t="s">
        <v>685</v>
      </c>
      <c r="B943" s="147" t="s">
        <v>4904</v>
      </c>
      <c r="C943" s="147" t="s">
        <v>4897</v>
      </c>
      <c r="D943" s="147" t="s">
        <v>7</v>
      </c>
      <c r="E943" s="147" t="s">
        <v>688</v>
      </c>
      <c r="F943" s="25" t="s">
        <v>2836</v>
      </c>
      <c r="G943" s="25" t="s">
        <v>2738</v>
      </c>
      <c r="H943" s="147">
        <v>3</v>
      </c>
      <c r="I943" s="3"/>
    </row>
    <row r="944" spans="1:9" ht="60">
      <c r="A944" s="148" t="s">
        <v>1222</v>
      </c>
      <c r="B944" s="148" t="s">
        <v>4912</v>
      </c>
      <c r="C944" s="148" t="s">
        <v>4913</v>
      </c>
      <c r="D944" s="148" t="s">
        <v>0</v>
      </c>
      <c r="E944" s="149" t="s">
        <v>1223</v>
      </c>
      <c r="F944" s="137" t="s">
        <v>4914</v>
      </c>
      <c r="G944" s="137" t="s">
        <v>4915</v>
      </c>
      <c r="H944" s="150">
        <v>0</v>
      </c>
      <c r="I944" s="3"/>
    </row>
    <row r="945" spans="1:9" ht="60">
      <c r="A945" s="148" t="s">
        <v>1222</v>
      </c>
      <c r="B945" s="148" t="s">
        <v>4912</v>
      </c>
      <c r="C945" s="148" t="s">
        <v>4916</v>
      </c>
      <c r="D945" s="148" t="s">
        <v>0</v>
      </c>
      <c r="E945" s="149" t="s">
        <v>689</v>
      </c>
      <c r="F945" s="137" t="s">
        <v>4914</v>
      </c>
      <c r="G945" s="137" t="s">
        <v>4915</v>
      </c>
      <c r="H945" s="150">
        <v>1</v>
      </c>
      <c r="I945" s="3"/>
    </row>
    <row r="946" spans="1:9" ht="60">
      <c r="A946" s="148" t="s">
        <v>1222</v>
      </c>
      <c r="B946" s="148" t="s">
        <v>4912</v>
      </c>
      <c r="C946" s="148" t="s">
        <v>4917</v>
      </c>
      <c r="D946" s="148" t="s">
        <v>1</v>
      </c>
      <c r="E946" s="151" t="s">
        <v>1224</v>
      </c>
      <c r="F946" s="189" t="s">
        <v>4918</v>
      </c>
      <c r="G946" s="189" t="s">
        <v>4919</v>
      </c>
      <c r="H946" s="152">
        <v>1</v>
      </c>
      <c r="I946" s="3"/>
    </row>
    <row r="947" spans="1:9" ht="60">
      <c r="A947" s="148" t="s">
        <v>1222</v>
      </c>
      <c r="B947" s="148" t="s">
        <v>4912</v>
      </c>
      <c r="C947" s="148" t="s">
        <v>4916</v>
      </c>
      <c r="D947" s="148" t="s">
        <v>2</v>
      </c>
      <c r="E947" s="153" t="s">
        <v>1225</v>
      </c>
      <c r="F947" s="148" t="s">
        <v>3461</v>
      </c>
      <c r="G947" s="148" t="s">
        <v>4920</v>
      </c>
      <c r="H947" s="152">
        <v>4</v>
      </c>
      <c r="I947" s="3"/>
    </row>
    <row r="948" spans="1:9" ht="60">
      <c r="A948" s="148" t="s">
        <v>1222</v>
      </c>
      <c r="B948" s="148" t="s">
        <v>4912</v>
      </c>
      <c r="C948" s="148" t="s">
        <v>4916</v>
      </c>
      <c r="D948" s="148"/>
      <c r="E948" s="154" t="s">
        <v>1226</v>
      </c>
      <c r="F948" s="154" t="s">
        <v>4921</v>
      </c>
      <c r="G948" s="154" t="s">
        <v>4922</v>
      </c>
      <c r="H948" s="155">
        <v>0</v>
      </c>
      <c r="I948" s="3"/>
    </row>
    <row r="949" spans="1:9" ht="60">
      <c r="A949" s="148" t="s">
        <v>1222</v>
      </c>
      <c r="B949" s="148" t="s">
        <v>4912</v>
      </c>
      <c r="C949" s="148" t="s">
        <v>4916</v>
      </c>
      <c r="D949" s="148"/>
      <c r="E949" s="154" t="s">
        <v>1227</v>
      </c>
      <c r="F949" s="154" t="s">
        <v>4921</v>
      </c>
      <c r="G949" s="154" t="s">
        <v>4922</v>
      </c>
      <c r="H949" s="155">
        <v>1</v>
      </c>
      <c r="I949" s="3"/>
    </row>
    <row r="950" spans="1:9" ht="45">
      <c r="A950" s="148" t="s">
        <v>1228</v>
      </c>
      <c r="B950" s="148" t="s">
        <v>4923</v>
      </c>
      <c r="C950" s="148" t="s">
        <v>4924</v>
      </c>
      <c r="D950" s="148" t="s">
        <v>0</v>
      </c>
      <c r="E950" s="154" t="s">
        <v>1226</v>
      </c>
      <c r="F950" s="154" t="s">
        <v>4921</v>
      </c>
      <c r="G950" s="154" t="s">
        <v>4922</v>
      </c>
      <c r="H950" s="155">
        <v>0</v>
      </c>
      <c r="I950" s="3"/>
    </row>
    <row r="951" spans="1:9" ht="45">
      <c r="A951" s="148" t="s">
        <v>1228</v>
      </c>
      <c r="B951" s="148" t="s">
        <v>4923</v>
      </c>
      <c r="C951" s="148" t="s">
        <v>4924</v>
      </c>
      <c r="D951" s="148" t="s">
        <v>0</v>
      </c>
      <c r="E951" s="154" t="s">
        <v>1227</v>
      </c>
      <c r="F951" s="154" t="s">
        <v>4921</v>
      </c>
      <c r="G951" s="154" t="s">
        <v>4922</v>
      </c>
      <c r="H951" s="155">
        <v>1</v>
      </c>
      <c r="I951" s="3"/>
    </row>
    <row r="952" spans="1:9" ht="45">
      <c r="A952" s="148" t="s">
        <v>1228</v>
      </c>
      <c r="B952" s="148" t="s">
        <v>4923</v>
      </c>
      <c r="C952" s="148" t="s">
        <v>4924</v>
      </c>
      <c r="D952" s="148" t="s">
        <v>1</v>
      </c>
      <c r="E952" s="156" t="s">
        <v>1229</v>
      </c>
      <c r="F952" s="190" t="s">
        <v>4925</v>
      </c>
      <c r="G952" s="190" t="s">
        <v>4050</v>
      </c>
      <c r="H952" s="157">
        <v>4</v>
      </c>
      <c r="I952" s="3"/>
    </row>
    <row r="953" spans="1:9" ht="38.25">
      <c r="A953" s="4" t="s">
        <v>1230</v>
      </c>
      <c r="B953" s="4" t="s">
        <v>4926</v>
      </c>
      <c r="C953" s="4" t="s">
        <v>4927</v>
      </c>
      <c r="D953" s="133" t="s">
        <v>0</v>
      </c>
      <c r="E953" s="158" t="s">
        <v>1231</v>
      </c>
      <c r="F953" s="158" t="s">
        <v>4928</v>
      </c>
      <c r="G953" s="158" t="s">
        <v>4929</v>
      </c>
      <c r="H953" s="158">
        <v>1</v>
      </c>
      <c r="I953" s="3">
        <v>0.38</v>
      </c>
    </row>
    <row r="954" spans="1:9" ht="38.25">
      <c r="A954" s="4" t="s">
        <v>1230</v>
      </c>
      <c r="B954" s="4" t="s">
        <v>4926</v>
      </c>
      <c r="C954" s="4" t="s">
        <v>4930</v>
      </c>
      <c r="D954" s="133" t="s">
        <v>1</v>
      </c>
      <c r="E954" s="158" t="s">
        <v>1232</v>
      </c>
      <c r="F954" s="158" t="s">
        <v>4931</v>
      </c>
      <c r="G954" s="158" t="s">
        <v>4932</v>
      </c>
      <c r="H954" s="158">
        <v>1</v>
      </c>
      <c r="I954" s="3"/>
    </row>
    <row r="955" spans="1:9" ht="38.25">
      <c r="A955" s="4" t="s">
        <v>1230</v>
      </c>
      <c r="B955" s="4" t="s">
        <v>4926</v>
      </c>
      <c r="C955" s="4" t="s">
        <v>4927</v>
      </c>
      <c r="D955" s="133" t="s">
        <v>2</v>
      </c>
      <c r="E955" s="159" t="s">
        <v>1233</v>
      </c>
      <c r="F955" s="191" t="s">
        <v>4933</v>
      </c>
      <c r="G955" s="191" t="s">
        <v>4934</v>
      </c>
      <c r="H955" s="160">
        <v>2</v>
      </c>
      <c r="I955" s="3"/>
    </row>
    <row r="956" spans="1:9" ht="38.25">
      <c r="A956" s="4" t="s">
        <v>1230</v>
      </c>
      <c r="B956" s="4" t="s">
        <v>4926</v>
      </c>
      <c r="C956" s="4" t="s">
        <v>4927</v>
      </c>
      <c r="D956" s="4" t="s">
        <v>864</v>
      </c>
      <c r="E956" s="158" t="s">
        <v>1234</v>
      </c>
      <c r="F956" s="158" t="s">
        <v>4935</v>
      </c>
      <c r="G956" s="158" t="s">
        <v>4936</v>
      </c>
      <c r="H956" s="3">
        <v>1</v>
      </c>
      <c r="I956" s="3"/>
    </row>
    <row r="957" spans="1:9" ht="38.25">
      <c r="A957" s="4" t="s">
        <v>1230</v>
      </c>
      <c r="B957" s="4" t="s">
        <v>4926</v>
      </c>
      <c r="C957" s="4" t="s">
        <v>4927</v>
      </c>
      <c r="D957" s="4" t="s">
        <v>1235</v>
      </c>
      <c r="E957" s="158" t="s">
        <v>690</v>
      </c>
      <c r="F957" s="158" t="s">
        <v>3592</v>
      </c>
      <c r="G957" s="158" t="s">
        <v>3425</v>
      </c>
      <c r="H957" s="158">
        <v>1</v>
      </c>
      <c r="I957" s="3"/>
    </row>
    <row r="958" spans="1:9" ht="38.25">
      <c r="A958" s="4" t="s">
        <v>1230</v>
      </c>
      <c r="B958" s="4" t="s">
        <v>4926</v>
      </c>
      <c r="C958" s="4" t="s">
        <v>4930</v>
      </c>
      <c r="D958" s="4" t="s">
        <v>1066</v>
      </c>
      <c r="E958" s="160" t="s">
        <v>691</v>
      </c>
      <c r="F958" s="160" t="s">
        <v>4937</v>
      </c>
      <c r="G958" s="160" t="s">
        <v>2835</v>
      </c>
      <c r="H958" s="160">
        <v>1</v>
      </c>
      <c r="I958" s="3"/>
    </row>
    <row r="959" spans="1:9" ht="38.25">
      <c r="A959" s="4" t="s">
        <v>1230</v>
      </c>
      <c r="B959" s="4" t="s">
        <v>4926</v>
      </c>
      <c r="C959" s="4" t="s">
        <v>4938</v>
      </c>
      <c r="D959" s="3"/>
      <c r="E959" s="135" t="s">
        <v>1236</v>
      </c>
      <c r="F959" s="135" t="s">
        <v>4939</v>
      </c>
      <c r="G959" s="135" t="s">
        <v>4940</v>
      </c>
      <c r="H959" s="3">
        <v>1</v>
      </c>
      <c r="I959" s="3"/>
    </row>
    <row r="960" spans="1:9" ht="38.25">
      <c r="A960" s="4" t="s">
        <v>1237</v>
      </c>
      <c r="B960" s="4" t="s">
        <v>4941</v>
      </c>
      <c r="C960" s="4" t="s">
        <v>4942</v>
      </c>
      <c r="D960" s="133" t="s">
        <v>0</v>
      </c>
      <c r="E960" s="135" t="s">
        <v>1236</v>
      </c>
      <c r="F960" s="135" t="s">
        <v>4939</v>
      </c>
      <c r="G960" s="135" t="s">
        <v>4943</v>
      </c>
      <c r="H960" s="3">
        <v>1</v>
      </c>
      <c r="I960" s="3"/>
    </row>
    <row r="961" spans="1:10" ht="25.5">
      <c r="A961" s="4" t="s">
        <v>1237</v>
      </c>
      <c r="B961" s="4" t="s">
        <v>4941</v>
      </c>
      <c r="C961" s="4" t="s">
        <v>4944</v>
      </c>
      <c r="D961" s="133" t="s">
        <v>1</v>
      </c>
      <c r="E961" s="135" t="s">
        <v>942</v>
      </c>
      <c r="F961" s="135" t="s">
        <v>4945</v>
      </c>
      <c r="G961" s="135" t="s">
        <v>4946</v>
      </c>
      <c r="H961" s="3">
        <v>1</v>
      </c>
      <c r="I961" s="3"/>
    </row>
    <row r="962" spans="1:10" ht="38.25">
      <c r="A962" s="4" t="s">
        <v>1237</v>
      </c>
      <c r="B962" s="4" t="s">
        <v>4941</v>
      </c>
      <c r="C962" s="4" t="s">
        <v>4947</v>
      </c>
      <c r="D962" s="133" t="s">
        <v>2</v>
      </c>
      <c r="E962" s="135" t="s">
        <v>1238</v>
      </c>
      <c r="F962" s="135" t="s">
        <v>4948</v>
      </c>
      <c r="G962" s="135" t="s">
        <v>4949</v>
      </c>
      <c r="H962" s="3">
        <v>2</v>
      </c>
      <c r="I962" s="3"/>
    </row>
    <row r="963" spans="1:10" ht="25.5">
      <c r="A963" s="3" t="s">
        <v>1239</v>
      </c>
      <c r="B963" s="3" t="s">
        <v>4950</v>
      </c>
      <c r="C963" s="3" t="s">
        <v>4951</v>
      </c>
      <c r="D963" s="133" t="s">
        <v>0</v>
      </c>
      <c r="E963" s="3" t="s">
        <v>1240</v>
      </c>
      <c r="F963" s="3" t="s">
        <v>4950</v>
      </c>
      <c r="G963" s="3" t="s">
        <v>4951</v>
      </c>
      <c r="H963" s="160">
        <v>1</v>
      </c>
      <c r="I963" s="3">
        <v>0.14000000000000001</v>
      </c>
    </row>
    <row r="964" spans="1:10" ht="25.5">
      <c r="A964" s="3" t="s">
        <v>1239</v>
      </c>
      <c r="B964" s="3" t="s">
        <v>4950</v>
      </c>
      <c r="C964" s="3" t="s">
        <v>4951</v>
      </c>
      <c r="D964" s="133" t="s">
        <v>1</v>
      </c>
      <c r="E964" s="3" t="s">
        <v>845</v>
      </c>
      <c r="F964" s="3" t="s">
        <v>4945</v>
      </c>
      <c r="G964" s="3" t="s">
        <v>4946</v>
      </c>
      <c r="H964" s="3">
        <v>1</v>
      </c>
      <c r="I964" s="3"/>
      <c r="J964" s="192"/>
    </row>
    <row r="965" spans="1:10" ht="45">
      <c r="A965" s="20" t="s">
        <v>1241</v>
      </c>
      <c r="B965" s="193" t="s">
        <v>3584</v>
      </c>
      <c r="C965" s="193" t="s">
        <v>3585</v>
      </c>
      <c r="D965" s="161" t="s">
        <v>697</v>
      </c>
      <c r="E965" s="39" t="s">
        <v>1242</v>
      </c>
      <c r="F965" s="39" t="s">
        <v>4952</v>
      </c>
      <c r="G965" s="39" t="s">
        <v>3587</v>
      </c>
      <c r="H965" s="16">
        <v>1</v>
      </c>
      <c r="I965" s="3">
        <v>0.1</v>
      </c>
    </row>
    <row r="966" spans="1:10" ht="45">
      <c r="A966" s="20" t="s">
        <v>1241</v>
      </c>
      <c r="B966" s="193" t="s">
        <v>4953</v>
      </c>
      <c r="C966" s="193" t="s">
        <v>4954</v>
      </c>
      <c r="D966" s="161" t="s">
        <v>717</v>
      </c>
      <c r="E966" s="142" t="s">
        <v>110</v>
      </c>
      <c r="F966" s="142" t="s">
        <v>2836</v>
      </c>
      <c r="G966" s="142" t="s">
        <v>2738</v>
      </c>
      <c r="H966" s="16">
        <v>1</v>
      </c>
      <c r="I966" s="3"/>
    </row>
    <row r="967" spans="1:10">
      <c r="A967" s="3"/>
      <c r="B967" s="3"/>
      <c r="C967" s="3"/>
      <c r="D967" s="3"/>
      <c r="E967" s="3"/>
      <c r="F967" s="3"/>
      <c r="G967" s="3"/>
      <c r="H967" s="3"/>
      <c r="I967" s="3"/>
    </row>
  </sheetData>
  <sheetProtection formatCells="0" formatColumns="0" formatRows="0" insertColumns="0" insertRows="0" deleteColumns="0" deleteRows="0" selectLockedCells="1" selectUnlockedCells="1"/>
  <protectedRanges>
    <protectedRange sqref="E352" name="区域1_11_3_1_1_1_1_20_1_1_5_1_1_1_1_14_1" securityDescriptor=""/>
    <protectedRange sqref="E351" name="区域1_11_3_1_1_1_1_20_1_1_4_1_1_1_3_1_2_1" securityDescriptor=""/>
    <protectedRange sqref="E354:E355" name="区域1_11_3_1_1_1_1_20_1_1_5_1_1_1_1_15_1" securityDescriptor=""/>
    <protectedRange sqref="E353" name="区域1_11_3_1_1_1_1_20_1_1_4_1_1_1_3_1_3_1" securityDescriptor=""/>
    <protectedRange sqref="E367" name="区域1_11_3_1_1_1_1_20_1_1_1_1_1_1_1_1_7_1" securityDescriptor=""/>
    <protectedRange sqref="E366" name="区域1_11_3_1_1_1_1_20_1_1_5_1_1_1_1_9_1" securityDescriptor=""/>
    <protectedRange sqref="E368" name="区域1_11_3_1_1_1_1_20_1_1_1_1_1_1_1_1_8_1" securityDescriptor=""/>
    <protectedRange sqref="E371:E372" name="区域1_11_3_1_1_1_1_20_1_1_1_1_1_1_1_1_9_1" securityDescriptor=""/>
    <protectedRange sqref="E373" name="区域1_11_3_1_1_1_1_20_1_1_5_1_1_1_1_10_1" securityDescriptor=""/>
    <protectedRange sqref="E374:E375" name="区域1_11_3_1_1_1_1_20_1_1_2_1_1_1_1_1_1_1" securityDescriptor=""/>
    <protectedRange sqref="E383:E384" name="区域1_11_3_1_1_1_1_20_1_1_1_1_1_1_1_1_7_1_1" securityDescriptor=""/>
    <protectedRange sqref="E380:E382" name="区域1_11_3_1_1_1_1_20_1_1_5_1_1_1_1_9_1_1" securityDescriptor=""/>
    <protectedRange sqref="E385" name="区域1_11_3_1_1_1_1_20_1_1_1_1_1_1_1_1_7_1_2" securityDescriptor=""/>
    <protectedRange sqref="E386" name="区域1_11_3_1_1_1_1_20_1_1_5_1_1_1_1_13_1" securityDescriptor=""/>
    <protectedRange sqref="E387" name="区域1_11_3_1_1_1_1_20_1_1_1_1_1_1_1_1_10_1" securityDescriptor=""/>
    <protectedRange sqref="E395" name="区域1_4_4_1_5_3_2_3_1_3_1_1_1_1_2_1_9_1"/>
    <protectedRange sqref="F395" name="区域1_4_4_1_5_3_3_2_1_3_1_1_1_1_2_1_9_1"/>
    <protectedRange sqref="E415" name="区域1_11_3_1_1_1_1_20_1_1_5_1_1_1_1_9_1_2" securityDescriptor=""/>
    <protectedRange sqref="E427" name="区域1_11_3_1_1_1_1_20_1_1_3_1_1_1_2_4_1_1_5"/>
    <protectedRange sqref="H249" name="区域1_15_1_6_2_20_1_5_1_1_2_9_2" securityDescriptor=""/>
    <protectedRange sqref="H252" name="区域1_15_1_6_2_20_1_5_2_1_9_1" securityDescriptor=""/>
    <protectedRange sqref="H253" name="区域1_15_1_6_2_20_1_5_1_1_2_9_1_1" securityDescriptor=""/>
    <protectedRange sqref="H254" name="区域1_15_1_6_2_20_1_5_1_1_2_9_2_1" securityDescriptor=""/>
    <protectedRange sqref="E356" name="区域1_11_3_1_1_1_1_20_1_1_5_1_1_1_1_15_1_1" securityDescriptor=""/>
    <protectedRange sqref="E357" name="区域1_11_3_1_1_1_1_20_1_1_1_1_1_1_1_1_11_1" securityDescriptor=""/>
    <protectedRange sqref="E358" name="区域1_11_3_1_1_1_1_20_1_1_4_1_1_1_1_1_1_1_1" securityDescriptor=""/>
    <protectedRange sqref="F762:F763" name="区域1_4_4_1_5_3_3_1_1_1_1_2_1_1_1_1_1_1_3_3_1_1_1_1_3"/>
    <protectedRange sqref="F768" name="区域1_4_4_1_5_3_3_1_1_1_1_2_1_1_1_1_1_1_3_3_1_1_1_1_8"/>
    <protectedRange sqref="E377" name="区域1_11_3_1_1_1_1_20_1_1_5_1_1_1_1_10_1_1" securityDescriptor=""/>
    <protectedRange sqref="E376" name="区域1_11_3_1_1_1_1_20_1_1_2_1_1_1_1_1_1_1_1" securityDescriptor=""/>
    <protectedRange sqref="E378" name="区域1_11_3_1_1_1_1_20_1_1_5_1_1_1_1_11_1" securityDescriptor=""/>
    <protectedRange sqref="E379" name="区域1_11_3_1_1_1_1_20_1_1_5_1_1_1_1_12_1" securityDescriptor=""/>
    <protectedRange sqref="F508" name="区域1_4_4_1_5_3_3_1_1_1_1_2_1_1_1_1_1_1_1_2_6_2_1_1_1_1_1_1"/>
    <protectedRange sqref="E832:E833" name="区域1_11_3_1_1_1_1_20_1_1_5_1_1_1_1_8" securityDescriptor=""/>
    <protectedRange sqref="E867 E871" name="区域1_11_3_1_1_1_1_20_1_1_1_1_1_1_1_1_11" securityDescriptor=""/>
    <protectedRange sqref="E868" name="区域1_11_3_1_1_1_1_20_1_1_4_1_1_1_2_1_1_1" securityDescriptor=""/>
    <protectedRange sqref="E839" name="区域1_11_3_1_1_1_1_20_1_1_5_1_1_1_1_9" securityDescriptor=""/>
    <protectedRange sqref="E926" name="区域1_11_3_1_1_1_1_20_1_3" securityDescriptor=""/>
    <protectedRange sqref="E840" name="区域1_11_3_1_1_1_1_20_1_1_1_1_1_1_1_1_7_2_1" securityDescriptor=""/>
    <protectedRange sqref="G395" name="区域1_4_4_1_5_3_3_2_1_3_1_1_1_1_2_1_9_1_1"/>
    <protectedRange sqref="G762:G763" name="区域1_4_4_1_5_3_3_1_1_1_1_2_1_1_1_1_1_1_3_3_1_1_1_1_3_1"/>
    <protectedRange sqref="G768" name="区域1_4_4_1_5_3_3_1_1_1_1_2_1_1_1_1_1_1_3_3_1_1_1_1_8_1"/>
    <protectedRange sqref="G508" name="区域1_4_4_1_5_3_3_1_1_1_1_2_1_1_1_1_1_1_1_2_6_2_1_1_1_1_1_1_1"/>
  </protectedRanges>
  <autoFilter ref="A1:K898" xr:uid="{00000000-0009-0000-0000-000000000000}"/>
  <conditionalFormatting sqref="A56:A61">
    <cfRule type="duplicateValues" dxfId="290" priority="285"/>
    <cfRule type="duplicateValues" dxfId="289" priority="287"/>
  </conditionalFormatting>
  <conditionalFormatting sqref="A72:A75">
    <cfRule type="duplicateValues" dxfId="288" priority="61"/>
    <cfRule type="duplicateValues" dxfId="287" priority="63"/>
  </conditionalFormatting>
  <conditionalFormatting sqref="A249">
    <cfRule type="duplicateValues" dxfId="286" priority="36"/>
    <cfRule type="duplicateValues" dxfId="285" priority="37"/>
  </conditionalFormatting>
  <conditionalFormatting sqref="A250">
    <cfRule type="duplicateValues" dxfId="284" priority="34"/>
    <cfRule type="duplicateValues" dxfId="283" priority="35"/>
  </conditionalFormatting>
  <conditionalFormatting sqref="A251">
    <cfRule type="duplicateValues" dxfId="282" priority="32"/>
    <cfRule type="duplicateValues" dxfId="281" priority="33"/>
  </conditionalFormatting>
  <conditionalFormatting sqref="A252:A253">
    <cfRule type="duplicateValues" dxfId="280" priority="29"/>
    <cfRule type="duplicateValues" dxfId="279" priority="31"/>
  </conditionalFormatting>
  <conditionalFormatting sqref="A254:A256">
    <cfRule type="duplicateValues" dxfId="278" priority="26"/>
    <cfRule type="duplicateValues" dxfId="277" priority="28"/>
  </conditionalFormatting>
  <conditionalFormatting sqref="A258">
    <cfRule type="duplicateValues" dxfId="276" priority="50"/>
    <cfRule type="duplicateValues" dxfId="275" priority="52"/>
  </conditionalFormatting>
  <conditionalFormatting sqref="A259">
    <cfRule type="duplicateValues" dxfId="274" priority="47"/>
    <cfRule type="duplicateValues" dxfId="273" priority="49"/>
  </conditionalFormatting>
  <conditionalFormatting sqref="A264:A266">
    <cfRule type="duplicateValues" dxfId="272" priority="44"/>
    <cfRule type="duplicateValues" dxfId="271" priority="46"/>
  </conditionalFormatting>
  <conditionalFormatting sqref="A303:A304">
    <cfRule type="duplicateValues" dxfId="270" priority="274"/>
    <cfRule type="duplicateValues" dxfId="269" priority="276"/>
  </conditionalFormatting>
  <conditionalFormatting sqref="A305:A312">
    <cfRule type="duplicateValues" dxfId="268" priority="271"/>
    <cfRule type="duplicateValues" dxfId="267" priority="273"/>
  </conditionalFormatting>
  <conditionalFormatting sqref="A314">
    <cfRule type="duplicateValues" dxfId="266" priority="268"/>
    <cfRule type="duplicateValues" dxfId="265" priority="270"/>
  </conditionalFormatting>
  <conditionalFormatting sqref="A315">
    <cfRule type="duplicateValues" dxfId="264" priority="265"/>
    <cfRule type="duplicateValues" dxfId="263" priority="267"/>
  </conditionalFormatting>
  <conditionalFormatting sqref="A316">
    <cfRule type="duplicateValues" dxfId="262" priority="256"/>
    <cfRule type="duplicateValues" dxfId="261" priority="258"/>
  </conditionalFormatting>
  <conditionalFormatting sqref="A317">
    <cfRule type="duplicateValues" dxfId="260" priority="259"/>
    <cfRule type="duplicateValues" dxfId="259" priority="261"/>
  </conditionalFormatting>
  <conditionalFormatting sqref="A318">
    <cfRule type="duplicateValues" dxfId="258" priority="262"/>
    <cfRule type="duplicateValues" dxfId="257" priority="264"/>
  </conditionalFormatting>
  <conditionalFormatting sqref="A319:A320">
    <cfRule type="duplicateValues" dxfId="256" priority="253"/>
    <cfRule type="duplicateValues" dxfId="255" priority="255"/>
  </conditionalFormatting>
  <conditionalFormatting sqref="A321:A322">
    <cfRule type="duplicateValues" dxfId="254" priority="250"/>
    <cfRule type="duplicateValues" dxfId="253" priority="252"/>
  </conditionalFormatting>
  <conditionalFormatting sqref="A323:A324">
    <cfRule type="duplicateValues" dxfId="252" priority="246"/>
    <cfRule type="duplicateValues" dxfId="251" priority="248"/>
  </conditionalFormatting>
  <conditionalFormatting sqref="A325:A326">
    <cfRule type="duplicateValues" dxfId="250" priority="243"/>
    <cfRule type="duplicateValues" dxfId="249" priority="245"/>
  </conditionalFormatting>
  <conditionalFormatting sqref="A327:A329">
    <cfRule type="duplicateValues" dxfId="248" priority="239"/>
    <cfRule type="duplicateValues" dxfId="247" priority="241"/>
  </conditionalFormatting>
  <conditionalFormatting sqref="A330:A331">
    <cfRule type="duplicateValues" dxfId="246" priority="236"/>
    <cfRule type="duplicateValues" dxfId="245" priority="238"/>
  </conditionalFormatting>
  <conditionalFormatting sqref="A332:A336">
    <cfRule type="duplicateValues" dxfId="244" priority="233"/>
    <cfRule type="duplicateValues" dxfId="243" priority="235"/>
  </conditionalFormatting>
  <conditionalFormatting sqref="A337">
    <cfRule type="duplicateValues" dxfId="242" priority="227"/>
    <cfRule type="duplicateValues" dxfId="241" priority="228"/>
  </conditionalFormatting>
  <conditionalFormatting sqref="A338">
    <cfRule type="duplicateValues" dxfId="240" priority="230"/>
    <cfRule type="duplicateValues" dxfId="239" priority="232"/>
  </conditionalFormatting>
  <conditionalFormatting sqref="A339:A342">
    <cfRule type="duplicateValues" dxfId="238" priority="291"/>
  </conditionalFormatting>
  <conditionalFormatting sqref="A345:A346">
    <cfRule type="duplicateValues" dxfId="237" priority="222"/>
    <cfRule type="duplicateValues" dxfId="236" priority="224"/>
  </conditionalFormatting>
  <conditionalFormatting sqref="A347:A348">
    <cfRule type="duplicateValues" dxfId="235" priority="219"/>
    <cfRule type="duplicateValues" dxfId="234" priority="221"/>
  </conditionalFormatting>
  <conditionalFormatting sqref="A349:A350">
    <cfRule type="duplicateValues" dxfId="233" priority="216"/>
    <cfRule type="duplicateValues" dxfId="232" priority="218"/>
  </conditionalFormatting>
  <conditionalFormatting sqref="A351:A355">
    <cfRule type="duplicateValues" dxfId="231" priority="213"/>
    <cfRule type="duplicateValues" dxfId="230" priority="215"/>
  </conditionalFormatting>
  <conditionalFormatting sqref="A356:A358">
    <cfRule type="duplicateValues" dxfId="229" priority="116"/>
    <cfRule type="duplicateValues" dxfId="228" priority="118"/>
  </conditionalFormatting>
  <conditionalFormatting sqref="A359:A360">
    <cfRule type="duplicateValues" dxfId="227" priority="210"/>
    <cfRule type="duplicateValues" dxfId="226" priority="212"/>
  </conditionalFormatting>
  <conditionalFormatting sqref="A361:A362">
    <cfRule type="duplicateValues" dxfId="225" priority="207"/>
    <cfRule type="duplicateValues" dxfId="224" priority="209"/>
  </conditionalFormatting>
  <conditionalFormatting sqref="A363:A364">
    <cfRule type="duplicateValues" dxfId="223" priority="204"/>
    <cfRule type="duplicateValues" dxfId="222" priority="206"/>
  </conditionalFormatting>
  <conditionalFormatting sqref="A365">
    <cfRule type="duplicateValues" dxfId="221" priority="201"/>
    <cfRule type="duplicateValues" dxfId="220" priority="203"/>
  </conditionalFormatting>
  <conditionalFormatting sqref="A366:A375">
    <cfRule type="duplicateValues" dxfId="219" priority="198"/>
    <cfRule type="duplicateValues" dxfId="218" priority="200"/>
  </conditionalFormatting>
  <conditionalFormatting sqref="A376:A379">
    <cfRule type="duplicateValues" dxfId="217" priority="91"/>
    <cfRule type="duplicateValues" dxfId="216" priority="93"/>
  </conditionalFormatting>
  <conditionalFormatting sqref="A380:A384">
    <cfRule type="duplicateValues" dxfId="215" priority="195"/>
    <cfRule type="duplicateValues" dxfId="214" priority="197"/>
  </conditionalFormatting>
  <conditionalFormatting sqref="A385:A387">
    <cfRule type="duplicateValues" dxfId="213" priority="192"/>
    <cfRule type="duplicateValues" dxfId="212" priority="194"/>
  </conditionalFormatting>
  <conditionalFormatting sqref="A388:A389">
    <cfRule type="duplicateValues" dxfId="211" priority="189"/>
    <cfRule type="duplicateValues" dxfId="210" priority="191"/>
  </conditionalFormatting>
  <conditionalFormatting sqref="A390:A391">
    <cfRule type="duplicateValues" dxfId="209" priority="186"/>
    <cfRule type="duplicateValues" dxfId="208" priority="188"/>
  </conditionalFormatting>
  <conditionalFormatting sqref="A392:A410">
    <cfRule type="duplicateValues" dxfId="207" priority="179"/>
    <cfRule type="duplicateValues" dxfId="206" priority="181"/>
  </conditionalFormatting>
  <conditionalFormatting sqref="A411:A414">
    <cfRule type="duplicateValues" dxfId="205" priority="174"/>
    <cfRule type="duplicateValues" dxfId="204" priority="176"/>
  </conditionalFormatting>
  <conditionalFormatting sqref="A415">
    <cfRule type="duplicateValues" dxfId="203" priority="171"/>
    <cfRule type="duplicateValues" dxfId="202" priority="173"/>
  </conditionalFormatting>
  <conditionalFormatting sqref="A420:A421">
    <cfRule type="duplicateValues" dxfId="201" priority="168"/>
    <cfRule type="duplicateValues" dxfId="200" priority="170"/>
  </conditionalFormatting>
  <conditionalFormatting sqref="A422">
    <cfRule type="duplicateValues" dxfId="199" priority="165"/>
    <cfRule type="duplicateValues" dxfId="198" priority="167"/>
  </conditionalFormatting>
  <conditionalFormatting sqref="A423:A424">
    <cfRule type="duplicateValues" dxfId="197" priority="162"/>
    <cfRule type="duplicateValues" dxfId="196" priority="164"/>
  </conditionalFormatting>
  <conditionalFormatting sqref="A425:A426">
    <cfRule type="duplicateValues" dxfId="195" priority="158"/>
    <cfRule type="duplicateValues" dxfId="194" priority="160"/>
  </conditionalFormatting>
  <conditionalFormatting sqref="A427">
    <cfRule type="duplicateValues" dxfId="193" priority="155"/>
    <cfRule type="duplicateValues" dxfId="192" priority="157"/>
  </conditionalFormatting>
  <conditionalFormatting sqref="A428:A429">
    <cfRule type="duplicateValues" dxfId="191" priority="152"/>
    <cfRule type="duplicateValues" dxfId="190" priority="154"/>
  </conditionalFormatting>
  <conditionalFormatting sqref="A430:A431">
    <cfRule type="duplicateValues" dxfId="189" priority="149"/>
    <cfRule type="duplicateValues" dxfId="188" priority="151"/>
  </conditionalFormatting>
  <conditionalFormatting sqref="A432:A433">
    <cfRule type="duplicateValues" dxfId="187" priority="146"/>
    <cfRule type="duplicateValues" dxfId="186" priority="148"/>
  </conditionalFormatting>
  <conditionalFormatting sqref="A434:A435">
    <cfRule type="duplicateValues" dxfId="185" priority="143"/>
    <cfRule type="duplicateValues" dxfId="184" priority="145"/>
  </conditionalFormatting>
  <conditionalFormatting sqref="A490:A496">
    <cfRule type="duplicateValues" dxfId="183" priority="137"/>
    <cfRule type="duplicateValues" dxfId="182" priority="139"/>
  </conditionalFormatting>
  <conditionalFormatting sqref="A511">
    <cfRule type="duplicateValues" dxfId="181" priority="140"/>
    <cfRule type="duplicateValues" dxfId="180" priority="142"/>
  </conditionalFormatting>
  <conditionalFormatting sqref="A528:A529">
    <cfRule type="duplicateValues" dxfId="179" priority="134"/>
    <cfRule type="duplicateValues" dxfId="178" priority="136"/>
  </conditionalFormatting>
  <conditionalFormatting sqref="A530">
    <cfRule type="duplicateValues" dxfId="177" priority="131"/>
    <cfRule type="duplicateValues" dxfId="176" priority="133"/>
  </conditionalFormatting>
  <conditionalFormatting sqref="A531:A532">
    <cfRule type="duplicateValues" dxfId="175" priority="289"/>
  </conditionalFormatting>
  <conditionalFormatting sqref="A586">
    <cfRule type="duplicateValues" dxfId="174" priority="104"/>
    <cfRule type="duplicateValues" dxfId="173" priority="106"/>
  </conditionalFormatting>
  <conditionalFormatting sqref="A587:A589">
    <cfRule type="duplicateValues" dxfId="172" priority="101"/>
    <cfRule type="duplicateValues" dxfId="171" priority="103"/>
  </conditionalFormatting>
  <conditionalFormatting sqref="A606:A607">
    <cfRule type="duplicateValues" dxfId="170" priority="125"/>
    <cfRule type="duplicateValues" dxfId="169" priority="127"/>
  </conditionalFormatting>
  <conditionalFormatting sqref="A608:A609">
    <cfRule type="duplicateValues" dxfId="168" priority="122"/>
    <cfRule type="duplicateValues" dxfId="167" priority="124"/>
  </conditionalFormatting>
  <conditionalFormatting sqref="A610:A611">
    <cfRule type="duplicateValues" dxfId="166" priority="119"/>
    <cfRule type="duplicateValues" dxfId="165" priority="121"/>
  </conditionalFormatting>
  <conditionalFormatting sqref="A666:A673">
    <cfRule type="duplicateValues" dxfId="164" priority="107"/>
    <cfRule type="duplicateValues" dxfId="163" priority="109"/>
  </conditionalFormatting>
  <conditionalFormatting sqref="A711:A715">
    <cfRule type="duplicateValues" dxfId="162" priority="128"/>
    <cfRule type="duplicateValues" dxfId="161" priority="130"/>
  </conditionalFormatting>
  <conditionalFormatting sqref="A723:A724">
    <cfRule type="duplicateValues" dxfId="160" priority="96"/>
    <cfRule type="duplicateValues" dxfId="159" priority="98"/>
  </conditionalFormatting>
  <conditionalFormatting sqref="A797:A798">
    <cfRule type="duplicateValues" dxfId="158" priority="88"/>
    <cfRule type="duplicateValues" dxfId="157" priority="90"/>
  </conditionalFormatting>
  <conditionalFormatting sqref="A799:A800">
    <cfRule type="duplicateValues" dxfId="156" priority="85"/>
    <cfRule type="duplicateValues" dxfId="155" priority="87"/>
  </conditionalFormatting>
  <conditionalFormatting sqref="A822:A825">
    <cfRule type="duplicateValues" dxfId="154" priority="84"/>
  </conditionalFormatting>
  <conditionalFormatting sqref="E2">
    <cfRule type="duplicateValues" dxfId="153" priority="16"/>
  </conditionalFormatting>
  <conditionalFormatting sqref="E6">
    <cfRule type="duplicateValues" dxfId="152" priority="14"/>
    <cfRule type="duplicateValues" dxfId="151" priority="15"/>
  </conditionalFormatting>
  <conditionalFormatting sqref="E7:E8">
    <cfRule type="duplicateValues" dxfId="150" priority="13"/>
  </conditionalFormatting>
  <conditionalFormatting sqref="E9">
    <cfRule type="duplicateValues" dxfId="149" priority="12"/>
  </conditionalFormatting>
  <conditionalFormatting sqref="E56:E57">
    <cfRule type="duplicateValues" dxfId="148" priority="288"/>
  </conditionalFormatting>
  <conditionalFormatting sqref="E56:E61">
    <cfRule type="duplicateValues" dxfId="147" priority="286"/>
  </conditionalFormatting>
  <conditionalFormatting sqref="E72">
    <cfRule type="duplicateValues" dxfId="146" priority="67" stopIfTrue="1"/>
    <cfRule type="duplicateValues" dxfId="145" priority="68" stopIfTrue="1"/>
    <cfRule type="duplicateValues" dxfId="144" priority="69"/>
  </conditionalFormatting>
  <conditionalFormatting sqref="E72:E75">
    <cfRule type="duplicateValues" dxfId="143" priority="62"/>
  </conditionalFormatting>
  <conditionalFormatting sqref="E73">
    <cfRule type="duplicateValues" dxfId="142" priority="64" stopIfTrue="1"/>
    <cfRule type="duplicateValues" dxfId="141" priority="65" stopIfTrue="1"/>
    <cfRule type="duplicateValues" dxfId="140" priority="66"/>
  </conditionalFormatting>
  <conditionalFormatting sqref="E74:E75">
    <cfRule type="duplicateValues" dxfId="139" priority="70"/>
  </conditionalFormatting>
  <conditionalFormatting sqref="E156">
    <cfRule type="duplicateValues" dxfId="138" priority="24"/>
    <cfRule type="duplicateValues" dxfId="137" priority="25"/>
  </conditionalFormatting>
  <conditionalFormatting sqref="E166">
    <cfRule type="duplicateValues" dxfId="136" priority="19"/>
  </conditionalFormatting>
  <conditionalFormatting sqref="E170">
    <cfRule type="duplicateValues" dxfId="135" priority="17"/>
    <cfRule type="duplicateValues" dxfId="134" priority="18"/>
  </conditionalFormatting>
  <conditionalFormatting sqref="E180 E182">
    <cfRule type="duplicateValues" dxfId="133" priority="59"/>
  </conditionalFormatting>
  <conditionalFormatting sqref="E180">
    <cfRule type="duplicateValues" dxfId="132" priority="60"/>
  </conditionalFormatting>
  <conditionalFormatting sqref="E181">
    <cfRule type="duplicateValues" dxfId="131" priority="58"/>
  </conditionalFormatting>
  <conditionalFormatting sqref="E183">
    <cfRule type="duplicateValues" dxfId="130" priority="57"/>
  </conditionalFormatting>
  <conditionalFormatting sqref="E207">
    <cfRule type="duplicateValues" dxfId="129" priority="99"/>
    <cfRule type="duplicateValues" dxfId="128" priority="100"/>
  </conditionalFormatting>
  <conditionalFormatting sqref="E219:E220">
    <cfRule type="duplicateValues" dxfId="127" priority="55"/>
    <cfRule type="duplicateValues" dxfId="126" priority="56"/>
  </conditionalFormatting>
  <conditionalFormatting sqref="E225:E226">
    <cfRule type="duplicateValues" dxfId="125" priority="53"/>
    <cfRule type="duplicateValues" dxfId="124" priority="54"/>
  </conditionalFormatting>
  <conditionalFormatting sqref="E252:E253">
    <cfRule type="duplicateValues" dxfId="123" priority="30"/>
  </conditionalFormatting>
  <conditionalFormatting sqref="E254:E256">
    <cfRule type="duplicateValues" dxfId="122" priority="27"/>
  </conditionalFormatting>
  <conditionalFormatting sqref="E258">
    <cfRule type="duplicateValues" dxfId="121" priority="51"/>
  </conditionalFormatting>
  <conditionalFormatting sqref="E259">
    <cfRule type="duplicateValues" dxfId="120" priority="48"/>
  </conditionalFormatting>
  <conditionalFormatting sqref="E264:E266">
    <cfRule type="duplicateValues" dxfId="119" priority="45"/>
  </conditionalFormatting>
  <conditionalFormatting sqref="E287:E289">
    <cfRule type="duplicateValues" dxfId="118" priority="42"/>
    <cfRule type="duplicateValues" dxfId="117" priority="43"/>
  </conditionalFormatting>
  <conditionalFormatting sqref="E290:E292">
    <cfRule type="duplicateValues" dxfId="116" priority="40"/>
    <cfRule type="duplicateValues" dxfId="115" priority="41"/>
  </conditionalFormatting>
  <conditionalFormatting sqref="E293:E294">
    <cfRule type="duplicateValues" dxfId="114" priority="38"/>
    <cfRule type="duplicateValues" dxfId="113" priority="39"/>
  </conditionalFormatting>
  <conditionalFormatting sqref="E295:E296">
    <cfRule type="duplicateValues" dxfId="112" priority="283"/>
    <cfRule type="duplicateValues" dxfId="111" priority="284"/>
  </conditionalFormatting>
  <conditionalFormatting sqref="E297:E298">
    <cfRule type="duplicateValues" dxfId="110" priority="281"/>
    <cfRule type="duplicateValues" dxfId="109" priority="282"/>
  </conditionalFormatting>
  <conditionalFormatting sqref="E299">
    <cfRule type="duplicateValues" dxfId="108" priority="279"/>
    <cfRule type="duplicateValues" dxfId="107" priority="280"/>
  </conditionalFormatting>
  <conditionalFormatting sqref="E300">
    <cfRule type="duplicateValues" dxfId="106" priority="277"/>
    <cfRule type="duplicateValues" dxfId="105" priority="278"/>
  </conditionalFormatting>
  <conditionalFormatting sqref="E303:E304">
    <cfRule type="duplicateValues" dxfId="104" priority="275"/>
  </conditionalFormatting>
  <conditionalFormatting sqref="E305:E312">
    <cfRule type="duplicateValues" dxfId="103" priority="272"/>
  </conditionalFormatting>
  <conditionalFormatting sqref="E314">
    <cfRule type="duplicateValues" dxfId="102" priority="269"/>
  </conditionalFormatting>
  <conditionalFormatting sqref="E315">
    <cfRule type="duplicateValues" dxfId="101" priority="266"/>
  </conditionalFormatting>
  <conditionalFormatting sqref="E316">
    <cfRule type="duplicateValues" dxfId="100" priority="257"/>
  </conditionalFormatting>
  <conditionalFormatting sqref="E317">
    <cfRule type="duplicateValues" dxfId="99" priority="260"/>
  </conditionalFormatting>
  <conditionalFormatting sqref="E318">
    <cfRule type="duplicateValues" dxfId="98" priority="263"/>
  </conditionalFormatting>
  <conditionalFormatting sqref="E319:E320">
    <cfRule type="duplicateValues" dxfId="97" priority="254"/>
  </conditionalFormatting>
  <conditionalFormatting sqref="E321:E322">
    <cfRule type="duplicateValues" dxfId="96" priority="251"/>
  </conditionalFormatting>
  <conditionalFormatting sqref="E323:E324">
    <cfRule type="duplicateValues" dxfId="95" priority="247"/>
    <cfRule type="duplicateValues" dxfId="94" priority="249"/>
  </conditionalFormatting>
  <conditionalFormatting sqref="E325:E326">
    <cfRule type="duplicateValues" dxfId="93" priority="244"/>
  </conditionalFormatting>
  <conditionalFormatting sqref="E327:E329">
    <cfRule type="duplicateValues" dxfId="92" priority="240"/>
    <cfRule type="duplicateValues" dxfId="91" priority="242"/>
  </conditionalFormatting>
  <conditionalFormatting sqref="E330:E331">
    <cfRule type="duplicateValues" dxfId="90" priority="237"/>
  </conditionalFormatting>
  <conditionalFormatting sqref="E332:E336">
    <cfRule type="duplicateValues" dxfId="89" priority="234"/>
  </conditionalFormatting>
  <conditionalFormatting sqref="E337">
    <cfRule type="duplicateValues" dxfId="88" priority="229"/>
  </conditionalFormatting>
  <conditionalFormatting sqref="E338">
    <cfRule type="duplicateValues" dxfId="87" priority="231"/>
  </conditionalFormatting>
  <conditionalFormatting sqref="E339:E341">
    <cfRule type="duplicateValues" dxfId="86" priority="226"/>
  </conditionalFormatting>
  <conditionalFormatting sqref="E343:E344">
    <cfRule type="duplicateValues" dxfId="85" priority="1"/>
  </conditionalFormatting>
  <conditionalFormatting sqref="E345">
    <cfRule type="duplicateValues" dxfId="84" priority="225"/>
  </conditionalFormatting>
  <conditionalFormatting sqref="E345:E346">
    <cfRule type="duplicateValues" dxfId="83" priority="223"/>
  </conditionalFormatting>
  <conditionalFormatting sqref="E347:E348">
    <cfRule type="duplicateValues" dxfId="82" priority="220"/>
  </conditionalFormatting>
  <conditionalFormatting sqref="E349:E350">
    <cfRule type="duplicateValues" dxfId="81" priority="217"/>
  </conditionalFormatting>
  <conditionalFormatting sqref="E351:E355">
    <cfRule type="duplicateValues" dxfId="80" priority="214"/>
  </conditionalFormatting>
  <conditionalFormatting sqref="E356:E358">
    <cfRule type="duplicateValues" dxfId="79" priority="117"/>
  </conditionalFormatting>
  <conditionalFormatting sqref="E359:E360">
    <cfRule type="duplicateValues" dxfId="78" priority="211"/>
  </conditionalFormatting>
  <conditionalFormatting sqref="E361:E362">
    <cfRule type="duplicateValues" dxfId="77" priority="208"/>
  </conditionalFormatting>
  <conditionalFormatting sqref="E363:E364">
    <cfRule type="duplicateValues" dxfId="76" priority="205"/>
  </conditionalFormatting>
  <conditionalFormatting sqref="E365">
    <cfRule type="duplicateValues" dxfId="75" priority="202"/>
  </conditionalFormatting>
  <conditionalFormatting sqref="E366:E375">
    <cfRule type="duplicateValues" dxfId="74" priority="199"/>
  </conditionalFormatting>
  <conditionalFormatting sqref="E376:E379">
    <cfRule type="duplicateValues" dxfId="73" priority="92"/>
  </conditionalFormatting>
  <conditionalFormatting sqref="E380:E384">
    <cfRule type="duplicateValues" dxfId="72" priority="196"/>
  </conditionalFormatting>
  <conditionalFormatting sqref="E385:E387">
    <cfRule type="duplicateValues" dxfId="71" priority="193"/>
  </conditionalFormatting>
  <conditionalFormatting sqref="E388:E389">
    <cfRule type="duplicateValues" dxfId="70" priority="190"/>
  </conditionalFormatting>
  <conditionalFormatting sqref="E390:E391">
    <cfRule type="duplicateValues" dxfId="69" priority="187"/>
  </conditionalFormatting>
  <conditionalFormatting sqref="E392:E410">
    <cfRule type="duplicateValues" dxfId="68" priority="180"/>
  </conditionalFormatting>
  <conditionalFormatting sqref="E398">
    <cfRule type="duplicateValues" dxfId="67" priority="185"/>
  </conditionalFormatting>
  <conditionalFormatting sqref="E402">
    <cfRule type="duplicateValues" dxfId="66" priority="184"/>
  </conditionalFormatting>
  <conditionalFormatting sqref="E406">
    <cfRule type="duplicateValues" dxfId="65" priority="183"/>
  </conditionalFormatting>
  <conditionalFormatting sqref="E407">
    <cfRule type="duplicateValues" dxfId="64" priority="182"/>
  </conditionalFormatting>
  <conditionalFormatting sqref="E411">
    <cfRule type="duplicateValues" dxfId="63" priority="178"/>
  </conditionalFormatting>
  <conditionalFormatting sqref="E411:E414">
    <cfRule type="duplicateValues" dxfId="62" priority="175"/>
    <cfRule type="duplicateValues" dxfId="61" priority="177"/>
  </conditionalFormatting>
  <conditionalFormatting sqref="E415">
    <cfRule type="duplicateValues" dxfId="60" priority="172"/>
  </conditionalFormatting>
  <conditionalFormatting sqref="E420:E421">
    <cfRule type="duplicateValues" dxfId="59" priority="169"/>
  </conditionalFormatting>
  <conditionalFormatting sqref="E422">
    <cfRule type="duplicateValues" dxfId="58" priority="166"/>
  </conditionalFormatting>
  <conditionalFormatting sqref="E423:E424">
    <cfRule type="duplicateValues" dxfId="57" priority="163"/>
  </conditionalFormatting>
  <conditionalFormatting sqref="E425">
    <cfRule type="duplicateValues" dxfId="56" priority="161"/>
  </conditionalFormatting>
  <conditionalFormatting sqref="E425:E426">
    <cfRule type="duplicateValues" dxfId="55" priority="159"/>
  </conditionalFormatting>
  <conditionalFormatting sqref="E427">
    <cfRule type="duplicateValues" dxfId="54" priority="156"/>
  </conditionalFormatting>
  <conditionalFormatting sqref="E428:E429">
    <cfRule type="duplicateValues" dxfId="53" priority="153"/>
  </conditionalFormatting>
  <conditionalFormatting sqref="E430:E431">
    <cfRule type="duplicateValues" dxfId="52" priority="150"/>
  </conditionalFormatting>
  <conditionalFormatting sqref="E432:E433">
    <cfRule type="duplicateValues" dxfId="51" priority="147"/>
  </conditionalFormatting>
  <conditionalFormatting sqref="E434:E435">
    <cfRule type="duplicateValues" dxfId="50" priority="144"/>
  </conditionalFormatting>
  <conditionalFormatting sqref="E490:E496">
    <cfRule type="duplicateValues" dxfId="49" priority="138"/>
  </conditionalFormatting>
  <conditionalFormatting sqref="E511">
    <cfRule type="duplicateValues" dxfId="48" priority="141"/>
  </conditionalFormatting>
  <conditionalFormatting sqref="E528:E529">
    <cfRule type="duplicateValues" dxfId="47" priority="135"/>
  </conditionalFormatting>
  <conditionalFormatting sqref="E530">
    <cfRule type="duplicateValues" dxfId="46" priority="132"/>
  </conditionalFormatting>
  <conditionalFormatting sqref="E531:E532">
    <cfRule type="duplicateValues" dxfId="45" priority="290"/>
  </conditionalFormatting>
  <conditionalFormatting sqref="E586">
    <cfRule type="duplicateValues" dxfId="44" priority="105"/>
  </conditionalFormatting>
  <conditionalFormatting sqref="E587:E589">
    <cfRule type="duplicateValues" dxfId="43" priority="102"/>
  </conditionalFormatting>
  <conditionalFormatting sqref="E590:E591">
    <cfRule type="duplicateValues" dxfId="42" priority="22"/>
    <cfRule type="duplicateValues" dxfId="41" priority="23"/>
  </conditionalFormatting>
  <conditionalFormatting sqref="E593:E594">
    <cfRule type="duplicateValues" dxfId="40" priority="20"/>
    <cfRule type="duplicateValues" dxfId="39" priority="21"/>
  </conditionalFormatting>
  <conditionalFormatting sqref="E606:E607">
    <cfRule type="duplicateValues" dxfId="38" priority="126"/>
  </conditionalFormatting>
  <conditionalFormatting sqref="E608:E609">
    <cfRule type="duplicateValues" dxfId="37" priority="123"/>
  </conditionalFormatting>
  <conditionalFormatting sqref="E610:E611">
    <cfRule type="duplicateValues" dxfId="36" priority="120"/>
  </conditionalFormatting>
  <conditionalFormatting sqref="E666:E673">
    <cfRule type="duplicateValues" dxfId="35" priority="108"/>
  </conditionalFormatting>
  <conditionalFormatting sqref="E669">
    <cfRule type="duplicateValues" dxfId="34" priority="110" stopIfTrue="1"/>
    <cfRule type="duplicateValues" dxfId="33" priority="111" stopIfTrue="1"/>
    <cfRule type="duplicateValues" dxfId="32" priority="112"/>
  </conditionalFormatting>
  <conditionalFormatting sqref="E670">
    <cfRule type="duplicateValues" dxfId="31" priority="113" stopIfTrue="1"/>
    <cfRule type="duplicateValues" dxfId="30" priority="114" stopIfTrue="1"/>
    <cfRule type="duplicateValues" dxfId="29" priority="115"/>
  </conditionalFormatting>
  <conditionalFormatting sqref="E674">
    <cfRule type="duplicateValues" dxfId="28" priority="73"/>
    <cfRule type="duplicateValues" dxfId="27" priority="74"/>
  </conditionalFormatting>
  <conditionalFormatting sqref="E677">
    <cfRule type="duplicateValues" dxfId="26" priority="71"/>
    <cfRule type="duplicateValues" dxfId="25" priority="72"/>
  </conditionalFormatting>
  <conditionalFormatting sqref="E713 E715">
    <cfRule type="duplicateValues" dxfId="24" priority="129"/>
  </conditionalFormatting>
  <conditionalFormatting sqref="E723">
    <cfRule type="duplicateValues" dxfId="23" priority="94"/>
    <cfRule type="duplicateValues" dxfId="22" priority="95"/>
  </conditionalFormatting>
  <conditionalFormatting sqref="E724">
    <cfRule type="duplicateValues" dxfId="21" priority="97"/>
  </conditionalFormatting>
  <conditionalFormatting sqref="E797:E798">
    <cfRule type="duplicateValues" dxfId="20" priority="89"/>
  </conditionalFormatting>
  <conditionalFormatting sqref="E799:E800">
    <cfRule type="duplicateValues" dxfId="19" priority="86"/>
  </conditionalFormatting>
  <conditionalFormatting sqref="E802">
    <cfRule type="duplicateValues" dxfId="18" priority="82"/>
  </conditionalFormatting>
  <conditionalFormatting sqref="E803">
    <cfRule type="duplicateValues" dxfId="17" priority="81"/>
  </conditionalFormatting>
  <conditionalFormatting sqref="E804:E805">
    <cfRule type="duplicateValues" dxfId="16" priority="80"/>
  </conditionalFormatting>
  <conditionalFormatting sqref="E806:E807">
    <cfRule type="duplicateValues" dxfId="15" priority="79"/>
  </conditionalFormatting>
  <conditionalFormatting sqref="E823:E825">
    <cfRule type="duplicateValues" dxfId="14" priority="83"/>
  </conditionalFormatting>
  <conditionalFormatting sqref="E831">
    <cfRule type="duplicateValues" dxfId="13" priority="4"/>
  </conditionalFormatting>
  <conditionalFormatting sqref="E840">
    <cfRule type="duplicateValues" dxfId="12" priority="5"/>
    <cfRule type="duplicateValues" dxfId="11" priority="6"/>
  </conditionalFormatting>
  <conditionalFormatting sqref="E852">
    <cfRule type="duplicateValues" dxfId="10" priority="77"/>
    <cfRule type="duplicateValues" dxfId="9" priority="78"/>
  </conditionalFormatting>
  <conditionalFormatting sqref="E873">
    <cfRule type="duplicateValues" dxfId="8" priority="75"/>
    <cfRule type="duplicateValues" dxfId="7" priority="76"/>
  </conditionalFormatting>
  <conditionalFormatting sqref="E931:E932">
    <cfRule type="duplicateValues" dxfId="6" priority="9"/>
  </conditionalFormatting>
  <conditionalFormatting sqref="E933">
    <cfRule type="duplicateValues" dxfId="5" priority="11"/>
  </conditionalFormatting>
  <conditionalFormatting sqref="E934:E935">
    <cfRule type="duplicateValues" dxfId="4" priority="10"/>
  </conditionalFormatting>
  <conditionalFormatting sqref="E936:E939">
    <cfRule type="duplicateValues" dxfId="3" priority="8"/>
  </conditionalFormatting>
  <conditionalFormatting sqref="E940:E943">
    <cfRule type="duplicateValues" dxfId="2" priority="3"/>
  </conditionalFormatting>
  <conditionalFormatting sqref="E946:E947 E952">
    <cfRule type="duplicateValues" dxfId="1" priority="7"/>
  </conditionalFormatting>
  <conditionalFormatting sqref="E965:E966">
    <cfRule type="duplicateValues" dxfId="0" priority="2"/>
  </conditionalFormatting>
  <dataValidations count="1">
    <dataValidation type="list" allowBlank="1" showInputMessage="1" showErrorMessage="1" sqref="E12 E10 H714:H715" xr:uid="{E6CA87A5-8443-435D-B8C4-B86274A59569}">
      <formula1>"新开件,改制件,标准件,借用件"</formula1>
    </dataValidation>
  </dataValidations>
  <printOptions horizontalCentered="1"/>
  <pageMargins left="0" right="0" top="0.27777777777777779" bottom="0" header="4.1666666666666664E-2" footer="0.31496062992125984"/>
  <pageSetup paperSize="9" scale="93" fitToHeight="0" orientation="landscape" r:id="rId1"/>
  <headerFooter>
    <oddFooter>第 &amp;P 页，共 &amp;N 页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31143B-8787-41AB-879B-E97B3E760C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Header</vt:lpstr>
      <vt:lpstr>اصلی</vt:lpstr>
      <vt:lpstr>工程作业表-B (2)</vt:lpstr>
      <vt:lpstr>اصلی!Print_Area</vt:lpstr>
      <vt:lpstr>'工程作业表-B (2)'!Print_Area</vt:lpstr>
      <vt:lpstr>اصلی!Print_Titles</vt:lpstr>
      <vt:lpstr>'工程作业表-B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PVZJ.黄怡玮</dc:creator>
  <cp:lastModifiedBy>Aghaei Vaneghi , Reza</cp:lastModifiedBy>
  <cp:lastPrinted>2026-04-18T05:58:37Z</cp:lastPrinted>
  <dcterms:created xsi:type="dcterms:W3CDTF">2006-09-16T00:00:00Z</dcterms:created>
  <dcterms:modified xsi:type="dcterms:W3CDTF">2026-04-20T10:04:41Z</dcterms:modified>
</cp:coreProperties>
</file>